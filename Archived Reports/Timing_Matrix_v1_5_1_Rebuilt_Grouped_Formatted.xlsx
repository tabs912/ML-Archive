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2f13841e2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ing Matrix" sheetId="1" r:id="Ra7919ccc636e4d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%"/>
  </x:numFmts>
  <x:fonts count="2">
    <x:font>
      <x:sz val="1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D9EAD3"/>
      </x:patternFill>
    </x:fill>
    <x:fill>
      <x:patternFill patternType="solid">
        <x:fgColor rgb="FFD966"/>
      </x:patternFill>
    </x:fill>
    <x:fill>
      <x:patternFill patternType="solid">
        <x:fgColor rgb="9DC3E6"/>
      </x:patternFill>
    </x:fill>
    <x:fill>
      <x:patternFill patternType="solid">
        <x:fgColor rgb="F4B183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0" fillId="5" borderId="0" xfId="0" applyNumberFormat="1" applyFont="1" applyFill="1" applyBorder="1"/>
  </x:cellXfs>
  <x:cellStyles count="1">
    <x:cellStyle name="Normal" xfId="0"/>
  </x:cellStyles>
  <x:dxfs count="50"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  <x:dxf>
      <x:fill>
        <x:patternFill patternType="solid">
          <x:bgColor rgb="92D050"/>
        </x:patternFill>
      </x:fill>
    </x:dxf>
    <x:dxf>
      <x:fill>
        <x:patternFill patternType="solid">
          <x:bgColor rgb="FF666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24262e7d084c78" /><Relationship Type="http://schemas.openxmlformats.org/officeDocument/2006/relationships/theme" Target="/xl/theme/theme1.xml" Id="Rd2d98d44b19d48b3" /><Relationship Type="http://schemas.openxmlformats.org/officeDocument/2006/relationships/sharedStrings" Target="/xl/sharedStrings.xml" Id="Rd2faa0bf4b2446ec" /><Relationship Type="http://schemas.openxmlformats.org/officeDocument/2006/relationships/worksheet" Target="/xl/worksheets/sheet1.xml" Id="Ra7919ccc636e4d29" /></Relationships>
</file>

<file path=xl/tables/table1.xml><?xml version="1.0" encoding="utf-8"?>
<x:table xmlns:x="http://schemas.openxmlformats.org/spreadsheetml/2006/main" id="1" name="TimingMatrixTable" displayName="TimingMatrixTable" ref="A1:BG551" headerRowCount="1">
  <x:tableColumns count="59">
    <x:tableColumn id="1" name="Sheet Type"/>
    <x:tableColumn id="2" name="Process"/>
    <x:tableColumn id="3" name="Step"/>
    <x:tableColumn id="4" name="v.1.4.20- Timing Report Step Seconds"/>
    <x:tableColumn id="5" name="v.1.4.20- Timing Report Total Seconds"/>
    <x:tableColumn id="6" name="v.1.4.20 -Timing Summary Report Step Seconds"/>
    <x:tableColumn id="7" name="v.1.4.20 -Timing Summary Report Total Seconds"/>
    <x:tableColumn id="8" name="v1.4.21 Timing Report Step Seconds"/>
    <x:tableColumn id="9" name="v1.4.21 Timing Report Total Seconds"/>
    <x:tableColumn id="10" name="v1.4.21 Timing Summary Report Step Seconds"/>
    <x:tableColumn id="11" name="v1.4.21 Timing Summary Report Total Seconds"/>
    <x:tableColumn id="12" name="v1.4.23 Timing Summary Report Step Seconds"/>
    <x:tableColumn id="13" name="v1.4.23 Timing Summary Report Total Seconds"/>
    <x:tableColumn id="14" name="v1.4.23 Timing Report Step Seconds"/>
    <x:tableColumn id="15" name="v1.4.23 Timing Report Total Seconds"/>
    <x:tableColumn id="16" name="v1.4.26 Timing Summary Report.1 Step Seconds"/>
    <x:tableColumn id="17" name="v1.4.26 Timing Summary Report.1 Total Seconds"/>
    <x:tableColumn id="18" name="v1.4.26 Timing Report.1 Step Seconds"/>
    <x:tableColumn id="19" name="v1.4.26 Timing Report.1 Total Seconds"/>
    <x:tableColumn id="20" name="v1.4.26.1 Timing Summary Report Step Seconds"/>
    <x:tableColumn id="21" name="v1.4.26.1 Timing Summary Report Total Seconds"/>
    <x:tableColumn id="22" name="v1.4.26.1 Timing Report Step Seconds"/>
    <x:tableColumn id="23" name="v1.4.26.1 Timing Report Total Seconds"/>
    <x:tableColumn id="24" name="v1.4.27 Timing Summary Report Step Seconds"/>
    <x:tableColumn id="25" name="v1.4.27 Timing Summary Report Total Seconds"/>
    <x:tableColumn id="26" name="v1.4.27 Timing Report Step Seconds"/>
    <x:tableColumn id="27" name="v1.4.27 Timing Report Total Seconds"/>
    <x:tableColumn id="28" name="v1.4.29 Timing Summary Report Step Seconds"/>
    <x:tableColumn id="29" name="v1.4.29 Timing Summary Report Total Seconds"/>
    <x:tableColumn id="30" name="v1.4.29  Timing Report Step Seconds"/>
    <x:tableColumn id="31" name="v1.4.29  Timing Report Total Seconds"/>
    <x:tableColumn id="32" name="v1.4.30 Timing Report Step Seconds"/>
    <x:tableColumn id="33" name="v1.4.30 Timing Report Total Seconds"/>
    <x:tableColumn id="34" name="v1.4.30 Timing Summary Report Step Seconds"/>
    <x:tableColumn id="35" name="v1.4.30 Timing Summary Report Total Seconds"/>
    <x:tableColumn id="36" name="v1.4.31 Timing Summary Report 1 Step Seconds"/>
    <x:tableColumn id="37" name="v1.4.31 Timing Summary Report 1 Total Seconds"/>
    <x:tableColumn id="38" name="v1.4.31 Timing Report 1 Step Seconds"/>
    <x:tableColumn id="39" name="v1.4.31 Timing Report 1 Total Seconds"/>
    <x:tableColumn id="40" name="v.1.4.33 Timing Report Step Seconds"/>
    <x:tableColumn id="41" name="v.1.4.33 Timing Report Total Seconds"/>
    <x:tableColumn id="42" name="v.1.4.33 Timing Summary Report Step Seconds"/>
    <x:tableColumn id="43" name="v.1.4.33 Timing Summary Report Total Seconds"/>
    <x:tableColumn id="44" name="v1.4.35 Timing Report Step Seconds"/>
    <x:tableColumn id="45" name="v1.4.35 Timing Report Total Seconds"/>
    <x:tableColumn id="46" name="v1.4.35.2 Timing Report Step Seconds"/>
    <x:tableColumn id="47" name="v1.4.35.2 Timing Report Total Seconds"/>
    <x:tableColumn id="48" name="v1.5 Timing Report Step Seconds"/>
    <x:tableColumn id="49" name="v1.5 Timing Report Total Seconds"/>
    <x:tableColumn id="50" name="v1.5.1 Timing Report Step Seconds"/>
    <x:tableColumn id="51" name="v1.5.1 Timing Report Total Seconds"/>
    <x:tableColumn id="52" name="v1.5.1 Timing Summary Step Seconds"/>
    <x:tableColumn id="53" name="v1.5.1 Timing Summary Total Seconds"/>
    <x:tableColumn id="54" name="Fastest Step Seconds"/>
    <x:tableColumn id="55" name="Version Winner"/>
    <x:tableColumn id="56" name="Fastest Total Seconds"/>
    <x:tableColumn id="57" name="Total Seconds Winner"/>
    <x:tableColumn id="58" name="v1.5.1 vs Fastest %"/>
    <x:tableColumn id="59" name="v1.5.1 Total vs Fastest %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a17069aef9442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70" hidden="0" customWidth="1"/>
    <x:col min="4" max="4" width="70" hidden="0" customWidth="1"/>
    <x:col min="5" max="5" width="70" hidden="0" customWidth="1"/>
    <x:col min="6" max="6" width="70" hidden="0" customWidth="1"/>
    <x:col min="7" max="7" width="70" hidden="0" customWidth="1"/>
    <x:col min="8" max="8" width="70" hidden="0" customWidth="1"/>
    <x:col min="9" max="9" width="70" hidden="0" customWidth="1"/>
    <x:col min="10" max="10" width="70" hidden="0" customWidth="1"/>
    <x:col min="11" max="11" width="70" hidden="0" customWidth="1"/>
    <x:col min="12" max="12" width="70" hidden="0" customWidth="1"/>
    <x:col min="13" max="13" width="70" hidden="0" customWidth="1"/>
    <x:col min="14" max="14" width="70" hidden="0" customWidth="1"/>
    <x:col min="15" max="15" width="70" hidden="0" customWidth="1"/>
    <x:col min="16" max="16" width="70" hidden="0" customWidth="1"/>
    <x:col min="17" max="17" width="70" hidden="0" customWidth="1"/>
    <x:col min="18" max="18" width="70" hidden="0" customWidth="1"/>
    <x:col min="19" max="19" width="70" hidden="0" customWidth="1"/>
    <x:col min="20" max="20" width="70" hidden="0" customWidth="1"/>
    <x:col min="21" max="21" width="70" hidden="0" customWidth="1"/>
    <x:col min="22" max="22" width="70" hidden="0" customWidth="1"/>
    <x:col min="23" max="23" width="70" hidden="0" customWidth="1"/>
    <x:col min="24" max="24" width="70" hidden="0" customWidth="1"/>
    <x:col min="25" max="25" width="70" hidden="0" customWidth="1"/>
    <x:col min="26" max="26" width="70" hidden="0" customWidth="1"/>
    <x:col min="27" max="27" width="70" hidden="0" customWidth="1"/>
    <x:col min="28" max="28" width="70" hidden="0" customWidth="1"/>
    <x:col min="29" max="29" width="70" hidden="0" customWidth="1"/>
    <x:col min="30" max="30" width="70" hidden="0" customWidth="1"/>
    <x:col min="31" max="31" width="70" hidden="0" customWidth="1"/>
    <x:col min="32" max="32" width="70" hidden="0" customWidth="1"/>
    <x:col min="33" max="33" width="70" hidden="0" customWidth="1"/>
    <x:col min="34" max="34" width="70" hidden="0" customWidth="1"/>
    <x:col min="35" max="35" width="70" hidden="0" customWidth="1"/>
    <x:col min="36" max="36" width="70" hidden="0" customWidth="1"/>
    <x:col min="37" max="37" width="70" hidden="0" customWidth="1"/>
    <x:col min="38" max="38" width="70" hidden="0" customWidth="1"/>
    <x:col min="39" max="39" width="70" hidden="0" customWidth="1"/>
    <x:col min="40" max="40" width="70" hidden="0" customWidth="1"/>
    <x:col min="41" max="41" width="70" hidden="0" customWidth="1"/>
    <x:col min="42" max="42" width="70" hidden="0" customWidth="1"/>
    <x:col min="43" max="43" width="70" hidden="0" customWidth="1"/>
    <x:col min="44" max="44" width="70" hidden="0" customWidth="1"/>
    <x:col min="45" max="45" width="70" hidden="0" customWidth="1"/>
    <x:col min="46" max="46" width="70" hidden="0" customWidth="1"/>
    <x:col min="47" max="47" width="70" hidden="0" customWidth="1"/>
    <x:col min="48" max="48" width="70" hidden="0" customWidth="1"/>
    <x:col min="49" max="49" width="70" hidden="0" customWidth="1"/>
    <x:col min="50" max="50" width="70" hidden="0" customWidth="1"/>
    <x:col min="51" max="51" width="70" hidden="0" customWidth="1"/>
    <x:col min="52" max="52" width="70" hidden="0" customWidth="1"/>
    <x:col min="53" max="53" width="70" hidden="0" customWidth="1"/>
    <x:col min="54" max="54" width="70" hidden="0" customWidth="1"/>
    <x:col min="55" max="55" width="70" hidden="0" customWidth="1"/>
    <x:col min="56" max="56" width="70" hidden="0" customWidth="1"/>
    <x:col min="57" max="57" width="70" hidden="0" customWidth="1"/>
    <x:col min="58" max="58" width="70" hidden="0" customWidth="1"/>
    <x:col min="59" max="59" width="70" hidden="0" customWidth="1"/>
  </x:cols>
  <x:sheetData>
    <x:row r="1">
      <x:c r="A1" s="6" t="str">
        <x:v>Sheet Type</x:v>
      </x:c>
      <x:c r="B1" s="6" t="str">
        <x:v>Process</x:v>
      </x:c>
      <x:c r="C1" s="6" t="str">
        <x:v>Step</x:v>
      </x:c>
      <x:c r="D1" s="6" t="str">
        <x:v>v.1.4.20- Timing Report Step Seconds</x:v>
      </x:c>
      <x:c r="E1" s="6" t="str">
        <x:v>v.1.4.20- Timing Report Total Seconds</x:v>
      </x:c>
      <x:c r="F1" s="6" t="str">
        <x:v>v.1.4.20 -Timing Summary Report Step Seconds</x:v>
      </x:c>
      <x:c r="G1" s="6" t="str">
        <x:v>v.1.4.20 -Timing Summary Report Total Seconds</x:v>
      </x:c>
      <x:c r="H1" s="6" t="str">
        <x:v>v1.4.21 Timing Report Step Seconds</x:v>
      </x:c>
      <x:c r="I1" s="6" t="str">
        <x:v>v1.4.21 Timing Report Total Seconds</x:v>
      </x:c>
      <x:c r="J1" s="6" t="str">
        <x:v>v1.4.21 Timing Summary Report Step Seconds</x:v>
      </x:c>
      <x:c r="K1" s="6" t="str">
        <x:v>v1.4.21 Timing Summary Report Total Seconds</x:v>
      </x:c>
      <x:c r="L1" s="6" t="str">
        <x:v>v1.4.23 Timing Summary Report Step Seconds</x:v>
      </x:c>
      <x:c r="M1" s="6" t="str">
        <x:v>v1.4.23 Timing Summary Report Total Seconds</x:v>
      </x:c>
      <x:c r="N1" s="6" t="str">
        <x:v>v1.4.23 Timing Report Step Seconds</x:v>
      </x:c>
      <x:c r="O1" s="6" t="str">
        <x:v>v1.4.23 Timing Report Total Seconds</x:v>
      </x:c>
      <x:c r="P1" s="6" t="str">
        <x:v>v1.4.26 Timing Summary Report.1 Step Seconds</x:v>
      </x:c>
      <x:c r="Q1" s="6" t="str">
        <x:v>v1.4.26 Timing Summary Report.1 Total Seconds</x:v>
      </x:c>
      <x:c r="R1" s="6" t="str">
        <x:v>v1.4.26 Timing Report.1 Step Seconds</x:v>
      </x:c>
      <x:c r="S1" s="6" t="str">
        <x:v>v1.4.26 Timing Report.1 Total Seconds</x:v>
      </x:c>
      <x:c r="T1" s="6" t="str">
        <x:v>v1.4.26.1 Timing Summary Report Step Seconds</x:v>
      </x:c>
      <x:c r="U1" s="6" t="str">
        <x:v>v1.4.26.1 Timing Summary Report Total Seconds</x:v>
      </x:c>
      <x:c r="V1" s="6" t="str">
        <x:v>v1.4.26.1 Timing Report Step Seconds</x:v>
      </x:c>
      <x:c r="W1" s="6" t="str">
        <x:v>v1.4.26.1 Timing Report Total Seconds</x:v>
      </x:c>
      <x:c r="X1" s="6" t="str">
        <x:v>v1.4.27 Timing Summary Report Step Seconds</x:v>
      </x:c>
      <x:c r="Y1" s="6" t="str">
        <x:v>v1.4.27 Timing Summary Report Total Seconds</x:v>
      </x:c>
      <x:c r="Z1" s="6" t="str">
        <x:v>v1.4.27 Timing Report Step Seconds</x:v>
      </x:c>
      <x:c r="AA1" s="6" t="str">
        <x:v>v1.4.27 Timing Report Total Seconds</x:v>
      </x:c>
      <x:c r="AB1" s="6" t="str">
        <x:v>v1.4.29 Timing Summary Report Step Seconds</x:v>
      </x:c>
      <x:c r="AC1" s="6" t="str">
        <x:v>v1.4.29 Timing Summary Report Total Seconds</x:v>
      </x:c>
      <x:c r="AD1" s="6" t="str">
        <x:v>v1.4.29  Timing Report Step Seconds</x:v>
      </x:c>
      <x:c r="AE1" s="6" t="str">
        <x:v>v1.4.29  Timing Report Total Seconds</x:v>
      </x:c>
      <x:c r="AF1" s="6" t="str">
        <x:v>v1.4.30 Timing Report Step Seconds</x:v>
      </x:c>
      <x:c r="AG1" s="6" t="str">
        <x:v>v1.4.30 Timing Report Total Seconds</x:v>
      </x:c>
      <x:c r="AH1" s="6" t="str">
        <x:v>v1.4.30 Timing Summary Report Step Seconds</x:v>
      </x:c>
      <x:c r="AI1" s="6" t="str">
        <x:v>v1.4.30 Timing Summary Report Total Seconds</x:v>
      </x:c>
      <x:c r="AJ1" s="6" t="str">
        <x:v>v1.4.31 Timing Summary Report 1 Step Seconds</x:v>
      </x:c>
      <x:c r="AK1" s="6" t="str">
        <x:v>v1.4.31 Timing Summary Report 1 Total Seconds</x:v>
      </x:c>
      <x:c r="AL1" s="6" t="str">
        <x:v>v1.4.31 Timing Report 1 Step Seconds</x:v>
      </x:c>
      <x:c r="AM1" s="6" t="str">
        <x:v>v1.4.31 Timing Report 1 Total Seconds</x:v>
      </x:c>
      <x:c r="AN1" s="6" t="str">
        <x:v>v.1.4.33 Timing Report Step Seconds</x:v>
      </x:c>
      <x:c r="AO1" s="6" t="str">
        <x:v>v.1.4.33 Timing Report Total Seconds</x:v>
      </x:c>
      <x:c r="AP1" s="6" t="str">
        <x:v>v.1.4.33 Timing Summary Report Step Seconds</x:v>
      </x:c>
      <x:c r="AQ1" s="6" t="str">
        <x:v>v.1.4.33 Timing Summary Report Total Seconds</x:v>
      </x:c>
      <x:c r="AR1" s="6" t="str">
        <x:v>v1.4.35 Timing Report Step Seconds</x:v>
      </x:c>
      <x:c r="AS1" s="6" t="str">
        <x:v>v1.4.35 Timing Report Total Seconds</x:v>
      </x:c>
      <x:c r="AT1" s="6" t="str">
        <x:v>v1.4.35.2 Timing Report Step Seconds</x:v>
      </x:c>
      <x:c r="AU1" s="6" t="str">
        <x:v>v1.4.35.2 Timing Report Total Seconds</x:v>
      </x:c>
      <x:c r="AV1" s="6" t="str">
        <x:v>v1.5 Timing Report Step Seconds</x:v>
      </x:c>
      <x:c r="AW1" s="6" t="str">
        <x:v>v1.5 Timing Report Total Seconds</x:v>
      </x:c>
      <x:c r="AX1" s="6" t="str">
        <x:v>v1.5.1 Timing Report Step Seconds</x:v>
      </x:c>
      <x:c r="AY1" s="6" t="str">
        <x:v>v1.5.1 Timing Report Total Seconds</x:v>
      </x:c>
      <x:c r="AZ1" s="6" t="str">
        <x:v>v1.5.1 Timing Summary Step Seconds</x:v>
      </x:c>
      <x:c r="BA1" s="6" t="str">
        <x:v>v1.5.1 Timing Summary Total Seconds</x:v>
      </x:c>
      <x:c r="BB1" s="6" t="str">
        <x:v>Fastest Step Seconds</x:v>
      </x:c>
      <x:c r="BC1" s="6" t="str">
        <x:v>Version Winner</x:v>
      </x:c>
      <x:c r="BD1" s="6" t="str">
        <x:v>Fastest Total Seconds</x:v>
      </x:c>
      <x:c r="BE1" s="6" t="str">
        <x:v>Total Seconds Winner</x:v>
      </x:c>
      <x:c r="BF1" s="6" t="str">
        <x:v>v1.5.1 vs Fastest %</x:v>
      </x:c>
      <x:c r="BG1" s="6" t="str">
        <x:v>v1.5.1 Total vs Fastest %</x:v>
      </x:c>
    </x:row>
    <x:row r="2">
      <x:c r="A2" t="str"/>
      <x:c r="B2" t="str">
        <x:v>Setup Report Formatting Dashboard</x:v>
      </x:c>
      <x:c r="C2" t="str">
        <x:v>Start</x:v>
      </x:c>
      <x:c r="D2" s="8" t="n">
        <x:v>0</x:v>
      </x:c>
      <x:c r="E2" s="8" t="n">
        <x:v>0</x:v>
      </x:c>
      <x:c r="F2" s="8"/>
      <x:c r="G2" s="8"/>
      <x:c r="H2" s="8" t="n">
        <x:v>0.001</x:v>
      </x:c>
      <x:c r="I2" s="8" t="n">
        <x:v>0.001</x:v>
      </x:c>
      <x:c r="J2" s="8"/>
      <x:c r="K2" s="8"/>
      <x:c r="L2" s="8"/>
      <x:c r="M2" s="8"/>
      <x:c r="N2" s="8" t="n">
        <x:v>0</x:v>
      </x:c>
      <x:c r="O2" s="8" t="n">
        <x:v>0</x:v>
      </x:c>
      <x:c r="P2" s="8"/>
      <x:c r="Q2" s="8"/>
      <x:c r="R2" s="8" t="n">
        <x:v>0</x:v>
      </x:c>
      <x:c r="S2" s="8" t="n">
        <x:v>0</x:v>
      </x:c>
      <x:c r="T2" s="8"/>
      <x:c r="U2" s="8"/>
      <x:c r="V2" s="8" t="n">
        <x:v>0</x:v>
      </x:c>
      <x:c r="W2" s="8" t="n">
        <x:v>0</x:v>
      </x:c>
      <x:c r="X2" s="8"/>
      <x:c r="Y2" s="8"/>
      <x:c r="Z2" s="8" t="n">
        <x:v>0</x:v>
      </x:c>
      <x:c r="AA2" s="8" t="n">
        <x:v>0</x:v>
      </x:c>
      <x:c r="AB2" s="8"/>
      <x:c r="AC2" s="8"/>
      <x:c r="AD2" s="8" t="n">
        <x:v>0.001</x:v>
      </x:c>
      <x:c r="AE2" s="8" t="n">
        <x:v>0.001</x:v>
      </x:c>
      <x:c r="AF2" s="8" t="n">
        <x:v>0</x:v>
      </x:c>
      <x:c r="AG2" s="8" t="n">
        <x:v>0</x:v>
      </x:c>
      <x:c r="AH2" s="8"/>
      <x:c r="AI2" s="8"/>
      <x:c r="AJ2" s="8"/>
      <x:c r="AK2" s="8"/>
      <x:c r="AL2" s="8" t="n">
        <x:v>0</x:v>
      </x:c>
      <x:c r="AM2" s="8" t="n">
        <x:v>0</x:v>
      </x:c>
      <x:c r="AN2" s="8" t="n">
        <x:v>0</x:v>
      </x:c>
      <x:c r="AO2" s="8" t="n">
        <x:v>0</x:v>
      </x:c>
      <x:c r="AP2" s="8"/>
      <x:c r="AQ2" s="8"/>
      <x:c r="AR2" s="8" t="n">
        <x:v>0</x:v>
      </x:c>
      <x:c r="AS2" s="8" t="n">
        <x:v>0</x:v>
      </x:c>
      <x:c r="AT2" s="8" t="n">
        <x:v>0.001</x:v>
      </x:c>
      <x:c r="AU2" s="8" t="n">
        <x:v>0.001</x:v>
      </x:c>
      <x:c r="AV2" s="8" t="n">
        <x:v>0</x:v>
      </x:c>
      <x:c r="AW2" s="8" t="n">
        <x:v>0</x:v>
      </x:c>
      <x:c r="AX2" s="8" t="n">
        <x:v>0</x:v>
      </x:c>
      <x:c r="AY2" s="8" t="n">
        <x:v>0</x:v>
      </x:c>
      <x:c r="AZ2" s="8"/>
      <x:c r="BA2" s="8"/>
      <x:c r="BB2" s="8" t="n">
        <x:f>LET(m,MIN(IF(D2&gt;0,D2,1E+99),IF(F2&gt;0,F2,1E+99),IF(H2&gt;0,H2,1E+99),IF(J2&gt;0,J2,1E+99),IF(L2&gt;0,L2,1E+99),IF(N2&gt;0,N2,1E+99),IF(P2&gt;0,P2,1E+99),IF(R2&gt;0,R2,1E+99),IF(T2&gt;0,T2,1E+99),IF(V2&gt;0,V2,1E+99),IF(X2&gt;0,X2,1E+99),IF(Z2&gt;0,Z2,1E+99),IF(AB2&gt;0,AB2,1E+99),IF(AD2&gt;0,AD2,1E+99),IF(AF2&gt;0,AF2,1E+99),IF(AH2&gt;0,AH2,1E+99),IF(AJ2&gt;0,AJ2,1E+99),IF(AL2&gt;0,AL2,1E+99),IF(AN2&gt;0,AN2,1E+99),IF(AP2&gt;0,AP2,1E+99),IF(AR2&gt;0,AR2,1E+99),IF(AT2&gt;0,AT2,1E+99),IF(AV2&gt;0,AV2,1E+99),IF(AX2&gt;0,AX2,1E+99),IF(AZ2&gt;0,AZ2,1E+99)),IF(m=1E+99,"",m))</x:f>
        <x:v>0.001</x:v>
      </x:c>
      <x:c r="BC2" s="12" t="e">
        <x:f>IF(BB2="","",INDEX({"v1.4.20","v1.4.20","v1.4.21","v1.4.21","v1.4.23","v1.4.23","v1.4.26","v1.4.26","v1.4.26.1","v1.4.26.1","v1.4.27","v1.4.27","v1.4.29","v1.4.29","v1.4.30","v1.4.30","v1.4.31","v1.4.31","v1.4.33","v1.4.33","v1.4.35","v1.4.35.2","v1.5","v1.5.1","v1.5.1"},MATCH(BB2,CHOOSE({1,2,3,4,5,6,7,8,9,10,11,12,13,14,15,16,17,18,19,20,21,22,23,24,25},D2,F2,H2,J2,L2,N2,P2,R2,T2,V2,X2,Z2,AB2,AD2,AF2,AH2,AJ2,AL2,AN2,AP2,AR2,AT2,AV2,AX2,AZ2),0)))</x:f>
      </x:c>
      <x:c r="BD2" s="14" t="n">
        <x:f>LET(m,MIN(IF(E2&gt;0,E2,1E+99),IF(G2&gt;0,G2,1E+99),IF(I2&gt;0,I2,1E+99),IF(K2&gt;0,K2,1E+99),IF(M2&gt;0,M2,1E+99),IF(O2&gt;0,O2,1E+99),IF(Q2&gt;0,Q2,1E+99),IF(S2&gt;0,S2,1E+99),IF(U2&gt;0,U2,1E+99),IF(W2&gt;0,W2,1E+99),IF(Y2&gt;0,Y2,1E+99),IF(AA2&gt;0,AA2,1E+99),IF(AC2&gt;0,AC2,1E+99),IF(AE2&gt;0,AE2,1E+99),IF(AG2&gt;0,AG2,1E+99),IF(AI2&gt;0,AI2,1E+99),IF(AK2&gt;0,AK2,1E+99),IF(AM2&gt;0,AM2,1E+99),IF(AO2&gt;0,AO2,1E+99),IF(AQ2&gt;0,AQ2,1E+99),IF(AS2&gt;0,AS2,1E+99),IF(AU2&gt;0,AU2,1E+99),IF(AW2&gt;0,AW2,1E+99),IF(AY2&gt;0,AY2,1E+99),IF(BA2&gt;0,BA2,1E+99)),IF(m=1E+99,"",m))</x:f>
        <x:v>0.001</x:v>
      </x:c>
      <x:c r="BE2" s="16" t="e">
        <x:f>IF(BD2="","",INDEX({"v1.4.20","v1.4.20","v1.4.21","v1.4.21","v1.4.23","v1.4.23","v1.4.26","v1.4.26","v1.4.26.1","v1.4.26.1","v1.4.27","v1.4.27","v1.4.29","v1.4.29","v1.4.30","v1.4.30","v1.4.31","v1.4.31","v1.4.33","v1.4.33","v1.4.35","v1.4.35.2","v1.5","v1.5.1","v1.5.1"},MATCH(BD2,CHOOSE({1,2,3,4,5,6,7,8,9,10,11,12,13,14,15,16,17,18,19,20,21,22,23,24,25},E2,G2,I2,K2,M2,O2,Q2,S2,U2,W2,Y2,AA2,AC2,AE2,AG2,AI2,AK2,AM2,AO2,AQ2,AS2,AU2,AW2,AY2,BA2),0)))</x:f>
      </x:c>
      <x:c r="BF2" s="10" t="n">
        <x:f>IFERROR((AX2-BB2)/BB2,"")</x:f>
        <x:v>-1</x:v>
      </x:c>
      <x:c r="BG2" s="10" t="n">
        <x:f>IFERROR((AY2-BD2)/BD2,"")</x:f>
        <x:v>-1</x:v>
      </x:c>
    </x:row>
    <x:row r="3">
      <x:c r="A3" t="str"/>
      <x:c r="B3" t="str">
        <x:v>Setup Report Formatting Dashboard</x:v>
      </x:c>
      <x:c r="C3" t="str">
        <x:v>Dashboard sheet definition governance enforced</x:v>
      </x:c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 t="n">
        <x:v>1.923</x:v>
      </x:c>
      <x:c r="W3" s="8" t="n">
        <x:v>1.923</x:v>
      </x:c>
      <x:c r="X3" s="8"/>
      <x:c r="Y3" s="8"/>
      <x:c r="Z3" s="8"/>
      <x:c r="AA3" s="8"/>
      <x:c r="AB3" s="8"/>
      <x:c r="AC3" s="8"/>
      <x:c r="AD3" s="8"/>
      <x:c r="AE3" s="8"/>
      <x:c r="AF3" s="8"/>
      <x:c r="AG3" s="8"/>
      <x:c r="AH3" s="8"/>
      <x:c r="AI3" s="8"/>
      <x:c r="AJ3" s="8"/>
      <x:c r="AK3" s="8"/>
      <x:c r="AL3" s="8"/>
      <x:c r="AM3" s="8"/>
      <x:c r="AN3" s="8" t="n">
        <x:v>1.768</x:v>
      </x:c>
      <x:c r="AO3" s="8" t="n">
        <x:v>1.768</x:v>
      </x:c>
      <x:c r="AP3" s="8"/>
      <x:c r="AQ3" s="8"/>
      <x:c r="AR3" s="8" t="n">
        <x:v>2.993</x:v>
      </x:c>
      <x:c r="AS3" s="8" t="n">
        <x:v>2.993</x:v>
      </x:c>
      <x:c r="AT3" s="8" t="n">
        <x:v>3.521</x:v>
      </x:c>
      <x:c r="AU3" s="8" t="n">
        <x:v>3.522</x:v>
      </x:c>
      <x:c r="AV3" s="8" t="n">
        <x:v>4.091</x:v>
      </x:c>
      <x:c r="AW3" s="8" t="n">
        <x:v>4.091</x:v>
      </x:c>
      <x:c r="AX3" s="8" t="n">
        <x:v>2.556</x:v>
      </x:c>
      <x:c r="AY3" s="8" t="n">
        <x:v>2.556</x:v>
      </x:c>
      <x:c r="AZ3" s="8"/>
      <x:c r="BA3" s="8"/>
      <x:c r="BB3" s="8" t="n">
        <x:f>LET(m,MIN(IF(D3&gt;0,D3,1E+99),IF(F3&gt;0,F3,1E+99),IF(H3&gt;0,H3,1E+99),IF(J3&gt;0,J3,1E+99),IF(L3&gt;0,L3,1E+99),IF(N3&gt;0,N3,1E+99),IF(P3&gt;0,P3,1E+99),IF(R3&gt;0,R3,1E+99),IF(T3&gt;0,T3,1E+99),IF(V3&gt;0,V3,1E+99),IF(X3&gt;0,X3,1E+99),IF(Z3&gt;0,Z3,1E+99),IF(AB3&gt;0,AB3,1E+99),IF(AD3&gt;0,AD3,1E+99),IF(AF3&gt;0,AF3,1E+99),IF(AH3&gt;0,AH3,1E+99),IF(AJ3&gt;0,AJ3,1E+99),IF(AL3&gt;0,AL3,1E+99),IF(AN3&gt;0,AN3,1E+99),IF(AP3&gt;0,AP3,1E+99),IF(AR3&gt;0,AR3,1E+99),IF(AT3&gt;0,AT3,1E+99),IF(AV3&gt;0,AV3,1E+99),IF(AX3&gt;0,AX3,1E+99),IF(AZ3&gt;0,AZ3,1E+99)),IF(m=1E+99,"",m))</x:f>
        <x:v>1.768</x:v>
      </x:c>
      <x:c r="BC3" s="12" t="e">
        <x:f>IF(BB3="","",INDEX({"v1.4.20","v1.4.20","v1.4.21","v1.4.21","v1.4.23","v1.4.23","v1.4.26","v1.4.26","v1.4.26.1","v1.4.26.1","v1.4.27","v1.4.27","v1.4.29","v1.4.29","v1.4.30","v1.4.30","v1.4.31","v1.4.31","v1.4.33","v1.4.33","v1.4.35","v1.4.35.2","v1.5","v1.5.1","v1.5.1"},MATCH(BB3,CHOOSE({1,2,3,4,5,6,7,8,9,10,11,12,13,14,15,16,17,18,19,20,21,22,23,24,25},D3,F3,H3,J3,L3,N3,P3,R3,T3,V3,X3,Z3,AB3,AD3,AF3,AH3,AJ3,AL3,AN3,AP3,AR3,AT3,AV3,AX3,AZ3),0)))</x:f>
      </x:c>
      <x:c r="BD3" s="14" t="n">
        <x:f>LET(m,MIN(IF(E3&gt;0,E3,1E+99),IF(G3&gt;0,G3,1E+99),IF(I3&gt;0,I3,1E+99),IF(K3&gt;0,K3,1E+99),IF(M3&gt;0,M3,1E+99),IF(O3&gt;0,O3,1E+99),IF(Q3&gt;0,Q3,1E+99),IF(S3&gt;0,S3,1E+99),IF(U3&gt;0,U3,1E+99),IF(W3&gt;0,W3,1E+99),IF(Y3&gt;0,Y3,1E+99),IF(AA3&gt;0,AA3,1E+99),IF(AC3&gt;0,AC3,1E+99),IF(AE3&gt;0,AE3,1E+99),IF(AG3&gt;0,AG3,1E+99),IF(AI3&gt;0,AI3,1E+99),IF(AK3&gt;0,AK3,1E+99),IF(AM3&gt;0,AM3,1E+99),IF(AO3&gt;0,AO3,1E+99),IF(AQ3&gt;0,AQ3,1E+99),IF(AS3&gt;0,AS3,1E+99),IF(AU3&gt;0,AU3,1E+99),IF(AW3&gt;0,AW3,1E+99),IF(AY3&gt;0,AY3,1E+99),IF(BA3&gt;0,BA3,1E+99)),IF(m=1E+99,"",m))</x:f>
        <x:v>1.768</x:v>
      </x:c>
      <x:c r="BE3" s="16" t="e">
        <x:f>IF(BD3="","",INDEX({"v1.4.20","v1.4.20","v1.4.21","v1.4.21","v1.4.23","v1.4.23","v1.4.26","v1.4.26","v1.4.26.1","v1.4.26.1","v1.4.27","v1.4.27","v1.4.29","v1.4.29","v1.4.30","v1.4.30","v1.4.31","v1.4.31","v1.4.33","v1.4.33","v1.4.35","v1.4.35.2","v1.5","v1.5.1","v1.5.1"},MATCH(BD3,CHOOSE({1,2,3,4,5,6,7,8,9,10,11,12,13,14,15,16,17,18,19,20,21,22,23,24,25},E3,G3,I3,K3,M3,O3,Q3,S3,U3,W3,Y3,AA3,AC3,AE3,AG3,AI3,AK3,AM3,AO3,AQ3,AS3,AU3,AW3,AY3,BA3),0)))</x:f>
      </x:c>
      <x:c r="BF3" s="10" t="n">
        <x:f>IFERROR((AX3-BB3)/BB3,"")</x:f>
        <x:v>0.4457013574660634</x:v>
      </x:c>
      <x:c r="BG3" s="10" t="n">
        <x:f>IFERROR((AY3-BD3)/BD3,"")</x:f>
        <x:v>0.4457013574660634</x:v>
      </x:c>
    </x:row>
    <x:row r="4">
      <x:c r="A4" t="str"/>
      <x:c r="B4" t="str">
        <x:v>Setup Report Formatting Dashboard</x:v>
      </x:c>
      <x:c r="C4" t="str">
        <x:v>Dashboard sections written</x:v>
      </x:c>
      <x:c r="D4" s="8" t="n">
        <x:v>2.77</x:v>
      </x:c>
      <x:c r="E4" s="8" t="n">
        <x:v>2.77</x:v>
      </x:c>
      <x:c r="F4" s="8"/>
      <x:c r="G4" s="8"/>
      <x:c r="H4" s="8" t="n">
        <x:v>1.638</x:v>
      </x:c>
      <x:c r="I4" s="8" t="n">
        <x:v>1.639</x:v>
      </x:c>
      <x:c r="J4" s="8"/>
      <x:c r="K4" s="8"/>
      <x:c r="L4" s="8"/>
      <x:c r="M4" s="8"/>
      <x:c r="N4" s="8" t="n">
        <x:v>1.861</x:v>
      </x:c>
      <x:c r="O4" s="8" t="n">
        <x:v>1.861</x:v>
      </x:c>
      <x:c r="P4" s="8"/>
      <x:c r="Q4" s="8"/>
      <x:c r="R4" s="8" t="n">
        <x:v>1.381</x:v>
      </x:c>
      <x:c r="S4" s="8" t="n">
        <x:v>1.381</x:v>
      </x:c>
      <x:c r="T4" s="8"/>
      <x:c r="U4" s="8"/>
      <x:c r="V4" s="8" t="n">
        <x:v>0</x:v>
      </x:c>
      <x:c r="W4" s="8" t="n">
        <x:v>1.923</x:v>
      </x:c>
      <x:c r="X4" s="8"/>
      <x:c r="Y4" s="8"/>
      <x:c r="Z4" s="8" t="n">
        <x:v>2.034</x:v>
      </x:c>
      <x:c r="AA4" s="8" t="n">
        <x:v>2.034</x:v>
      </x:c>
      <x:c r="AB4" s="8"/>
      <x:c r="AC4" s="8"/>
      <x:c r="AD4" s="8" t="n">
        <x:v>2.459</x:v>
      </x:c>
      <x:c r="AE4" s="8" t="n">
        <x:v>2.46</x:v>
      </x:c>
      <x:c r="AF4" s="8" t="n">
        <x:v>2.138</x:v>
      </x:c>
      <x:c r="AG4" s="8" t="n">
        <x:v>2.138</x:v>
      </x:c>
      <x:c r="AH4" s="8"/>
      <x:c r="AI4" s="8"/>
      <x:c r="AJ4" s="8"/>
      <x:c r="AK4" s="8"/>
      <x:c r="AL4" s="8" t="n">
        <x:v>2.189</x:v>
      </x:c>
      <x:c r="AM4" s="8" t="n">
        <x:v>2.189</x:v>
      </x:c>
      <x:c r="AN4" s="8" t="n">
        <x:v>0</x:v>
      </x:c>
      <x:c r="AO4" s="8" t="n">
        <x:v>1.768</x:v>
      </x:c>
      <x:c r="AP4" s="8"/>
      <x:c r="AQ4" s="8"/>
      <x:c r="AR4" s="8" t="n">
        <x:v>0</x:v>
      </x:c>
      <x:c r="AS4" s="8" t="n">
        <x:v>2.993</x:v>
      </x:c>
      <x:c r="AT4" s="8" t="n">
        <x:v>0</x:v>
      </x:c>
      <x:c r="AU4" s="8" t="n">
        <x:v>3.522</x:v>
      </x:c>
      <x:c r="AV4" s="8" t="n">
        <x:v>0</x:v>
      </x:c>
      <x:c r="AW4" s="8" t="n">
        <x:v>4.091</x:v>
      </x:c>
      <x:c r="AX4" s="8" t="n">
        <x:v>0</x:v>
      </x:c>
      <x:c r="AY4" s="8" t="n">
        <x:v>2.556</x:v>
      </x:c>
      <x:c r="AZ4" s="8"/>
      <x:c r="BA4" s="8"/>
      <x:c r="BB4" s="8" t="n">
        <x:f>LET(m,MIN(IF(D4&gt;0,D4,1E+99),IF(F4&gt;0,F4,1E+99),IF(H4&gt;0,H4,1E+99),IF(J4&gt;0,J4,1E+99),IF(L4&gt;0,L4,1E+99),IF(N4&gt;0,N4,1E+99),IF(P4&gt;0,P4,1E+99),IF(R4&gt;0,R4,1E+99),IF(T4&gt;0,T4,1E+99),IF(V4&gt;0,V4,1E+99),IF(X4&gt;0,X4,1E+99),IF(Z4&gt;0,Z4,1E+99),IF(AB4&gt;0,AB4,1E+99),IF(AD4&gt;0,AD4,1E+99),IF(AF4&gt;0,AF4,1E+99),IF(AH4&gt;0,AH4,1E+99),IF(AJ4&gt;0,AJ4,1E+99),IF(AL4&gt;0,AL4,1E+99),IF(AN4&gt;0,AN4,1E+99),IF(AP4&gt;0,AP4,1E+99),IF(AR4&gt;0,AR4,1E+99),IF(AT4&gt;0,AT4,1E+99),IF(AV4&gt;0,AV4,1E+99),IF(AX4&gt;0,AX4,1E+99),IF(AZ4&gt;0,AZ4,1E+99)),IF(m=1E+99,"",m))</x:f>
        <x:v>1.381</x:v>
      </x:c>
      <x:c r="BC4" s="12" t="e">
        <x:f>IF(BB4="","",INDEX({"v1.4.20","v1.4.20","v1.4.21","v1.4.21","v1.4.23","v1.4.23","v1.4.26","v1.4.26","v1.4.26.1","v1.4.26.1","v1.4.27","v1.4.27","v1.4.29","v1.4.29","v1.4.30","v1.4.30","v1.4.31","v1.4.31","v1.4.33","v1.4.33","v1.4.35","v1.4.35.2","v1.5","v1.5.1","v1.5.1"},MATCH(BB4,CHOOSE({1,2,3,4,5,6,7,8,9,10,11,12,13,14,15,16,17,18,19,20,21,22,23,24,25},D4,F4,H4,J4,L4,N4,P4,R4,T4,V4,X4,Z4,AB4,AD4,AF4,AH4,AJ4,AL4,AN4,AP4,AR4,AT4,AV4,AX4,AZ4),0)))</x:f>
      </x:c>
      <x:c r="BD4" s="14" t="n">
        <x:f>LET(m,MIN(IF(E4&gt;0,E4,1E+99),IF(G4&gt;0,G4,1E+99),IF(I4&gt;0,I4,1E+99),IF(K4&gt;0,K4,1E+99),IF(M4&gt;0,M4,1E+99),IF(O4&gt;0,O4,1E+99),IF(Q4&gt;0,Q4,1E+99),IF(S4&gt;0,S4,1E+99),IF(U4&gt;0,U4,1E+99),IF(W4&gt;0,W4,1E+99),IF(Y4&gt;0,Y4,1E+99),IF(AA4&gt;0,AA4,1E+99),IF(AC4&gt;0,AC4,1E+99),IF(AE4&gt;0,AE4,1E+99),IF(AG4&gt;0,AG4,1E+99),IF(AI4&gt;0,AI4,1E+99),IF(AK4&gt;0,AK4,1E+99),IF(AM4&gt;0,AM4,1E+99),IF(AO4&gt;0,AO4,1E+99),IF(AQ4&gt;0,AQ4,1E+99),IF(AS4&gt;0,AS4,1E+99),IF(AU4&gt;0,AU4,1E+99),IF(AW4&gt;0,AW4,1E+99),IF(AY4&gt;0,AY4,1E+99),IF(BA4&gt;0,BA4,1E+99)),IF(m=1E+99,"",m))</x:f>
        <x:v>1.381</x:v>
      </x:c>
      <x:c r="BE4" s="16" t="e">
        <x:f>IF(BD4="","",INDEX({"v1.4.20","v1.4.20","v1.4.21","v1.4.21","v1.4.23","v1.4.23","v1.4.26","v1.4.26","v1.4.26.1","v1.4.26.1","v1.4.27","v1.4.27","v1.4.29","v1.4.29","v1.4.30","v1.4.30","v1.4.31","v1.4.31","v1.4.33","v1.4.33","v1.4.35","v1.4.35.2","v1.5","v1.5.1","v1.5.1"},MATCH(BD4,CHOOSE({1,2,3,4,5,6,7,8,9,10,11,12,13,14,15,16,17,18,19,20,21,22,23,24,25},E4,G4,I4,K4,M4,O4,Q4,S4,U4,W4,Y4,AA4,AC4,AE4,AG4,AI4,AK4,AM4,AO4,AQ4,AS4,AU4,AW4,AY4,BA4),0)))</x:f>
      </x:c>
      <x:c r="BF4" s="10" t="n">
        <x:f>IFERROR((AX4-BB4)/BB4,"")</x:f>
        <x:v>-1</x:v>
      </x:c>
      <x:c r="BG4" s="10" t="n">
        <x:f>IFERROR((AY4-BD4)/BD4,"")</x:f>
        <x:v>0.8508327299058653</x:v>
      </x:c>
    </x:row>
    <x:row r="5">
      <x:c r="A5" t="str"/>
      <x:c r="B5" t="str">
        <x:v>Setup Report Formatting Dashboard</x:v>
      </x:c>
      <x:c r="C5" t="str">
        <x:v>Complete</x:v>
      </x:c>
      <x:c r="D5" s="8" t="n">
        <x:v>0</x:v>
      </x:c>
      <x:c r="E5" s="8" t="n">
        <x:v>2.77</x:v>
      </x:c>
      <x:c r="F5" s="8"/>
      <x:c r="G5" s="8"/>
      <x:c r="H5" s="8" t="n">
        <x:v>0</x:v>
      </x:c>
      <x:c r="I5" s="8" t="n">
        <x:v>1.639</x:v>
      </x:c>
      <x:c r="J5" s="8"/>
      <x:c r="K5" s="8"/>
      <x:c r="L5" s="8"/>
      <x:c r="M5" s="8"/>
      <x:c r="N5" s="8" t="n">
        <x:v>0</x:v>
      </x:c>
      <x:c r="O5" s="8" t="n">
        <x:v>1.861</x:v>
      </x:c>
      <x:c r="P5" s="8"/>
      <x:c r="Q5" s="8"/>
      <x:c r="R5" s="8" t="n">
        <x:v>0</x:v>
      </x:c>
      <x:c r="S5" s="8" t="n">
        <x:v>1.381</x:v>
      </x:c>
      <x:c r="T5" s="8"/>
      <x:c r="U5" s="8"/>
      <x:c r="V5" s="8" t="n">
        <x:v>0</x:v>
      </x:c>
      <x:c r="W5" s="8" t="n">
        <x:v>1.923</x:v>
      </x:c>
      <x:c r="X5" s="8"/>
      <x:c r="Y5" s="8"/>
      <x:c r="Z5" s="8" t="n">
        <x:v>0</x:v>
      </x:c>
      <x:c r="AA5" s="8" t="n">
        <x:v>2.034</x:v>
      </x:c>
      <x:c r="AB5" s="8"/>
      <x:c r="AC5" s="8"/>
      <x:c r="AD5" s="8" t="n">
        <x:v>0</x:v>
      </x:c>
      <x:c r="AE5" s="8" t="n">
        <x:v>2.46</x:v>
      </x:c>
      <x:c r="AF5" s="8" t="n">
        <x:v>0</x:v>
      </x:c>
      <x:c r="AG5" s="8" t="n">
        <x:v>2.138</x:v>
      </x:c>
      <x:c r="AH5" s="8"/>
      <x:c r="AI5" s="8"/>
      <x:c r="AJ5" s="8"/>
      <x:c r="AK5" s="8"/>
      <x:c r="AL5" s="8" t="n">
        <x:v>0</x:v>
      </x:c>
      <x:c r="AM5" s="8" t="n">
        <x:v>2.189</x:v>
      </x:c>
      <x:c r="AN5" s="8" t="n">
        <x:v>0</x:v>
      </x:c>
      <x:c r="AO5" s="8" t="n">
        <x:v>1.768</x:v>
      </x:c>
      <x:c r="AP5" s="8"/>
      <x:c r="AQ5" s="8"/>
      <x:c r="AR5" s="8" t="n">
        <x:v>0</x:v>
      </x:c>
      <x:c r="AS5" s="8" t="n">
        <x:v>2.993</x:v>
      </x:c>
      <x:c r="AT5" s="8" t="n">
        <x:v>0</x:v>
      </x:c>
      <x:c r="AU5" s="8" t="n">
        <x:v>3.522</x:v>
      </x:c>
      <x:c r="AV5" s="8" t="n">
        <x:v>0</x:v>
      </x:c>
      <x:c r="AW5" s="8" t="n">
        <x:v>4.091</x:v>
      </x:c>
      <x:c r="AX5" s="8" t="n">
        <x:v>0</x:v>
      </x:c>
      <x:c r="AY5" s="8" t="n">
        <x:v>2.556</x:v>
      </x:c>
      <x:c r="AZ5" s="8"/>
      <x:c r="BA5" s="8"/>
      <x:c r="BB5" s="8" t="str">
        <x:f>LET(m,MIN(IF(D5&gt;0,D5,1E+99),IF(F5&gt;0,F5,1E+99),IF(H5&gt;0,H5,1E+99),IF(J5&gt;0,J5,1E+99),IF(L5&gt;0,L5,1E+99),IF(N5&gt;0,N5,1E+99),IF(P5&gt;0,P5,1E+99),IF(R5&gt;0,R5,1E+99),IF(T5&gt;0,T5,1E+99),IF(V5&gt;0,V5,1E+99),IF(X5&gt;0,X5,1E+99),IF(Z5&gt;0,Z5,1E+99),IF(AB5&gt;0,AB5,1E+99),IF(AD5&gt;0,AD5,1E+99),IF(AF5&gt;0,AF5,1E+99),IF(AH5&gt;0,AH5,1E+99),IF(AJ5&gt;0,AJ5,1E+99),IF(AL5&gt;0,AL5,1E+99),IF(AN5&gt;0,AN5,1E+99),IF(AP5&gt;0,AP5,1E+99),IF(AR5&gt;0,AR5,1E+99),IF(AT5&gt;0,AT5,1E+99),IF(AV5&gt;0,AV5,1E+99),IF(AX5&gt;0,AX5,1E+99),IF(AZ5&gt;0,AZ5,1E+99)),IF(m=1E+99,"",m))</x:f>
      </x:c>
      <x:c r="BC5" s="12" t="str">
        <x:f>IF(BB5="","",INDEX({"v1.4.20","v1.4.20","v1.4.21","v1.4.21","v1.4.23","v1.4.23","v1.4.26","v1.4.26","v1.4.26.1","v1.4.26.1","v1.4.27","v1.4.27","v1.4.29","v1.4.29","v1.4.30","v1.4.30","v1.4.31","v1.4.31","v1.4.33","v1.4.33","v1.4.35","v1.4.35.2","v1.5","v1.5.1","v1.5.1"},MATCH(BB5,CHOOSE({1,2,3,4,5,6,7,8,9,10,11,12,13,14,15,16,17,18,19,20,21,22,23,24,25},D5,F5,H5,J5,L5,N5,P5,R5,T5,V5,X5,Z5,AB5,AD5,AF5,AH5,AJ5,AL5,AN5,AP5,AR5,AT5,AV5,AX5,AZ5),0)))</x:f>
      </x:c>
      <x:c r="BD5" s="14" t="n">
        <x:f>LET(m,MIN(IF(E5&gt;0,E5,1E+99),IF(G5&gt;0,G5,1E+99),IF(I5&gt;0,I5,1E+99),IF(K5&gt;0,K5,1E+99),IF(M5&gt;0,M5,1E+99),IF(O5&gt;0,O5,1E+99),IF(Q5&gt;0,Q5,1E+99),IF(S5&gt;0,S5,1E+99),IF(U5&gt;0,U5,1E+99),IF(W5&gt;0,W5,1E+99),IF(Y5&gt;0,Y5,1E+99),IF(AA5&gt;0,AA5,1E+99),IF(AC5&gt;0,AC5,1E+99),IF(AE5&gt;0,AE5,1E+99),IF(AG5&gt;0,AG5,1E+99),IF(AI5&gt;0,AI5,1E+99),IF(AK5&gt;0,AK5,1E+99),IF(AM5&gt;0,AM5,1E+99),IF(AO5&gt;0,AO5,1E+99),IF(AQ5&gt;0,AQ5,1E+99),IF(AS5&gt;0,AS5,1E+99),IF(AU5&gt;0,AU5,1E+99),IF(AW5&gt;0,AW5,1E+99),IF(AY5&gt;0,AY5,1E+99),IF(BA5&gt;0,BA5,1E+99)),IF(m=1E+99,"",m))</x:f>
        <x:v>1.381</x:v>
      </x:c>
      <x:c r="BE5" s="16" t="e">
        <x:f>IF(BD5="","",INDEX({"v1.4.20","v1.4.20","v1.4.21","v1.4.21","v1.4.23","v1.4.23","v1.4.26","v1.4.26","v1.4.26.1","v1.4.26.1","v1.4.27","v1.4.27","v1.4.29","v1.4.29","v1.4.30","v1.4.30","v1.4.31","v1.4.31","v1.4.33","v1.4.33","v1.4.35","v1.4.35.2","v1.5","v1.5.1","v1.5.1"},MATCH(BD5,CHOOSE({1,2,3,4,5,6,7,8,9,10,11,12,13,14,15,16,17,18,19,20,21,22,23,24,25},E5,G5,I5,K5,M5,O5,Q5,S5,U5,W5,Y5,AA5,AC5,AE5,AG5,AI5,AK5,AM5,AO5,AQ5,AS5,AU5,AW5,AY5,BA5),0)))</x:f>
      </x:c>
      <x:c r="BF5" s="10" t="str">
        <x:f>IFERROR((AX5-BB5)/BB5,"")</x:f>
      </x:c>
      <x:c r="BG5" s="10" t="n">
        <x:f>IFERROR((AY5-BD5)/BD5,"")</x:f>
        <x:v>0.8508327299058653</x:v>
      </x:c>
    </x:row>
    <x:row r="6">
      <x:c r="A6" t="str"/>
      <x:c r="B6" t="str">
        <x:v>Create / Refresh All Templates</x:v>
      </x:c>
      <x:c r="C6" t="str">
        <x:v>Start</x:v>
      </x:c>
      <x:c r="D6" s="8" t="n">
        <x:v>0</x:v>
      </x:c>
      <x:c r="E6" s="8" t="n">
        <x:v>0</x:v>
      </x:c>
      <x:c r="F6" s="8"/>
      <x:c r="G6" s="8"/>
      <x:c r="H6" s="8" t="n">
        <x:v>0</x:v>
      </x:c>
      <x:c r="I6" s="8" t="n">
        <x:v>0</x:v>
      </x:c>
      <x:c r="J6" s="8"/>
      <x:c r="K6" s="8"/>
      <x:c r="L6" s="8"/>
      <x:c r="M6" s="8"/>
      <x:c r="N6" s="8" t="n">
        <x:v>0</x:v>
      </x:c>
      <x:c r="O6" s="8" t="n">
        <x:v>0</x:v>
      </x:c>
      <x:c r="P6" s="8"/>
      <x:c r="Q6" s="8"/>
      <x:c r="R6" s="8" t="n">
        <x:v>0</x:v>
      </x:c>
      <x:c r="S6" s="8" t="n">
        <x:v>0</x:v>
      </x:c>
      <x:c r="T6" s="8"/>
      <x:c r="U6" s="8"/>
      <x:c r="V6" s="8" t="n">
        <x:v>0</x:v>
      </x:c>
      <x:c r="W6" s="8" t="n">
        <x:v>0</x:v>
      </x:c>
      <x:c r="X6" s="8"/>
      <x:c r="Y6" s="8"/>
      <x:c r="Z6" s="8" t="n">
        <x:v>0</x:v>
      </x:c>
      <x:c r="AA6" s="8" t="n">
        <x:v>0</x:v>
      </x:c>
      <x:c r="AB6" s="8"/>
      <x:c r="AC6" s="8"/>
      <x:c r="AD6" s="8" t="n">
        <x:v>0</x:v>
      </x:c>
      <x:c r="AE6" s="8" t="n">
        <x:v>0</x:v>
      </x:c>
      <x:c r="AF6" s="8" t="n">
        <x:v>0</x:v>
      </x:c>
      <x:c r="AG6" s="8" t="n">
        <x:v>0</x:v>
      </x:c>
      <x:c r="AH6" s="8"/>
      <x:c r="AI6" s="8"/>
      <x:c r="AJ6" s="8"/>
      <x:c r="AK6" s="8"/>
      <x:c r="AL6" s="8" t="n">
        <x:v>0</x:v>
      </x:c>
      <x:c r="AM6" s="8" t="n">
        <x:v>0</x:v>
      </x:c>
      <x:c r="AN6" s="8" t="n">
        <x:v>0</x:v>
      </x:c>
      <x:c r="AO6" s="8" t="n">
        <x:v>0</x:v>
      </x:c>
      <x:c r="AP6" s="8"/>
      <x:c r="AQ6" s="8"/>
      <x:c r="AR6" s="8" t="n">
        <x:v>0</x:v>
      </x:c>
      <x:c r="AS6" s="8" t="n">
        <x:v>0</x:v>
      </x:c>
      <x:c r="AT6" s="8" t="n">
        <x:v>0.001</x:v>
      </x:c>
      <x:c r="AU6" s="8" t="n">
        <x:v>0.001</x:v>
      </x:c>
      <x:c r="AV6" s="8" t="n">
        <x:v>0.001</x:v>
      </x:c>
      <x:c r="AW6" s="8" t="n">
        <x:v>0.001</x:v>
      </x:c>
      <x:c r="AX6" s="8" t="n">
        <x:v>0</x:v>
      </x:c>
      <x:c r="AY6" s="8" t="n">
        <x:v>0</x:v>
      </x:c>
      <x:c r="AZ6" s="8"/>
      <x:c r="BA6" s="8"/>
      <x:c r="BB6" s="8" t="n">
        <x:f>LET(m,MIN(IF(D6&gt;0,D6,1E+99),IF(F6&gt;0,F6,1E+99),IF(H6&gt;0,H6,1E+99),IF(J6&gt;0,J6,1E+99),IF(L6&gt;0,L6,1E+99),IF(N6&gt;0,N6,1E+99),IF(P6&gt;0,P6,1E+99),IF(R6&gt;0,R6,1E+99),IF(T6&gt;0,T6,1E+99),IF(V6&gt;0,V6,1E+99),IF(X6&gt;0,X6,1E+99),IF(Z6&gt;0,Z6,1E+99),IF(AB6&gt;0,AB6,1E+99),IF(AD6&gt;0,AD6,1E+99),IF(AF6&gt;0,AF6,1E+99),IF(AH6&gt;0,AH6,1E+99),IF(AJ6&gt;0,AJ6,1E+99),IF(AL6&gt;0,AL6,1E+99),IF(AN6&gt;0,AN6,1E+99),IF(AP6&gt;0,AP6,1E+99),IF(AR6&gt;0,AR6,1E+99),IF(AT6&gt;0,AT6,1E+99),IF(AV6&gt;0,AV6,1E+99),IF(AX6&gt;0,AX6,1E+99),IF(AZ6&gt;0,AZ6,1E+99)),IF(m=1E+99,"",m))</x:f>
        <x:v>0.001</x:v>
      </x:c>
      <x:c r="BC6" s="12" t="e">
        <x:f>IF(BB6="","",INDEX({"v1.4.20","v1.4.20","v1.4.21","v1.4.21","v1.4.23","v1.4.23","v1.4.26","v1.4.26","v1.4.26.1","v1.4.26.1","v1.4.27","v1.4.27","v1.4.29","v1.4.29","v1.4.30","v1.4.30","v1.4.31","v1.4.31","v1.4.33","v1.4.33","v1.4.35","v1.4.35.2","v1.5","v1.5.1","v1.5.1"},MATCH(BB6,CHOOSE({1,2,3,4,5,6,7,8,9,10,11,12,13,14,15,16,17,18,19,20,21,22,23,24,25},D6,F6,H6,J6,L6,N6,P6,R6,T6,V6,X6,Z6,AB6,AD6,AF6,AH6,AJ6,AL6,AN6,AP6,AR6,AT6,AV6,AX6,AZ6),0)))</x:f>
      </x:c>
      <x:c r="BD6" s="14" t="n">
        <x:f>LET(m,MIN(IF(E6&gt;0,E6,1E+99),IF(G6&gt;0,G6,1E+99),IF(I6&gt;0,I6,1E+99),IF(K6&gt;0,K6,1E+99),IF(M6&gt;0,M6,1E+99),IF(O6&gt;0,O6,1E+99),IF(Q6&gt;0,Q6,1E+99),IF(S6&gt;0,S6,1E+99),IF(U6&gt;0,U6,1E+99),IF(W6&gt;0,W6,1E+99),IF(Y6&gt;0,Y6,1E+99),IF(AA6&gt;0,AA6,1E+99),IF(AC6&gt;0,AC6,1E+99),IF(AE6&gt;0,AE6,1E+99),IF(AG6&gt;0,AG6,1E+99),IF(AI6&gt;0,AI6,1E+99),IF(AK6&gt;0,AK6,1E+99),IF(AM6&gt;0,AM6,1E+99),IF(AO6&gt;0,AO6,1E+99),IF(AQ6&gt;0,AQ6,1E+99),IF(AS6&gt;0,AS6,1E+99),IF(AU6&gt;0,AU6,1E+99),IF(AW6&gt;0,AW6,1E+99),IF(AY6&gt;0,AY6,1E+99),IF(BA6&gt;0,BA6,1E+99)),IF(m=1E+99,"",m))</x:f>
        <x:v>0.001</x:v>
      </x:c>
      <x:c r="BE6" s="16" t="e">
        <x:f>IF(BD6="","",INDEX({"v1.4.20","v1.4.20","v1.4.21","v1.4.21","v1.4.23","v1.4.23","v1.4.26","v1.4.26","v1.4.26.1","v1.4.26.1","v1.4.27","v1.4.27","v1.4.29","v1.4.29","v1.4.30","v1.4.30","v1.4.31","v1.4.31","v1.4.33","v1.4.33","v1.4.35","v1.4.35.2","v1.5","v1.5.1","v1.5.1"},MATCH(BD6,CHOOSE({1,2,3,4,5,6,7,8,9,10,11,12,13,14,15,16,17,18,19,20,21,22,23,24,25},E6,G6,I6,K6,M6,O6,Q6,S6,U6,W6,Y6,AA6,AC6,AE6,AG6,AI6,AK6,AM6,AO6,AQ6,AS6,AU6,AW6,AY6,BA6),0)))</x:f>
      </x:c>
      <x:c r="BF6" s="10" t="n">
        <x:f>IFERROR((AX6-BB6)/BB6,"")</x:f>
        <x:v>-1</x:v>
      </x:c>
      <x:c r="BG6" s="10" t="n">
        <x:f>IFERROR((AY6-BD6)/BD6,"")</x:f>
        <x:v>-1</x:v>
      </x:c>
    </x:row>
    <x:row r="7">
      <x:c r="A7" t="str"/>
      <x:c r="B7" t="str">
        <x:v>Create / Refresh All Templates</x:v>
      </x:c>
      <x:c r="C7" t="str">
        <x:v>Dashboard loaded</x:v>
      </x:c>
      <x:c r="D7" s="8" t="n">
        <x:v>5.003</x:v>
      </x:c>
      <x:c r="E7" s="8" t="n">
        <x:v>5.003</x:v>
      </x:c>
      <x:c r="F7" s="8"/>
      <x:c r="G7" s="8"/>
      <x:c r="H7" s="8" t="n">
        <x:v>6.049</x:v>
      </x:c>
      <x:c r="I7" s="8" t="n">
        <x:v>6.049</x:v>
      </x:c>
      <x:c r="J7" s="8"/>
      <x:c r="K7" s="8"/>
      <x:c r="L7" s="8"/>
      <x:c r="M7" s="8"/>
      <x:c r="N7" s="8" t="n">
        <x:v>6.915</x:v>
      </x:c>
      <x:c r="O7" s="8" t="n">
        <x:v>6.915</x:v>
      </x:c>
      <x:c r="P7" s="8"/>
      <x:c r="Q7" s="8"/>
      <x:c r="R7" s="8" t="n">
        <x:v>3.435</x:v>
      </x:c>
      <x:c r="S7" s="8" t="n">
        <x:v>3.435</x:v>
      </x:c>
      <x:c r="T7" s="8"/>
      <x:c r="U7" s="8"/>
      <x:c r="V7" s="8" t="n">
        <x:v>4.154</x:v>
      </x:c>
      <x:c r="W7" s="8" t="n">
        <x:v>4.154</x:v>
      </x:c>
      <x:c r="X7" s="8"/>
      <x:c r="Y7" s="8"/>
      <x:c r="Z7" s="8" t="n">
        <x:v>4.454</x:v>
      </x:c>
      <x:c r="AA7" s="8" t="n">
        <x:v>4.454</x:v>
      </x:c>
      <x:c r="AB7" s="8"/>
      <x:c r="AC7" s="8"/>
      <x:c r="AD7" s="8" t="n">
        <x:v>3.161</x:v>
      </x:c>
      <x:c r="AE7" s="8" t="n">
        <x:v>3.161</x:v>
      </x:c>
      <x:c r="AF7" s="8" t="n">
        <x:v>5.107</x:v>
      </x:c>
      <x:c r="AG7" s="8" t="n">
        <x:v>5.107</x:v>
      </x:c>
      <x:c r="AH7" s="8"/>
      <x:c r="AI7" s="8"/>
      <x:c r="AJ7" s="8"/>
      <x:c r="AK7" s="8"/>
      <x:c r="AL7" s="8" t="n">
        <x:v>4.493</x:v>
      </x:c>
      <x:c r="AM7" s="8" t="n">
        <x:v>4.493</x:v>
      </x:c>
      <x:c r="AN7" s="8" t="n">
        <x:v>5.632</x:v>
      </x:c>
      <x:c r="AO7" s="8" t="n">
        <x:v>5.632</x:v>
      </x:c>
      <x:c r="AP7" s="8"/>
      <x:c r="AQ7" s="8"/>
      <x:c r="AR7" s="8" t="n">
        <x:v>7.653</x:v>
      </x:c>
      <x:c r="AS7" s="8" t="n">
        <x:v>7.653</x:v>
      </x:c>
      <x:c r="AT7" s="8" t="n">
        <x:v>5.481</x:v>
      </x:c>
      <x:c r="AU7" s="8" t="n">
        <x:v>5.482</x:v>
      </x:c>
      <x:c r="AV7" s="8" t="n">
        <x:v>3.246</x:v>
      </x:c>
      <x:c r="AW7" s="8" t="n">
        <x:v>3.247</x:v>
      </x:c>
      <x:c r="AX7" s="8" t="n">
        <x:v>4.589</x:v>
      </x:c>
      <x:c r="AY7" s="8" t="n">
        <x:v>4.589</x:v>
      </x:c>
      <x:c r="AZ7" s="8"/>
      <x:c r="BA7" s="8"/>
      <x:c r="BB7" s="8" t="n">
        <x:f>LET(m,MIN(IF(D7&gt;0,D7,1E+99),IF(F7&gt;0,F7,1E+99),IF(H7&gt;0,H7,1E+99),IF(J7&gt;0,J7,1E+99),IF(L7&gt;0,L7,1E+99),IF(N7&gt;0,N7,1E+99),IF(P7&gt;0,P7,1E+99),IF(R7&gt;0,R7,1E+99),IF(T7&gt;0,T7,1E+99),IF(V7&gt;0,V7,1E+99),IF(X7&gt;0,X7,1E+99),IF(Z7&gt;0,Z7,1E+99),IF(AB7&gt;0,AB7,1E+99),IF(AD7&gt;0,AD7,1E+99),IF(AF7&gt;0,AF7,1E+99),IF(AH7&gt;0,AH7,1E+99),IF(AJ7&gt;0,AJ7,1E+99),IF(AL7&gt;0,AL7,1E+99),IF(AN7&gt;0,AN7,1E+99),IF(AP7&gt;0,AP7,1E+99),IF(AR7&gt;0,AR7,1E+99),IF(AT7&gt;0,AT7,1E+99),IF(AV7&gt;0,AV7,1E+99),IF(AX7&gt;0,AX7,1E+99),IF(AZ7&gt;0,AZ7,1E+99)),IF(m=1E+99,"",m))</x:f>
        <x:v>3.161</x:v>
      </x:c>
      <x:c r="BC7" s="12" t="e">
        <x:f>IF(BB7="","",INDEX({"v1.4.20","v1.4.20","v1.4.21","v1.4.21","v1.4.23","v1.4.23","v1.4.26","v1.4.26","v1.4.26.1","v1.4.26.1","v1.4.27","v1.4.27","v1.4.29","v1.4.29","v1.4.30","v1.4.30","v1.4.31","v1.4.31","v1.4.33","v1.4.33","v1.4.35","v1.4.35.2","v1.5","v1.5.1","v1.5.1"},MATCH(BB7,CHOOSE({1,2,3,4,5,6,7,8,9,10,11,12,13,14,15,16,17,18,19,20,21,22,23,24,25},D7,F7,H7,J7,L7,N7,P7,R7,T7,V7,X7,Z7,AB7,AD7,AF7,AH7,AJ7,AL7,AN7,AP7,AR7,AT7,AV7,AX7,AZ7),0)))</x:f>
      </x:c>
      <x:c r="BD7" s="14" t="n">
        <x:f>LET(m,MIN(IF(E7&gt;0,E7,1E+99),IF(G7&gt;0,G7,1E+99),IF(I7&gt;0,I7,1E+99),IF(K7&gt;0,K7,1E+99),IF(M7&gt;0,M7,1E+99),IF(O7&gt;0,O7,1E+99),IF(Q7&gt;0,Q7,1E+99),IF(S7&gt;0,S7,1E+99),IF(U7&gt;0,U7,1E+99),IF(W7&gt;0,W7,1E+99),IF(Y7&gt;0,Y7,1E+99),IF(AA7&gt;0,AA7,1E+99),IF(AC7&gt;0,AC7,1E+99),IF(AE7&gt;0,AE7,1E+99),IF(AG7&gt;0,AG7,1E+99),IF(AI7&gt;0,AI7,1E+99),IF(AK7&gt;0,AK7,1E+99),IF(AM7&gt;0,AM7,1E+99),IF(AO7&gt;0,AO7,1E+99),IF(AQ7&gt;0,AQ7,1E+99),IF(AS7&gt;0,AS7,1E+99),IF(AU7&gt;0,AU7,1E+99),IF(AW7&gt;0,AW7,1E+99),IF(AY7&gt;0,AY7,1E+99),IF(BA7&gt;0,BA7,1E+99)),IF(m=1E+99,"",m))</x:f>
        <x:v>3.161</x:v>
      </x:c>
      <x:c r="BE7" s="16" t="e">
        <x:f>IF(BD7="","",INDEX({"v1.4.20","v1.4.20","v1.4.21","v1.4.21","v1.4.23","v1.4.23","v1.4.26","v1.4.26","v1.4.26.1","v1.4.26.1","v1.4.27","v1.4.27","v1.4.29","v1.4.29","v1.4.30","v1.4.30","v1.4.31","v1.4.31","v1.4.33","v1.4.33","v1.4.35","v1.4.35.2","v1.5","v1.5.1","v1.5.1"},MATCH(BD7,CHOOSE({1,2,3,4,5,6,7,8,9,10,11,12,13,14,15,16,17,18,19,20,21,22,23,24,25},E7,G7,I7,K7,M7,O7,Q7,S7,U7,W7,Y7,AA7,AC7,AE7,AG7,AI7,AK7,AM7,AO7,AQ7,AS7,AU7,AW7,AY7,BA7),0)))</x:f>
      </x:c>
      <x:c r="BF7" s="10" t="n">
        <x:f>IFERROR((AX7-BB7)/BB7,"")</x:f>
        <x:v>0.4517557734894022</x:v>
      </x:c>
      <x:c r="BG7" s="10" t="n">
        <x:f>IFERROR((AY7-BD7)/BD7,"")</x:f>
        <x:v>0.4517557734894022</x:v>
      </x:c>
    </x:row>
    <x:row r="8">
      <x:c r="A8" t="str"/>
      <x:c r="B8" t="str">
        <x:v>Create / Refresh All Templates</x:v>
      </x:c>
      <x:c r="C8" t="str">
        <x:v>Complete</x:v>
      </x:c>
      <x:c r="D8" s="8" t="n">
        <x:v>1.778</x:v>
      </x:c>
      <x:c r="E8" s="8" t="n">
        <x:v>199.958</x:v>
      </x:c>
      <x:c r="F8" s="8" t="n">
        <x:v>1.778</x:v>
      </x:c>
      <x:c r="G8" s="8" t="n">
        <x:v>199.958</x:v>
      </x:c>
      <x:c r="H8" s="8" t="n">
        <x:v>0.826</x:v>
      </x:c>
      <x:c r="I8" s="8" t="n">
        <x:v>254.536</x:v>
      </x:c>
      <x:c r="J8" s="8" t="n">
        <x:v>0.826</x:v>
      </x:c>
      <x:c r="K8" s="8" t="n">
        <x:v>254.536</x:v>
      </x:c>
      <x:c r="L8" s="8" t="n">
        <x:v>2.72</x:v>
      </x:c>
      <x:c r="M8" s="8" t="n">
        <x:v>255.765</x:v>
      </x:c>
      <x:c r="N8" s="8" t="n">
        <x:v>2.72</x:v>
      </x:c>
      <x:c r="O8" s="8" t="n">
        <x:v>255.765</x:v>
      </x:c>
      <x:c r="P8" s="8" t="n">
        <x:v>0.635</x:v>
      </x:c>
      <x:c r="Q8" s="8" t="n">
        <x:v>164.998</x:v>
      </x:c>
      <x:c r="R8" s="8" t="n">
        <x:v>0.635</x:v>
      </x:c>
      <x:c r="S8" s="8" t="n">
        <x:v>164.998</x:v>
      </x:c>
      <x:c r="T8" s="8" t="n">
        <x:v>0.966</x:v>
      </x:c>
      <x:c r="U8" s="8" t="n">
        <x:v>199.465</x:v>
      </x:c>
      <x:c r="V8" s="8" t="n">
        <x:v>0.966</x:v>
      </x:c>
      <x:c r="W8" s="8" t="n">
        <x:v>199.465</x:v>
      </x:c>
      <x:c r="X8" s="8" t="n">
        <x:v>2.14</x:v>
      </x:c>
      <x:c r="Y8" s="8" t="n">
        <x:v>311.606</x:v>
      </x:c>
      <x:c r="Z8" s="8" t="n">
        <x:v>2.14</x:v>
      </x:c>
      <x:c r="AA8" s="8" t="n">
        <x:v>311.606</x:v>
      </x:c>
      <x:c r="AB8" s="8" t="n">
        <x:v>0.982</x:v>
      </x:c>
      <x:c r="AC8" s="8" t="n">
        <x:v>281.364</x:v>
      </x:c>
      <x:c r="AD8" s="8" t="n">
        <x:v>0.982</x:v>
      </x:c>
      <x:c r="AE8" s="8" t="n">
        <x:v>281.364</x:v>
      </x:c>
      <x:c r="AF8" s="8" t="n">
        <x:v>1.301</x:v>
      </x:c>
      <x:c r="AG8" s="8" t="n">
        <x:v>290.404</x:v>
      </x:c>
      <x:c r="AH8" s="8" t="n">
        <x:v>1.301</x:v>
      </x:c>
      <x:c r="AI8" s="8" t="n">
        <x:v>290.404</x:v>
      </x:c>
      <x:c r="AJ8" s="8" t="n">
        <x:v>4.097</x:v>
      </x:c>
      <x:c r="AK8" s="8" t="n">
        <x:v>243.778</x:v>
      </x:c>
      <x:c r="AL8" s="8" t="n">
        <x:v>4.097</x:v>
      </x:c>
      <x:c r="AM8" s="8" t="n">
        <x:v>243.778</x:v>
      </x:c>
      <x:c r="AN8" s="8" t="n">
        <x:v>0.789</x:v>
      </x:c>
      <x:c r="AO8" s="8" t="n">
        <x:v>198.86</x:v>
      </x:c>
      <x:c r="AP8" s="8" t="n">
        <x:v>0.789</x:v>
      </x:c>
      <x:c r="AQ8" s="8" t="n">
        <x:v>198.86</x:v>
      </x:c>
      <x:c r="AR8" s="8" t="n">
        <x:v>1.374</x:v>
      </x:c>
      <x:c r="AS8" s="8" t="n">
        <x:v>308.544</x:v>
      </x:c>
      <x:c r="AT8" s="8" t="n">
        <x:v>0.921</x:v>
      </x:c>
      <x:c r="AU8" s="8" t="n">
        <x:v>215.883</x:v>
      </x:c>
      <x:c r="AV8" s="8" t="n">
        <x:v>1.174</x:v>
      </x:c>
      <x:c r="AW8" s="8" t="n">
        <x:v>265.565</x:v>
      </x:c>
      <x:c r="AX8" s="8" t="n">
        <x:v>1.353</x:v>
      </x:c>
      <x:c r="AY8" s="8" t="n">
        <x:v>263.566</x:v>
      </x:c>
      <x:c r="AZ8" s="8" t="n">
        <x:v>1.353</x:v>
      </x:c>
      <x:c r="BA8" s="8" t="n">
        <x:v>263.566</x:v>
      </x:c>
      <x:c r="BB8" s="8" t="n">
        <x:f>LET(m,MIN(IF(D8&gt;0,D8,1E+99),IF(F8&gt;0,F8,1E+99),IF(H8&gt;0,H8,1E+99),IF(J8&gt;0,J8,1E+99),IF(L8&gt;0,L8,1E+99),IF(N8&gt;0,N8,1E+99),IF(P8&gt;0,P8,1E+99),IF(R8&gt;0,R8,1E+99),IF(T8&gt;0,T8,1E+99),IF(V8&gt;0,V8,1E+99),IF(X8&gt;0,X8,1E+99),IF(Z8&gt;0,Z8,1E+99),IF(AB8&gt;0,AB8,1E+99),IF(AD8&gt;0,AD8,1E+99),IF(AF8&gt;0,AF8,1E+99),IF(AH8&gt;0,AH8,1E+99),IF(AJ8&gt;0,AJ8,1E+99),IF(AL8&gt;0,AL8,1E+99),IF(AN8&gt;0,AN8,1E+99),IF(AP8&gt;0,AP8,1E+99),IF(AR8&gt;0,AR8,1E+99),IF(AT8&gt;0,AT8,1E+99),IF(AV8&gt;0,AV8,1E+99),IF(AX8&gt;0,AX8,1E+99),IF(AZ8&gt;0,AZ8,1E+99)),IF(m=1E+99,"",m))</x:f>
        <x:v>0.635</x:v>
      </x:c>
      <x:c r="BC8" s="12" t="e">
        <x:f>IF(BB8="","",INDEX({"v1.4.20","v1.4.20","v1.4.21","v1.4.21","v1.4.23","v1.4.23","v1.4.26","v1.4.26","v1.4.26.1","v1.4.26.1","v1.4.27","v1.4.27","v1.4.29","v1.4.29","v1.4.30","v1.4.30","v1.4.31","v1.4.31","v1.4.33","v1.4.33","v1.4.35","v1.4.35.2","v1.5","v1.5.1","v1.5.1"},MATCH(BB8,CHOOSE({1,2,3,4,5,6,7,8,9,10,11,12,13,14,15,16,17,18,19,20,21,22,23,24,25},D8,F8,H8,J8,L8,N8,P8,R8,T8,V8,X8,Z8,AB8,AD8,AF8,AH8,AJ8,AL8,AN8,AP8,AR8,AT8,AV8,AX8,AZ8),0)))</x:f>
      </x:c>
      <x:c r="BD8" s="14" t="n">
        <x:f>LET(m,MIN(IF(E8&gt;0,E8,1E+99),IF(G8&gt;0,G8,1E+99),IF(I8&gt;0,I8,1E+99),IF(K8&gt;0,K8,1E+99),IF(M8&gt;0,M8,1E+99),IF(O8&gt;0,O8,1E+99),IF(Q8&gt;0,Q8,1E+99),IF(S8&gt;0,S8,1E+99),IF(U8&gt;0,U8,1E+99),IF(W8&gt;0,W8,1E+99),IF(Y8&gt;0,Y8,1E+99),IF(AA8&gt;0,AA8,1E+99),IF(AC8&gt;0,AC8,1E+99),IF(AE8&gt;0,AE8,1E+99),IF(AG8&gt;0,AG8,1E+99),IF(AI8&gt;0,AI8,1E+99),IF(AK8&gt;0,AK8,1E+99),IF(AM8&gt;0,AM8,1E+99),IF(AO8&gt;0,AO8,1E+99),IF(AQ8&gt;0,AQ8,1E+99),IF(AS8&gt;0,AS8,1E+99),IF(AU8&gt;0,AU8,1E+99),IF(AW8&gt;0,AW8,1E+99),IF(AY8&gt;0,AY8,1E+99),IF(BA8&gt;0,BA8,1E+99)),IF(m=1E+99,"",m))</x:f>
        <x:v>164.998</x:v>
      </x:c>
      <x:c r="BE8" s="16" t="e">
        <x:f>IF(BD8="","",INDEX({"v1.4.20","v1.4.20","v1.4.21","v1.4.21","v1.4.23","v1.4.23","v1.4.26","v1.4.26","v1.4.26.1","v1.4.26.1","v1.4.27","v1.4.27","v1.4.29","v1.4.29","v1.4.30","v1.4.30","v1.4.31","v1.4.31","v1.4.33","v1.4.33","v1.4.35","v1.4.35.2","v1.5","v1.5.1","v1.5.1"},MATCH(BD8,CHOOSE({1,2,3,4,5,6,7,8,9,10,11,12,13,14,15,16,17,18,19,20,21,22,23,24,25},E8,G8,I8,K8,M8,O8,Q8,S8,U8,W8,Y8,AA8,AC8,AE8,AG8,AI8,AK8,AM8,AO8,AQ8,AS8,AU8,AW8,AY8,BA8),0)))</x:f>
      </x:c>
      <x:c r="BF8" s="10" t="n">
        <x:f>IFERROR((AX8-BB8)/BB8,"")</x:f>
        <x:v>1.1307086614173227</x:v>
      </x:c>
      <x:c r="BG8" s="10" t="n">
        <x:f>IFERROR((AY8-BD8)/BD8,"")</x:f>
        <x:v>0.5973890592613244</x:v>
      </x:c>
    </x:row>
    <x:row r="9">
      <x:c r="A9" t="str">
        <x:v>Raw Data</x:v>
      </x:c>
      <x:c r="B9" t="str">
        <x:v>Create / Refresh All Templates</x:v>
      </x:c>
      <x:c r="C9" t="str">
        <x:v>Open/create sheet: Template - Raw Data</x:v>
      </x:c>
      <x:c r="D9" s="8" t="n">
        <x:v>0.99</x:v>
      </x:c>
      <x:c r="E9" s="8" t="n">
        <x:v>5.993</x:v>
      </x:c>
      <x:c r="F9" s="8"/>
      <x:c r="G9" s="8"/>
      <x:c r="H9" s="8" t="n">
        <x:v>0.771</x:v>
      </x:c>
      <x:c r="I9" s="8" t="n">
        <x:v>6.82</x:v>
      </x:c>
      <x:c r="J9" s="8"/>
      <x:c r="K9" s="8"/>
      <x:c r="L9" s="8"/>
      <x:c r="M9" s="8"/>
      <x:c r="N9" s="8" t="n">
        <x:v>0.986</x:v>
      </x:c>
      <x:c r="O9" s="8" t="n">
        <x:v>7.901</x:v>
      </x:c>
      <x:c r="P9" s="8"/>
      <x:c r="Q9" s="8"/>
      <x:c r="R9" s="8" t="n">
        <x:v>0.485</x:v>
      </x:c>
      <x:c r="S9" s="8" t="n">
        <x:v>3.92</x:v>
      </x:c>
      <x:c r="T9" s="8"/>
      <x:c r="U9" s="8"/>
      <x:c r="V9" s="8" t="n">
        <x:v>1.176</x:v>
      </x:c>
      <x:c r="W9" s="8" t="n">
        <x:v>5.33</x:v>
      </x:c>
      <x:c r="X9" s="8"/>
      <x:c r="Y9" s="8"/>
      <x:c r="Z9" s="8" t="n">
        <x:v>0.864</x:v>
      </x:c>
      <x:c r="AA9" s="8" t="n">
        <x:v>5.318</x:v>
      </x:c>
      <x:c r="AB9" s="8"/>
      <x:c r="AC9" s="8"/>
      <x:c r="AD9" s="8" t="n">
        <x:v>1.121</x:v>
      </x:c>
      <x:c r="AE9" s="8" t="n">
        <x:v>4.282</x:v>
      </x:c>
      <x:c r="AF9" s="8" t="n">
        <x:v>0.804</x:v>
      </x:c>
      <x:c r="AG9" s="8" t="n">
        <x:v>5.911</x:v>
      </x:c>
      <x:c r="AH9" s="8"/>
      <x:c r="AI9" s="8"/>
      <x:c r="AJ9" s="8"/>
      <x:c r="AK9" s="8"/>
      <x:c r="AL9" s="8" t="n">
        <x:v>1.44</x:v>
      </x:c>
      <x:c r="AM9" s="8" t="n">
        <x:v>5.933</x:v>
      </x:c>
      <x:c r="AN9" s="8" t="n">
        <x:v>0.723</x:v>
      </x:c>
      <x:c r="AO9" s="8" t="n">
        <x:v>6.355</x:v>
      </x:c>
      <x:c r="AP9" s="8"/>
      <x:c r="AQ9" s="8"/>
      <x:c r="AR9" s="8" t="n">
        <x:v>1.201</x:v>
      </x:c>
      <x:c r="AS9" s="8" t="n">
        <x:v>8.854</x:v>
      </x:c>
      <x:c r="AT9" s="8" t="n">
        <x:v>0.622</x:v>
      </x:c>
      <x:c r="AU9" s="8" t="n">
        <x:v>6.104</x:v>
      </x:c>
      <x:c r="AV9" s="8" t="n">
        <x:v>0.899</x:v>
      </x:c>
      <x:c r="AW9" s="8" t="n">
        <x:v>4.146</x:v>
      </x:c>
      <x:c r="AX9" s="8" t="n">
        <x:v>0.974</x:v>
      </x:c>
      <x:c r="AY9" s="8" t="n">
        <x:v>5.563</x:v>
      </x:c>
      <x:c r="AZ9" s="8"/>
      <x:c r="BA9" s="8"/>
      <x:c r="BB9" s="8" t="n">
        <x:f>LET(m,MIN(IF(D9&gt;0,D9,1E+99),IF(F9&gt;0,F9,1E+99),IF(H9&gt;0,H9,1E+99),IF(J9&gt;0,J9,1E+99),IF(L9&gt;0,L9,1E+99),IF(N9&gt;0,N9,1E+99),IF(P9&gt;0,P9,1E+99),IF(R9&gt;0,R9,1E+99),IF(T9&gt;0,T9,1E+99),IF(V9&gt;0,V9,1E+99),IF(X9&gt;0,X9,1E+99),IF(Z9&gt;0,Z9,1E+99),IF(AB9&gt;0,AB9,1E+99),IF(AD9&gt;0,AD9,1E+99),IF(AF9&gt;0,AF9,1E+99),IF(AH9&gt;0,AH9,1E+99),IF(AJ9&gt;0,AJ9,1E+99),IF(AL9&gt;0,AL9,1E+99),IF(AN9&gt;0,AN9,1E+99),IF(AP9&gt;0,AP9,1E+99),IF(AR9&gt;0,AR9,1E+99),IF(AT9&gt;0,AT9,1E+99),IF(AV9&gt;0,AV9,1E+99),IF(AX9&gt;0,AX9,1E+99),IF(AZ9&gt;0,AZ9,1E+99)),IF(m=1E+99,"",m))</x:f>
        <x:v>0.485</x:v>
      </x:c>
      <x:c r="BC9" s="12" t="e">
        <x:f>IF(BB9="","",INDEX({"v1.4.20","v1.4.20","v1.4.21","v1.4.21","v1.4.23","v1.4.23","v1.4.26","v1.4.26","v1.4.26.1","v1.4.26.1","v1.4.27","v1.4.27","v1.4.29","v1.4.29","v1.4.30","v1.4.30","v1.4.31","v1.4.31","v1.4.33","v1.4.33","v1.4.35","v1.4.35.2","v1.5","v1.5.1","v1.5.1"},MATCH(BB9,CHOOSE({1,2,3,4,5,6,7,8,9,10,11,12,13,14,15,16,17,18,19,20,21,22,23,24,25},D9,F9,H9,J9,L9,N9,P9,R9,T9,V9,X9,Z9,AB9,AD9,AF9,AH9,AJ9,AL9,AN9,AP9,AR9,AT9,AV9,AX9,AZ9),0)))</x:f>
      </x:c>
      <x:c r="BD9" s="14" t="n">
        <x:f>LET(m,MIN(IF(E9&gt;0,E9,1E+99),IF(G9&gt;0,G9,1E+99),IF(I9&gt;0,I9,1E+99),IF(K9&gt;0,K9,1E+99),IF(M9&gt;0,M9,1E+99),IF(O9&gt;0,O9,1E+99),IF(Q9&gt;0,Q9,1E+99),IF(S9&gt;0,S9,1E+99),IF(U9&gt;0,U9,1E+99),IF(W9&gt;0,W9,1E+99),IF(Y9&gt;0,Y9,1E+99),IF(AA9&gt;0,AA9,1E+99),IF(AC9&gt;0,AC9,1E+99),IF(AE9&gt;0,AE9,1E+99),IF(AG9&gt;0,AG9,1E+99),IF(AI9&gt;0,AI9,1E+99),IF(AK9&gt;0,AK9,1E+99),IF(AM9&gt;0,AM9,1E+99),IF(AO9&gt;0,AO9,1E+99),IF(AQ9&gt;0,AQ9,1E+99),IF(AS9&gt;0,AS9,1E+99),IF(AU9&gt;0,AU9,1E+99),IF(AW9&gt;0,AW9,1E+99),IF(AY9&gt;0,AY9,1E+99),IF(BA9&gt;0,BA9,1E+99)),IF(m=1E+99,"",m))</x:f>
        <x:v>3.92</x:v>
      </x:c>
      <x:c r="BE9" s="16" t="e">
        <x:f>IF(BD9="","",INDEX({"v1.4.20","v1.4.20","v1.4.21","v1.4.21","v1.4.23","v1.4.23","v1.4.26","v1.4.26","v1.4.26.1","v1.4.26.1","v1.4.27","v1.4.27","v1.4.29","v1.4.29","v1.4.30","v1.4.30","v1.4.31","v1.4.31","v1.4.33","v1.4.33","v1.4.35","v1.4.35.2","v1.5","v1.5.1","v1.5.1"},MATCH(BD9,CHOOSE({1,2,3,4,5,6,7,8,9,10,11,12,13,14,15,16,17,18,19,20,21,22,23,24,25},E9,G9,I9,K9,M9,O9,Q9,S9,U9,W9,Y9,AA9,AC9,AE9,AG9,AI9,AK9,AM9,AO9,AQ9,AS9,AU9,AW9,AY9,BA9),0)))</x:f>
      </x:c>
      <x:c r="BF9" s="10" t="n">
        <x:f>IFERROR((AX9-BB9)/BB9,"")</x:f>
        <x:v>1.0082474226804123</x:v>
      </x:c>
      <x:c r="BG9" s="10" t="n">
        <x:f>IFERROR((AY9-BD9)/BD9,"")</x:f>
        <x:v>0.41913265306122444</x:v>
      </x:c>
    </x:row>
    <x:row r="10">
      <x:c r="A10" t="str">
        <x:v>Raw Data</x:v>
      </x:c>
      <x:c r="B10" t="str">
        <x:v>Create / Refresh All Templates</x:v>
      </x:c>
      <x:c r="C10" t="str">
        <x:v>Template signature mismatch - full build required: Template - Raw Data</x:v>
      </x:c>
      <x:c r="D10" s="8" t="n">
        <x:v>0.127</x:v>
      </x:c>
      <x:c r="E10" s="8" t="n">
        <x:v>6.12</x:v>
      </x:c>
      <x:c r="F10" s="8"/>
      <x:c r="G10" s="8"/>
      <x:c r="H10" s="8" t="n">
        <x:v>0.084</x:v>
      </x:c>
      <x:c r="I10" s="8" t="n">
        <x:v>6.904</x:v>
      </x:c>
      <x:c r="J10" s="8"/>
      <x:c r="K10" s="8"/>
      <x:c r="L10" s="8"/>
      <x:c r="M10" s="8"/>
      <x:c r="N10" s="8" t="n">
        <x:v>0.138</x:v>
      </x:c>
      <x:c r="O10" s="8" t="n">
        <x:v>8.039</x:v>
      </x:c>
      <x:c r="P10" s="8"/>
      <x:c r="Q10" s="8"/>
      <x:c r="R10" s="8" t="n">
        <x:v>0.099</x:v>
      </x:c>
      <x:c r="S10" s="8" t="n">
        <x:v>4.019</x:v>
      </x:c>
      <x:c r="T10" s="8"/>
      <x:c r="U10" s="8"/>
      <x:c r="V10" s="8" t="n">
        <x:v>0.179</x:v>
      </x:c>
      <x:c r="W10" s="8" t="n">
        <x:v>5.509</x:v>
      </x:c>
      <x:c r="X10" s="8"/>
      <x:c r="Y10" s="8"/>
      <x:c r="Z10" s="8" t="n">
        <x:v>0.141</x:v>
      </x:c>
      <x:c r="AA10" s="8" t="n">
        <x:v>5.459</x:v>
      </x:c>
      <x:c r="AB10" s="8"/>
      <x:c r="AC10" s="8"/>
      <x:c r="AD10" s="8" t="n">
        <x:v>0.119</x:v>
      </x:c>
      <x:c r="AE10" s="8" t="n">
        <x:v>4.401</x:v>
      </x:c>
      <x:c r="AF10" s="8" t="n">
        <x:v>0.112</x:v>
      </x:c>
      <x:c r="AG10" s="8" t="n">
        <x:v>6.023</x:v>
      </x:c>
      <x:c r="AH10" s="8"/>
      <x:c r="AI10" s="8"/>
      <x:c r="AJ10" s="8"/>
      <x:c r="AK10" s="8"/>
      <x:c r="AL10" s="8" t="n">
        <x:v>0.085</x:v>
      </x:c>
      <x:c r="AM10" s="8" t="n">
        <x:v>6.018</x:v>
      </x:c>
      <x:c r="AN10" s="8" t="n">
        <x:v>0.109</x:v>
      </x:c>
      <x:c r="AO10" s="8" t="n">
        <x:v>6.464</x:v>
      </x:c>
      <x:c r="AP10" s="8"/>
      <x:c r="AQ10" s="8"/>
      <x:c r="AR10" s="8" t="n">
        <x:v>0.119</x:v>
      </x:c>
      <x:c r="AS10" s="8" t="n">
        <x:v>8.973</x:v>
      </x:c>
      <x:c r="AT10" s="8" t="n">
        <x:v>0.076</x:v>
      </x:c>
      <x:c r="AU10" s="8" t="n">
        <x:v>6.18</x:v>
      </x:c>
      <x:c r="AV10" s="8" t="n">
        <x:v>0.117</x:v>
      </x:c>
      <x:c r="AW10" s="8" t="n">
        <x:v>4.263</x:v>
      </x:c>
      <x:c r="AX10" s="8" t="n">
        <x:v>0.118</x:v>
      </x:c>
      <x:c r="AY10" s="8" t="n">
        <x:v>5.681</x:v>
      </x:c>
      <x:c r="AZ10" s="8"/>
      <x:c r="BA10" s="8"/>
      <x:c r="BB10" s="8" t="n">
        <x:f>LET(m,MIN(IF(D10&gt;0,D10,1E+99),IF(F10&gt;0,F10,1E+99),IF(H10&gt;0,H10,1E+99),IF(J10&gt;0,J10,1E+99),IF(L10&gt;0,L10,1E+99),IF(N10&gt;0,N10,1E+99),IF(P10&gt;0,P10,1E+99),IF(R10&gt;0,R10,1E+99),IF(T10&gt;0,T10,1E+99),IF(V10&gt;0,V10,1E+99),IF(X10&gt;0,X10,1E+99),IF(Z10&gt;0,Z10,1E+99),IF(AB10&gt;0,AB10,1E+99),IF(AD10&gt;0,AD10,1E+99),IF(AF10&gt;0,AF10,1E+99),IF(AH10&gt;0,AH10,1E+99),IF(AJ10&gt;0,AJ10,1E+99),IF(AL10&gt;0,AL10,1E+99),IF(AN10&gt;0,AN10,1E+99),IF(AP10&gt;0,AP10,1E+99),IF(AR10&gt;0,AR10,1E+99),IF(AT10&gt;0,AT10,1E+99),IF(AV10&gt;0,AV10,1E+99),IF(AX10&gt;0,AX10,1E+99),IF(AZ10&gt;0,AZ10,1E+99)),IF(m=1E+99,"",m))</x:f>
        <x:v>0.076</x:v>
      </x:c>
      <x:c r="BC10" s="12" t="e">
        <x:f>IF(BB10="","",INDEX({"v1.4.20","v1.4.20","v1.4.21","v1.4.21","v1.4.23","v1.4.23","v1.4.26","v1.4.26","v1.4.26.1","v1.4.26.1","v1.4.27","v1.4.27","v1.4.29","v1.4.29","v1.4.30","v1.4.30","v1.4.31","v1.4.31","v1.4.33","v1.4.33","v1.4.35","v1.4.35.2","v1.5","v1.5.1","v1.5.1"},MATCH(BB10,CHOOSE({1,2,3,4,5,6,7,8,9,10,11,12,13,14,15,16,17,18,19,20,21,22,23,24,25},D10,F10,H10,J10,L10,N10,P10,R10,T10,V10,X10,Z10,AB10,AD10,AF10,AH10,AJ10,AL10,AN10,AP10,AR10,AT10,AV10,AX10,AZ10),0)))</x:f>
      </x:c>
      <x:c r="BD10" s="14" t="n">
        <x:f>LET(m,MIN(IF(E10&gt;0,E10,1E+99),IF(G10&gt;0,G10,1E+99),IF(I10&gt;0,I10,1E+99),IF(K10&gt;0,K10,1E+99),IF(M10&gt;0,M10,1E+99),IF(O10&gt;0,O10,1E+99),IF(Q10&gt;0,Q10,1E+99),IF(S10&gt;0,S10,1E+99),IF(U10&gt;0,U10,1E+99),IF(W10&gt;0,W10,1E+99),IF(Y10&gt;0,Y10,1E+99),IF(AA10&gt;0,AA10,1E+99),IF(AC10&gt;0,AC10,1E+99),IF(AE10&gt;0,AE10,1E+99),IF(AG10&gt;0,AG10,1E+99),IF(AI10&gt;0,AI10,1E+99),IF(AK10&gt;0,AK10,1E+99),IF(AM10&gt;0,AM10,1E+99),IF(AO10&gt;0,AO10,1E+99),IF(AQ10&gt;0,AQ10,1E+99),IF(AS10&gt;0,AS10,1E+99),IF(AU10&gt;0,AU10,1E+99),IF(AW10&gt;0,AW10,1E+99),IF(AY10&gt;0,AY10,1E+99),IF(BA10&gt;0,BA10,1E+99)),IF(m=1E+99,"",m))</x:f>
        <x:v>4.019</x:v>
      </x:c>
      <x:c r="BE10" s="16" t="e">
        <x:f>IF(BD10="","",INDEX({"v1.4.20","v1.4.20","v1.4.21","v1.4.21","v1.4.23","v1.4.23","v1.4.26","v1.4.26","v1.4.26.1","v1.4.26.1","v1.4.27","v1.4.27","v1.4.29","v1.4.29","v1.4.30","v1.4.30","v1.4.31","v1.4.31","v1.4.33","v1.4.33","v1.4.35","v1.4.35.2","v1.5","v1.5.1","v1.5.1"},MATCH(BD10,CHOOSE({1,2,3,4,5,6,7,8,9,10,11,12,13,14,15,16,17,18,19,20,21,22,23,24,25},E10,G10,I10,K10,M10,O10,Q10,S10,U10,W10,Y10,AA10,AC10,AE10,AG10,AI10,AK10,AM10,AO10,AQ10,AS10,AU10,AW10,AY10,BA10),0)))</x:f>
      </x:c>
      <x:c r="BF10" s="10" t="n">
        <x:f>IFERROR((AX10-BB10)/BB10,"")</x:f>
        <x:v>0.5526315789473684</x:v>
      </x:c>
      <x:c r="BG10" s="10" t="n">
        <x:f>IFERROR((AY10-BD10)/BD10,"")</x:f>
        <x:v>0.413535705399353</x:v>
      </x:c>
    </x:row>
    <x:row r="11">
      <x:c r="A11" t="str">
        <x:v>Raw Data</x:v>
      </x:c>
      <x:c r="B11" t="str">
        <x:v>Create / Refresh All Templates</x:v>
      </x:c>
      <x:c r="C11" t="str">
        <x:v>Template refresh decision: FULL_BUILD - Template - Raw Data (template sheet did not exist; no stored signature)</x:v>
      </x:c>
      <x:c r="D11" s="8" t="n">
        <x:v>0</x:v>
      </x:c>
      <x:c r="E11" s="8" t="n">
        <x:v>6.12</x:v>
      </x:c>
      <x:c r="F11" s="8"/>
      <x:c r="G11" s="8"/>
      <x:c r="H11" s="8" t="n">
        <x:v>0</x:v>
      </x:c>
      <x:c r="I11" s="8" t="n">
        <x:v>6.904</x:v>
      </x:c>
      <x:c r="J11" s="8"/>
      <x:c r="K11" s="8"/>
      <x:c r="L11" s="8"/>
      <x:c r="M11" s="8"/>
      <x:c r="N11" s="8" t="n">
        <x:v>0</x:v>
      </x:c>
      <x:c r="O11" s="8" t="n">
        <x:v>8.039</x:v>
      </x:c>
      <x:c r="P11" s="8"/>
      <x:c r="Q11" s="8"/>
      <x:c r="R11" s="8" t="n">
        <x:v>0</x:v>
      </x:c>
      <x:c r="S11" s="8" t="n">
        <x:v>4.019</x:v>
      </x:c>
      <x:c r="T11" s="8"/>
      <x:c r="U11" s="8"/>
      <x:c r="V11" s="8" t="n">
        <x:v>0.001</x:v>
      </x:c>
      <x:c r="W11" s="8" t="n">
        <x:v>5.51</x:v>
      </x:c>
      <x:c r="X11" s="8"/>
      <x:c r="Y11" s="8"/>
      <x:c r="Z11" s="8" t="n">
        <x:v>0</x:v>
      </x:c>
      <x:c r="AA11" s="8" t="n">
        <x:v>5.459</x:v>
      </x:c>
      <x:c r="AB11" s="8"/>
      <x:c r="AC11" s="8"/>
      <x:c r="AD11" s="8" t="n">
        <x:v>0</x:v>
      </x:c>
      <x:c r="AE11" s="8" t="n">
        <x:v>4.401</x:v>
      </x:c>
      <x:c r="AF11" s="8" t="n">
        <x:v>0</x:v>
      </x:c>
      <x:c r="AG11" s="8" t="n">
        <x:v>6.023</x:v>
      </x:c>
      <x:c r="AH11" s="8"/>
      <x:c r="AI11" s="8"/>
      <x:c r="AJ11" s="8"/>
      <x:c r="AK11" s="8"/>
      <x:c r="AL11" s="8" t="n">
        <x:v>0</x:v>
      </x:c>
      <x:c r="AM11" s="8" t="n">
        <x:v>6.018</x:v>
      </x:c>
      <x:c r="AN11" s="8" t="n">
        <x:v>0</x:v>
      </x:c>
      <x:c r="AO11" s="8" t="n">
        <x:v>6.464</x:v>
      </x:c>
      <x:c r="AP11" s="8"/>
      <x:c r="AQ11" s="8"/>
      <x:c r="AR11" s="8" t="n">
        <x:v>0</x:v>
      </x:c>
      <x:c r="AS11" s="8" t="n">
        <x:v>8.973</x:v>
      </x:c>
      <x:c r="AT11" s="8" t="n">
        <x:v>0</x:v>
      </x:c>
      <x:c r="AU11" s="8" t="n">
        <x:v>6.18</x:v>
      </x:c>
      <x:c r="AV11" s="8" t="n">
        <x:v>0.001</x:v>
      </x:c>
      <x:c r="AW11" s="8" t="n">
        <x:v>4.264</x:v>
      </x:c>
      <x:c r="AX11" s="8" t="n">
        <x:v>0</x:v>
      </x:c>
      <x:c r="AY11" s="8" t="n">
        <x:v>5.681</x:v>
      </x:c>
      <x:c r="AZ11" s="8"/>
      <x:c r="BA11" s="8"/>
      <x:c r="BB11" s="8" t="n">
        <x:f>LET(m,MIN(IF(D11&gt;0,D11,1E+99),IF(F11&gt;0,F11,1E+99),IF(H11&gt;0,H11,1E+99),IF(J11&gt;0,J11,1E+99),IF(L11&gt;0,L11,1E+99),IF(N11&gt;0,N11,1E+99),IF(P11&gt;0,P11,1E+99),IF(R11&gt;0,R11,1E+99),IF(T11&gt;0,T11,1E+99),IF(V11&gt;0,V11,1E+99),IF(X11&gt;0,X11,1E+99),IF(Z11&gt;0,Z11,1E+99),IF(AB11&gt;0,AB11,1E+99),IF(AD11&gt;0,AD11,1E+99),IF(AF11&gt;0,AF11,1E+99),IF(AH11&gt;0,AH11,1E+99),IF(AJ11&gt;0,AJ11,1E+99),IF(AL11&gt;0,AL11,1E+99),IF(AN11&gt;0,AN11,1E+99),IF(AP11&gt;0,AP11,1E+99),IF(AR11&gt;0,AR11,1E+99),IF(AT11&gt;0,AT11,1E+99),IF(AV11&gt;0,AV11,1E+99),IF(AX11&gt;0,AX11,1E+99),IF(AZ11&gt;0,AZ11,1E+99)),IF(m=1E+99,"",m))</x:f>
        <x:v>0.001</x:v>
      </x:c>
      <x:c r="BC11" s="12" t="e">
        <x:f>IF(BB11="","",INDEX({"v1.4.20","v1.4.20","v1.4.21","v1.4.21","v1.4.23","v1.4.23","v1.4.26","v1.4.26","v1.4.26.1","v1.4.26.1","v1.4.27","v1.4.27","v1.4.29","v1.4.29","v1.4.30","v1.4.30","v1.4.31","v1.4.31","v1.4.33","v1.4.33","v1.4.35","v1.4.35.2","v1.5","v1.5.1","v1.5.1"},MATCH(BB11,CHOOSE({1,2,3,4,5,6,7,8,9,10,11,12,13,14,15,16,17,18,19,20,21,22,23,24,25},D11,F11,H11,J11,L11,N11,P11,R11,T11,V11,X11,Z11,AB11,AD11,AF11,AH11,AJ11,AL11,AN11,AP11,AR11,AT11,AV11,AX11,AZ11),0)))</x:f>
      </x:c>
      <x:c r="BD11" s="14" t="n">
        <x:f>LET(m,MIN(IF(E11&gt;0,E11,1E+99),IF(G11&gt;0,G11,1E+99),IF(I11&gt;0,I11,1E+99),IF(K11&gt;0,K11,1E+99),IF(M11&gt;0,M11,1E+99),IF(O11&gt;0,O11,1E+99),IF(Q11&gt;0,Q11,1E+99),IF(S11&gt;0,S11,1E+99),IF(U11&gt;0,U11,1E+99),IF(W11&gt;0,W11,1E+99),IF(Y11&gt;0,Y11,1E+99),IF(AA11&gt;0,AA11,1E+99),IF(AC11&gt;0,AC11,1E+99),IF(AE11&gt;0,AE11,1E+99),IF(AG11&gt;0,AG11,1E+99),IF(AI11&gt;0,AI11,1E+99),IF(AK11&gt;0,AK11,1E+99),IF(AM11&gt;0,AM11,1E+99),IF(AO11&gt;0,AO11,1E+99),IF(AQ11&gt;0,AQ11,1E+99),IF(AS11&gt;0,AS11,1E+99),IF(AU11&gt;0,AU11,1E+99),IF(AW11&gt;0,AW11,1E+99),IF(AY11&gt;0,AY11,1E+99),IF(BA11&gt;0,BA11,1E+99)),IF(m=1E+99,"",m))</x:f>
        <x:v>4.019</x:v>
      </x:c>
      <x:c r="BE11" s="16" t="e">
        <x:f>IF(BD11="","",INDEX({"v1.4.20","v1.4.20","v1.4.21","v1.4.21","v1.4.23","v1.4.23","v1.4.26","v1.4.26","v1.4.26.1","v1.4.26.1","v1.4.27","v1.4.27","v1.4.29","v1.4.29","v1.4.30","v1.4.30","v1.4.31","v1.4.31","v1.4.33","v1.4.33","v1.4.35","v1.4.35.2","v1.5","v1.5.1","v1.5.1"},MATCH(BD11,CHOOSE({1,2,3,4,5,6,7,8,9,10,11,12,13,14,15,16,17,18,19,20,21,22,23,24,25},E11,G11,I11,K11,M11,O11,Q11,S11,U11,W11,Y11,AA11,AC11,AE11,AG11,AI11,AK11,AM11,AO11,AQ11,AS11,AU11,AW11,AY11,BA11),0)))</x:f>
      </x:c>
      <x:c r="BF11" s="10" t="n">
        <x:f>IFERROR((AX11-BB11)/BB11,"")</x:f>
        <x:v>-1</x:v>
      </x:c>
      <x:c r="BG11" s="10" t="n">
        <x:f>IFERROR((AY11-BD11)/BD11,"")</x:f>
        <x:v>0.413535705399353</x:v>
      </x:c>
    </x:row>
    <x:row r="12">
      <x:c r="A12" t="str">
        <x:v>Raw Data</x:v>
      </x:c>
      <x:c r="B12" t="str">
        <x:v>Create / Refresh All Templates</x:v>
      </x:c>
      <x:c r="C12" t="str">
        <x:v>Full template build required: Template - Raw Data</x:v>
      </x:c>
      <x:c r="D12" s="8" t="n">
        <x:v>0</x:v>
      </x:c>
      <x:c r="E12" s="8" t="n">
        <x:v>6.12</x:v>
      </x:c>
      <x:c r="F12" s="8"/>
      <x:c r="G12" s="8"/>
      <x:c r="H12" s="8" t="n">
        <x:v>0</x:v>
      </x:c>
      <x:c r="I12" s="8" t="n">
        <x:v>6.904</x:v>
      </x:c>
      <x:c r="J12" s="8"/>
      <x:c r="K12" s="8"/>
      <x:c r="L12" s="8"/>
      <x:c r="M12" s="8"/>
      <x:c r="N12" s="8" t="n">
        <x:v>0</x:v>
      </x:c>
      <x:c r="O12" s="8" t="n">
        <x:v>8.039</x:v>
      </x:c>
      <x:c r="P12" s="8"/>
      <x:c r="Q12" s="8"/>
      <x:c r="R12" s="8" t="n">
        <x:v>0</x:v>
      </x:c>
      <x:c r="S12" s="8" t="n">
        <x:v>4.019</x:v>
      </x:c>
      <x:c r="T12" s="8"/>
      <x:c r="U12" s="8"/>
      <x:c r="V12" s="8" t="n">
        <x:v>0</x:v>
      </x:c>
      <x:c r="W12" s="8" t="n">
        <x:v>5.51</x:v>
      </x:c>
      <x:c r="X12" s="8"/>
      <x:c r="Y12" s="8"/>
      <x:c r="Z12" s="8" t="n">
        <x:v>0.001</x:v>
      </x:c>
      <x:c r="AA12" s="8" t="n">
        <x:v>5.46</x:v>
      </x:c>
      <x:c r="AB12" s="8"/>
      <x:c r="AC12" s="8"/>
      <x:c r="AD12" s="8" t="n">
        <x:v>0</x:v>
      </x:c>
      <x:c r="AE12" s="8" t="n">
        <x:v>4.401</x:v>
      </x:c>
      <x:c r="AF12" s="8" t="n">
        <x:v>0.001</x:v>
      </x:c>
      <x:c r="AG12" s="8" t="n">
        <x:v>6.024</x:v>
      </x:c>
      <x:c r="AH12" s="8"/>
      <x:c r="AI12" s="8"/>
      <x:c r="AJ12" s="8"/>
      <x:c r="AK12" s="8"/>
      <x:c r="AL12" s="8" t="n">
        <x:v>0</x:v>
      </x:c>
      <x:c r="AM12" s="8" t="n">
        <x:v>6.018</x:v>
      </x:c>
      <x:c r="AN12" s="8" t="n">
        <x:v>0</x:v>
      </x:c>
      <x:c r="AO12" s="8" t="n">
        <x:v>6.464</x:v>
      </x:c>
      <x:c r="AP12" s="8"/>
      <x:c r="AQ12" s="8"/>
      <x:c r="AR12" s="8" t="n">
        <x:v>0</x:v>
      </x:c>
      <x:c r="AS12" s="8" t="n">
        <x:v>8.973</x:v>
      </x:c>
      <x:c r="AT12" s="8" t="n">
        <x:v>0</x:v>
      </x:c>
      <x:c r="AU12" s="8" t="n">
        <x:v>6.18</x:v>
      </x:c>
      <x:c r="AV12" s="8" t="n">
        <x:v>0</x:v>
      </x:c>
      <x:c r="AW12" s="8" t="n">
        <x:v>4.264</x:v>
      </x:c>
      <x:c r="AX12" s="8" t="n">
        <x:v>0</x:v>
      </x:c>
      <x:c r="AY12" s="8" t="n">
        <x:v>5.681</x:v>
      </x:c>
      <x:c r="AZ12" s="8"/>
      <x:c r="BA12" s="8"/>
      <x:c r="BB12" s="8" t="n">
        <x:f>LET(m,MIN(IF(D12&gt;0,D12,1E+99),IF(F12&gt;0,F12,1E+99),IF(H12&gt;0,H12,1E+99),IF(J12&gt;0,J12,1E+99),IF(L12&gt;0,L12,1E+99),IF(N12&gt;0,N12,1E+99),IF(P12&gt;0,P12,1E+99),IF(R12&gt;0,R12,1E+99),IF(T12&gt;0,T12,1E+99),IF(V12&gt;0,V12,1E+99),IF(X12&gt;0,X12,1E+99),IF(Z12&gt;0,Z12,1E+99),IF(AB12&gt;0,AB12,1E+99),IF(AD12&gt;0,AD12,1E+99),IF(AF12&gt;0,AF12,1E+99),IF(AH12&gt;0,AH12,1E+99),IF(AJ12&gt;0,AJ12,1E+99),IF(AL12&gt;0,AL12,1E+99),IF(AN12&gt;0,AN12,1E+99),IF(AP12&gt;0,AP12,1E+99),IF(AR12&gt;0,AR12,1E+99),IF(AT12&gt;0,AT12,1E+99),IF(AV12&gt;0,AV12,1E+99),IF(AX12&gt;0,AX12,1E+99),IF(AZ12&gt;0,AZ12,1E+99)),IF(m=1E+99,"",m))</x:f>
        <x:v>0.001</x:v>
      </x:c>
      <x:c r="BC12" s="12" t="e">
        <x:f>IF(BB12="","",INDEX({"v1.4.20","v1.4.20","v1.4.21","v1.4.21","v1.4.23","v1.4.23","v1.4.26","v1.4.26","v1.4.26.1","v1.4.26.1","v1.4.27","v1.4.27","v1.4.29","v1.4.29","v1.4.30","v1.4.30","v1.4.31","v1.4.31","v1.4.33","v1.4.33","v1.4.35","v1.4.35.2","v1.5","v1.5.1","v1.5.1"},MATCH(BB12,CHOOSE({1,2,3,4,5,6,7,8,9,10,11,12,13,14,15,16,17,18,19,20,21,22,23,24,25},D12,F12,H12,J12,L12,N12,P12,R12,T12,V12,X12,Z12,AB12,AD12,AF12,AH12,AJ12,AL12,AN12,AP12,AR12,AT12,AV12,AX12,AZ12),0)))</x:f>
      </x:c>
      <x:c r="BD12" s="14" t="n">
        <x:f>LET(m,MIN(IF(E12&gt;0,E12,1E+99),IF(G12&gt;0,G12,1E+99),IF(I12&gt;0,I12,1E+99),IF(K12&gt;0,K12,1E+99),IF(M12&gt;0,M12,1E+99),IF(O12&gt;0,O12,1E+99),IF(Q12&gt;0,Q12,1E+99),IF(S12&gt;0,S12,1E+99),IF(U12&gt;0,U12,1E+99),IF(W12&gt;0,W12,1E+99),IF(Y12&gt;0,Y12,1E+99),IF(AA12&gt;0,AA12,1E+99),IF(AC12&gt;0,AC12,1E+99),IF(AE12&gt;0,AE12,1E+99),IF(AG12&gt;0,AG12,1E+99),IF(AI12&gt;0,AI12,1E+99),IF(AK12&gt;0,AK12,1E+99),IF(AM12&gt;0,AM12,1E+99),IF(AO12&gt;0,AO12,1E+99),IF(AQ12&gt;0,AQ12,1E+99),IF(AS12&gt;0,AS12,1E+99),IF(AU12&gt;0,AU12,1E+99),IF(AW12&gt;0,AW12,1E+99),IF(AY12&gt;0,AY12,1E+99),IF(BA12&gt;0,BA12,1E+99)),IF(m=1E+99,"",m))</x:f>
        <x:v>4.019</x:v>
      </x:c>
      <x:c r="BE12" s="16" t="e">
        <x:f>IF(BD12="","",INDEX({"v1.4.20","v1.4.20","v1.4.21","v1.4.21","v1.4.23","v1.4.23","v1.4.26","v1.4.26","v1.4.26.1","v1.4.26.1","v1.4.27","v1.4.27","v1.4.29","v1.4.29","v1.4.30","v1.4.30","v1.4.31","v1.4.31","v1.4.33","v1.4.33","v1.4.35","v1.4.35.2","v1.5","v1.5.1","v1.5.1"},MATCH(BD12,CHOOSE({1,2,3,4,5,6,7,8,9,10,11,12,13,14,15,16,17,18,19,20,21,22,23,24,25},E12,G12,I12,K12,M12,O12,Q12,S12,U12,W12,Y12,AA12,AC12,AE12,AG12,AI12,AK12,AM12,AO12,AQ12,AS12,AU12,AW12,AY12,BA12),0)))</x:f>
      </x:c>
      <x:c r="BF12" s="10" t="n">
        <x:f>IFERROR((AX12-BB12)/BB12,"")</x:f>
        <x:v>-1</x:v>
      </x:c>
      <x:c r="BG12" s="10" t="n">
        <x:f>IFERROR((AY12-BD12)/BD12,"")</x:f>
        <x:v>0.413535705399353</x:v>
      </x:c>
    </x:row>
    <x:row r="13">
      <x:c r="A13" t="str">
        <x:v>Raw Data</x:v>
      </x:c>
      <x:c r="B13" t="str">
        <x:v>Create / Refresh All Templates</x:v>
      </x:c>
      <x:c r="C13" t="str">
        <x:v>Create template fast path - clear skipped for blank sheet: Template - Raw Data</x:v>
      </x:c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 t="n">
        <x:v>0</x:v>
      </x:c>
      <x:c r="W13" s="8" t="n">
        <x:v>5.51</x:v>
      </x:c>
      <x:c r="X13" s="8"/>
      <x:c r="Y13" s="8"/>
      <x:c r="Z13" s="8"/>
      <x:c r="AA13" s="8"/>
      <x:c r="AB13" s="8"/>
      <x:c r="AC13" s="8"/>
      <x:c r="AD13" s="8" t="n">
        <x:v>0</x:v>
      </x:c>
      <x:c r="AE13" s="8" t="n">
        <x:v>4.401</x:v>
      </x:c>
      <x:c r="AF13" s="8" t="n">
        <x:v>0</x:v>
      </x:c>
      <x:c r="AG13" s="8" t="n">
        <x:v>6.024</x:v>
      </x:c>
      <x:c r="AH13" s="8"/>
      <x:c r="AI13" s="8"/>
      <x:c r="AJ13" s="8"/>
      <x:c r="AK13" s="8"/>
      <x:c r="AL13" s="8" t="n">
        <x:v>0</x:v>
      </x:c>
      <x:c r="AM13" s="8" t="n">
        <x:v>6.018</x:v>
      </x:c>
      <x:c r="AN13" s="8" t="n">
        <x:v>0</x:v>
      </x:c>
      <x:c r="AO13" s="8" t="n">
        <x:v>6.464</x:v>
      </x:c>
      <x:c r="AP13" s="8"/>
      <x:c r="AQ13" s="8"/>
      <x:c r="AR13" s="8"/>
      <x:c r="AS13" s="8"/>
      <x:c r="AT13" s="8"/>
      <x:c r="AU13" s="8"/>
      <x:c r="AV13" s="8" t="n">
        <x:v>1.227</x:v>
      </x:c>
      <x:c r="AW13" s="8" t="n">
        <x:v>5.491</x:v>
      </x:c>
      <x:c r="AX13" s="8" t="n">
        <x:v>0.395</x:v>
      </x:c>
      <x:c r="AY13" s="8" t="n">
        <x:v>6.076</x:v>
      </x:c>
      <x:c r="AZ13" s="8"/>
      <x:c r="BA13" s="8"/>
      <x:c r="BB13" s="8" t="n">
        <x:f>LET(m,MIN(IF(D13&gt;0,D13,1E+99),IF(F13&gt;0,F13,1E+99),IF(H13&gt;0,H13,1E+99),IF(J13&gt;0,J13,1E+99),IF(L13&gt;0,L13,1E+99),IF(N13&gt;0,N13,1E+99),IF(P13&gt;0,P13,1E+99),IF(R13&gt;0,R13,1E+99),IF(T13&gt;0,T13,1E+99),IF(V13&gt;0,V13,1E+99),IF(X13&gt;0,X13,1E+99),IF(Z13&gt;0,Z13,1E+99),IF(AB13&gt;0,AB13,1E+99),IF(AD13&gt;0,AD13,1E+99),IF(AF13&gt;0,AF13,1E+99),IF(AH13&gt;0,AH13,1E+99),IF(AJ13&gt;0,AJ13,1E+99),IF(AL13&gt;0,AL13,1E+99),IF(AN13&gt;0,AN13,1E+99),IF(AP13&gt;0,AP13,1E+99),IF(AR13&gt;0,AR13,1E+99),IF(AT13&gt;0,AT13,1E+99),IF(AV13&gt;0,AV13,1E+99),IF(AX13&gt;0,AX13,1E+99),IF(AZ13&gt;0,AZ13,1E+99)),IF(m=1E+99,"",m))</x:f>
        <x:v>0.395</x:v>
      </x:c>
      <x:c r="BC13" s="12" t="e">
        <x:f>IF(BB13="","",INDEX({"v1.4.20","v1.4.20","v1.4.21","v1.4.21","v1.4.23","v1.4.23","v1.4.26","v1.4.26","v1.4.26.1","v1.4.26.1","v1.4.27","v1.4.27","v1.4.29","v1.4.29","v1.4.30","v1.4.30","v1.4.31","v1.4.31","v1.4.33","v1.4.33","v1.4.35","v1.4.35.2","v1.5","v1.5.1","v1.5.1"},MATCH(BB13,CHOOSE({1,2,3,4,5,6,7,8,9,10,11,12,13,14,15,16,17,18,19,20,21,22,23,24,25},D13,F13,H13,J13,L13,N13,P13,R13,T13,V13,X13,Z13,AB13,AD13,AF13,AH13,AJ13,AL13,AN13,AP13,AR13,AT13,AV13,AX13,AZ13),0)))</x:f>
      </x:c>
      <x:c r="BD13" s="14" t="n">
        <x:f>LET(m,MIN(IF(E13&gt;0,E13,1E+99),IF(G13&gt;0,G13,1E+99),IF(I13&gt;0,I13,1E+99),IF(K13&gt;0,K13,1E+99),IF(M13&gt;0,M13,1E+99),IF(O13&gt;0,O13,1E+99),IF(Q13&gt;0,Q13,1E+99),IF(S13&gt;0,S13,1E+99),IF(U13&gt;0,U13,1E+99),IF(W13&gt;0,W13,1E+99),IF(Y13&gt;0,Y13,1E+99),IF(AA13&gt;0,AA13,1E+99),IF(AC13&gt;0,AC13,1E+99),IF(AE13&gt;0,AE13,1E+99),IF(AG13&gt;0,AG13,1E+99),IF(AI13&gt;0,AI13,1E+99),IF(AK13&gt;0,AK13,1E+99),IF(AM13&gt;0,AM13,1E+99),IF(AO13&gt;0,AO13,1E+99),IF(AQ13&gt;0,AQ13,1E+99),IF(AS13&gt;0,AS13,1E+99),IF(AU13&gt;0,AU13,1E+99),IF(AW13&gt;0,AW13,1E+99),IF(AY13&gt;0,AY13,1E+99),IF(BA13&gt;0,BA13,1E+99)),IF(m=1E+99,"",m))</x:f>
        <x:v>4.401</x:v>
      </x:c>
      <x:c r="BE13" s="16" t="e">
        <x:f>IF(BD13="","",INDEX({"v1.4.20","v1.4.20","v1.4.21","v1.4.21","v1.4.23","v1.4.23","v1.4.26","v1.4.26","v1.4.26.1","v1.4.26.1","v1.4.27","v1.4.27","v1.4.29","v1.4.29","v1.4.30","v1.4.30","v1.4.31","v1.4.31","v1.4.33","v1.4.33","v1.4.35","v1.4.35.2","v1.5","v1.5.1","v1.5.1"},MATCH(BD13,CHOOSE({1,2,3,4,5,6,7,8,9,10,11,12,13,14,15,16,17,18,19,20,21,22,23,24,25},E13,G13,I13,K13,M13,O13,Q13,S13,U13,W13,Y13,AA13,AC13,AE13,AG13,AI13,AK13,AM13,AO13,AQ13,AS13,AU13,AW13,AY13,BA13),0)))</x:f>
      </x:c>
      <x:c r="BF13" s="10" t="n">
        <x:f>IFERROR((AX13-BB13)/BB13,"")</x:f>
        <x:v>0</x:v>
      </x:c>
      <x:c r="BG13" s="10" t="n">
        <x:f>IFERROR((AY13-BD13)/BD13,"")</x:f>
        <x:v>0.38059531924562595</x:v>
      </x:c>
    </x:row>
    <x:row r="14">
      <x:c r="A14" t="str">
        <x:v>Raw Data</x:v>
      </x:c>
      <x:c r="B14" t="str">
        <x:v>Create / Refresh All Templates</x:v>
      </x:c>
      <x:c r="C14" t="str">
        <x:v>Resize sheet: Template - Raw Data (6500 rows x 66 cols)</x:v>
      </x:c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 t="n">
        <x:v>0.375</x:v>
      </x:c>
      <x:c r="S14" s="8" t="n">
        <x:v>4.556</x:v>
      </x:c>
      <x:c r="T14" s="8"/>
      <x:c r="U14" s="8"/>
      <x:c r="V14" s="8"/>
      <x:c r="W14" s="8"/>
      <x:c r="X14" s="8"/>
      <x:c r="Y14" s="8"/>
      <x:c r="Z14" s="8" t="n">
        <x:v>0.705</x:v>
      </x:c>
      <x:c r="AA14" s="8" t="n">
        <x:v>6.387</x:v>
      </x:c>
      <x:c r="AB14" s="8"/>
      <x:c r="AC14" s="8"/>
      <x:c r="AD14" s="8" t="n">
        <x:v>1.152</x:v>
      </x:c>
      <x:c r="AE14" s="8" t="n">
        <x:v>5.553</x:v>
      </x:c>
      <x:c r="AF14" s="8"/>
      <x:c r="AG14" s="8"/>
      <x:c r="AH14" s="8"/>
      <x:c r="AI14" s="8"/>
      <x:c r="AJ14" s="8"/>
      <x:c r="AK14" s="8"/>
      <x:c r="AL14" s="8"/>
      <x:c r="AM14" s="8"/>
      <x:c r="AN14" s="8"/>
      <x:c r="AO14" s="8"/>
      <x:c r="AP14" s="8"/>
      <x:c r="AQ14" s="8"/>
      <x:c r="AR14" s="8" t="n">
        <x:v>0.925</x:v>
      </x:c>
      <x:c r="AS14" s="8" t="n">
        <x:v>10.141</x:v>
      </x:c>
      <x:c r="AT14" s="8" t="n">
        <x:v>0.449</x:v>
      </x:c>
      <x:c r="AU14" s="8" t="n">
        <x:v>6.801</x:v>
      </x:c>
      <x:c r="AV14" s="8" t="n">
        <x:v>0.437</x:v>
      </x:c>
      <x:c r="AW14" s="8" t="n">
        <x:v>5.928</x:v>
      </x:c>
      <x:c r="AX14" s="8" t="n">
        <x:v>0.818</x:v>
      </x:c>
      <x:c r="AY14" s="8" t="n">
        <x:v>6.894</x:v>
      </x:c>
      <x:c r="AZ14" s="8"/>
      <x:c r="BA14" s="8"/>
      <x:c r="BB14" s="8" t="n">
        <x:f>LET(m,MIN(IF(D14&gt;0,D14,1E+99),IF(F14&gt;0,F14,1E+99),IF(H14&gt;0,H14,1E+99),IF(J14&gt;0,J14,1E+99),IF(L14&gt;0,L14,1E+99),IF(N14&gt;0,N14,1E+99),IF(P14&gt;0,P14,1E+99),IF(R14&gt;0,R14,1E+99),IF(T14&gt;0,T14,1E+99),IF(V14&gt;0,V14,1E+99),IF(X14&gt;0,X14,1E+99),IF(Z14&gt;0,Z14,1E+99),IF(AB14&gt;0,AB14,1E+99),IF(AD14&gt;0,AD14,1E+99),IF(AF14&gt;0,AF14,1E+99),IF(AH14&gt;0,AH14,1E+99),IF(AJ14&gt;0,AJ14,1E+99),IF(AL14&gt;0,AL14,1E+99),IF(AN14&gt;0,AN14,1E+99),IF(AP14&gt;0,AP14,1E+99),IF(AR14&gt;0,AR14,1E+99),IF(AT14&gt;0,AT14,1E+99),IF(AV14&gt;0,AV14,1E+99),IF(AX14&gt;0,AX14,1E+99),IF(AZ14&gt;0,AZ14,1E+99)),IF(m=1E+99,"",m))</x:f>
        <x:v>0.375</x:v>
      </x:c>
      <x:c r="BC14" s="12" t="e">
        <x:f>IF(BB14="","",INDEX({"v1.4.20","v1.4.20","v1.4.21","v1.4.21","v1.4.23","v1.4.23","v1.4.26","v1.4.26","v1.4.26.1","v1.4.26.1","v1.4.27","v1.4.27","v1.4.29","v1.4.29","v1.4.30","v1.4.30","v1.4.31","v1.4.31","v1.4.33","v1.4.33","v1.4.35","v1.4.35.2","v1.5","v1.5.1","v1.5.1"},MATCH(BB14,CHOOSE({1,2,3,4,5,6,7,8,9,10,11,12,13,14,15,16,17,18,19,20,21,22,23,24,25},D14,F14,H14,J14,L14,N14,P14,R14,T14,V14,X14,Z14,AB14,AD14,AF14,AH14,AJ14,AL14,AN14,AP14,AR14,AT14,AV14,AX14,AZ14),0)))</x:f>
      </x:c>
      <x:c r="BD14" s="14" t="n">
        <x:f>LET(m,MIN(IF(E14&gt;0,E14,1E+99),IF(G14&gt;0,G14,1E+99),IF(I14&gt;0,I14,1E+99),IF(K14&gt;0,K14,1E+99),IF(M14&gt;0,M14,1E+99),IF(O14&gt;0,O14,1E+99),IF(Q14&gt;0,Q14,1E+99),IF(S14&gt;0,S14,1E+99),IF(U14&gt;0,U14,1E+99),IF(W14&gt;0,W14,1E+99),IF(Y14&gt;0,Y14,1E+99),IF(AA14&gt;0,AA14,1E+99),IF(AC14&gt;0,AC14,1E+99),IF(AE14&gt;0,AE14,1E+99),IF(AG14&gt;0,AG14,1E+99),IF(AI14&gt;0,AI14,1E+99),IF(AK14&gt;0,AK14,1E+99),IF(AM14&gt;0,AM14,1E+99),IF(AO14&gt;0,AO14,1E+99),IF(AQ14&gt;0,AQ14,1E+99),IF(AS14&gt;0,AS14,1E+99),IF(AU14&gt;0,AU14,1E+99),IF(AW14&gt;0,AW14,1E+99),IF(AY14&gt;0,AY14,1E+99),IF(BA14&gt;0,BA14,1E+99)),IF(m=1E+99,"",m))</x:f>
        <x:v>4.556</x:v>
      </x:c>
      <x:c r="BE14" s="16" t="e">
        <x:f>IF(BD14="","",INDEX({"v1.4.20","v1.4.20","v1.4.21","v1.4.21","v1.4.23","v1.4.23","v1.4.26","v1.4.26","v1.4.26.1","v1.4.26.1","v1.4.27","v1.4.27","v1.4.29","v1.4.29","v1.4.30","v1.4.30","v1.4.31","v1.4.31","v1.4.33","v1.4.33","v1.4.35","v1.4.35.2","v1.5","v1.5.1","v1.5.1"},MATCH(BD14,CHOOSE({1,2,3,4,5,6,7,8,9,10,11,12,13,14,15,16,17,18,19,20,21,22,23,24,25},E14,G14,I14,K14,M14,O14,Q14,S14,U14,W14,Y14,AA14,AC14,AE14,AG14,AI14,AK14,AM14,AO14,AQ14,AS14,AU14,AW14,AY14,BA14),0)))</x:f>
      </x:c>
      <x:c r="BF14" s="10" t="n">
        <x:f>IFERROR((AX14-BB14)/BB14,"")</x:f>
        <x:v>1.1813333333333331</x:v>
      </x:c>
      <x:c r="BG14" s="10" t="n">
        <x:f>IFERROR((AY14-BD14)/BD14,"")</x:f>
        <x:v>0.513169446883231</x:v>
      </x:c>
    </x:row>
    <x:row r="15">
      <x:c r="A15" t="str">
        <x:v>Raw Data</x:v>
      </x:c>
      <x:c r="B15" t="str">
        <x:v>Create / Refresh All Templates</x:v>
      </x:c>
      <x:c r="C15" t="str">
        <x:v>Apply title rows: Template - Raw Data</x:v>
      </x:c>
      <x:c r="D15" s="8" t="n">
        <x:v>0.187</x:v>
      </x:c>
      <x:c r="E15" s="8" t="n">
        <x:v>6.993</x:v>
      </x:c>
      <x:c r="F15" s="8"/>
      <x:c r="G15" s="8"/>
      <x:c r="H15" s="8" t="n">
        <x:v>0.362</x:v>
      </x:c>
      <x:c r="I15" s="8" t="n">
        <x:v>7.821</x:v>
      </x:c>
      <x:c r="J15" s="8"/>
      <x:c r="K15" s="8"/>
      <x:c r="L15" s="8"/>
      <x:c r="M15" s="8"/>
      <x:c r="N15" s="8" t="n">
        <x:v>0.206</x:v>
      </x:c>
      <x:c r="O15" s="8" t="n">
        <x:v>8.63</x:v>
      </x:c>
      <x:c r="P15" s="8"/>
      <x:c r="Q15" s="8"/>
      <x:c r="R15" s="8" t="n">
        <x:v>0.152</x:v>
      </x:c>
      <x:c r="S15" s="8" t="n">
        <x:v>4.708</x:v>
      </x:c>
      <x:c r="T15" s="8"/>
      <x:c r="U15" s="8"/>
      <x:c r="V15" s="8" t="n">
        <x:v>0.413</x:v>
      </x:c>
      <x:c r="W15" s="8" t="n">
        <x:v>6.424</x:v>
      </x:c>
      <x:c r="X15" s="8"/>
      <x:c r="Y15" s="8"/>
      <x:c r="Z15" s="8" t="n">
        <x:v>0.166</x:v>
      </x:c>
      <x:c r="AA15" s="8" t="n">
        <x:v>6.553</x:v>
      </x:c>
      <x:c r="AB15" s="8"/>
      <x:c r="AC15" s="8"/>
      <x:c r="AD15" s="8" t="n">
        <x:v>0.569</x:v>
      </x:c>
      <x:c r="AE15" s="8" t="n">
        <x:v>6.122</x:v>
      </x:c>
      <x:c r="AF15" s="8" t="n">
        <x:v>0.148</x:v>
      </x:c>
      <x:c r="AG15" s="8" t="n">
        <x:v>6.427</x:v>
      </x:c>
      <x:c r="AH15" s="8"/>
      <x:c r="AI15" s="8"/>
      <x:c r="AJ15" s="8"/>
      <x:c r="AK15" s="8"/>
      <x:c r="AL15" s="8" t="n">
        <x:v>0.251</x:v>
      </x:c>
      <x:c r="AM15" s="8" t="n">
        <x:v>6.8</x:v>
      </x:c>
      <x:c r="AN15" s="8" t="n">
        <x:v>0.23</x:v>
      </x:c>
      <x:c r="AO15" s="8" t="n">
        <x:v>7.147</x:v>
      </x:c>
      <x:c r="AP15" s="8"/>
      <x:c r="AQ15" s="8"/>
      <x:c r="AR15" s="8" t="n">
        <x:v>0.249</x:v>
      </x:c>
      <x:c r="AS15" s="8" t="n">
        <x:v>10.39</x:v>
      </x:c>
      <x:c r="AT15" s="8" t="n">
        <x:v>0.159</x:v>
      </x:c>
      <x:c r="AU15" s="8" t="n">
        <x:v>6.96</x:v>
      </x:c>
      <x:c r="AV15" s="8" t="n">
        <x:v>0.136</x:v>
      </x:c>
      <x:c r="AW15" s="8" t="n">
        <x:v>6.064</x:v>
      </x:c>
      <x:c r="AX15" s="8" t="n">
        <x:v>0.19</x:v>
      </x:c>
      <x:c r="AY15" s="8" t="n">
        <x:v>7.084</x:v>
      </x:c>
      <x:c r="AZ15" s="8"/>
      <x:c r="BA15" s="8"/>
      <x:c r="BB15" s="8" t="n">
        <x:f>LET(m,MIN(IF(D15&gt;0,D15,1E+99),IF(F15&gt;0,F15,1E+99),IF(H15&gt;0,H15,1E+99),IF(J15&gt;0,J15,1E+99),IF(L15&gt;0,L15,1E+99),IF(N15&gt;0,N15,1E+99),IF(P15&gt;0,P15,1E+99),IF(R15&gt;0,R15,1E+99),IF(T15&gt;0,T15,1E+99),IF(V15&gt;0,V15,1E+99),IF(X15&gt;0,X15,1E+99),IF(Z15&gt;0,Z15,1E+99),IF(AB15&gt;0,AB15,1E+99),IF(AD15&gt;0,AD15,1E+99),IF(AF15&gt;0,AF15,1E+99),IF(AH15&gt;0,AH15,1E+99),IF(AJ15&gt;0,AJ15,1E+99),IF(AL15&gt;0,AL15,1E+99),IF(AN15&gt;0,AN15,1E+99),IF(AP15&gt;0,AP15,1E+99),IF(AR15&gt;0,AR15,1E+99),IF(AT15&gt;0,AT15,1E+99),IF(AV15&gt;0,AV15,1E+99),IF(AX15&gt;0,AX15,1E+99),IF(AZ15&gt;0,AZ15,1E+99)),IF(m=1E+99,"",m))</x:f>
        <x:v>0.136</x:v>
      </x:c>
      <x:c r="BC15" s="12" t="e">
        <x:f>IF(BB15="","",INDEX({"v1.4.20","v1.4.20","v1.4.21","v1.4.21","v1.4.23","v1.4.23","v1.4.26","v1.4.26","v1.4.26.1","v1.4.26.1","v1.4.27","v1.4.27","v1.4.29","v1.4.29","v1.4.30","v1.4.30","v1.4.31","v1.4.31","v1.4.33","v1.4.33","v1.4.35","v1.4.35.2","v1.5","v1.5.1","v1.5.1"},MATCH(BB15,CHOOSE({1,2,3,4,5,6,7,8,9,10,11,12,13,14,15,16,17,18,19,20,21,22,23,24,25},D15,F15,H15,J15,L15,N15,P15,R15,T15,V15,X15,Z15,AB15,AD15,AF15,AH15,AJ15,AL15,AN15,AP15,AR15,AT15,AV15,AX15,AZ15),0)))</x:f>
      </x:c>
      <x:c r="BD15" s="14" t="n">
        <x:f>LET(m,MIN(IF(E15&gt;0,E15,1E+99),IF(G15&gt;0,G15,1E+99),IF(I15&gt;0,I15,1E+99),IF(K15&gt;0,K15,1E+99),IF(M15&gt;0,M15,1E+99),IF(O15&gt;0,O15,1E+99),IF(Q15&gt;0,Q15,1E+99),IF(S15&gt;0,S15,1E+99),IF(U15&gt;0,U15,1E+99),IF(W15&gt;0,W15,1E+99),IF(Y15&gt;0,Y15,1E+99),IF(AA15&gt;0,AA15,1E+99),IF(AC15&gt;0,AC15,1E+99),IF(AE15&gt;0,AE15,1E+99),IF(AG15&gt;0,AG15,1E+99),IF(AI15&gt;0,AI15,1E+99),IF(AK15&gt;0,AK15,1E+99),IF(AM15&gt;0,AM15,1E+99),IF(AO15&gt;0,AO15,1E+99),IF(AQ15&gt;0,AQ15,1E+99),IF(AS15&gt;0,AS15,1E+99),IF(AU15&gt;0,AU15,1E+99),IF(AW15&gt;0,AW15,1E+99),IF(AY15&gt;0,AY15,1E+99),IF(BA15&gt;0,BA15,1E+99)),IF(m=1E+99,"",m))</x:f>
        <x:v>4.708</x:v>
      </x:c>
      <x:c r="BE15" s="16" t="e">
        <x:f>IF(BD15="","",INDEX({"v1.4.20","v1.4.20","v1.4.21","v1.4.21","v1.4.23","v1.4.23","v1.4.26","v1.4.26","v1.4.26.1","v1.4.26.1","v1.4.27","v1.4.27","v1.4.29","v1.4.29","v1.4.30","v1.4.30","v1.4.31","v1.4.31","v1.4.33","v1.4.33","v1.4.35","v1.4.35.2","v1.5","v1.5.1","v1.5.1"},MATCH(BD15,CHOOSE({1,2,3,4,5,6,7,8,9,10,11,12,13,14,15,16,17,18,19,20,21,22,23,24,25},E15,G15,I15,K15,M15,O15,Q15,S15,U15,W15,Y15,AA15,AC15,AE15,AG15,AI15,AK15,AM15,AO15,AQ15,AS15,AU15,AW15,AY15,BA15),0)))</x:f>
      </x:c>
      <x:c r="BF15" s="10" t="n">
        <x:f>IFERROR((AX15-BB15)/BB15,"")</x:f>
        <x:v>0.3970588235294117</x:v>
      </x:c>
      <x:c r="BG15" s="10" t="n">
        <x:f>IFERROR((AY15-BD15)/BD15,"")</x:f>
        <x:v>0.5046728971962615</x:v>
      </x:c>
    </x:row>
    <x:row r="16">
      <x:c r="A16" t="str">
        <x:v>Raw Data</x:v>
      </x:c>
      <x:c r="B16" t="str">
        <x:v>Create / Refresh All Templates</x:v>
      </x:c>
      <x:c r="C16" t="str">
        <x:v>Apply header row: Template - Raw Data</x:v>
      </x:c>
      <x:c r="D16" s="8" t="n">
        <x:v>0.314</x:v>
      </x:c>
      <x:c r="E16" s="8" t="n">
        <x:v>7.307</x:v>
      </x:c>
      <x:c r="F16" s="8"/>
      <x:c r="G16" s="8"/>
      <x:c r="H16" s="8" t="n">
        <x:v>0.733</x:v>
      </x:c>
      <x:c r="I16" s="8" t="n">
        <x:v>8.554</x:v>
      </x:c>
      <x:c r="J16" s="8"/>
      <x:c r="K16" s="8"/>
      <x:c r="L16" s="8"/>
      <x:c r="M16" s="8"/>
      <x:c r="N16" s="8" t="n">
        <x:v>0.374</x:v>
      </x:c>
      <x:c r="O16" s="8" t="n">
        <x:v>9.004</x:v>
      </x:c>
      <x:c r="P16" s="8"/>
      <x:c r="Q16" s="8"/>
      <x:c r="R16" s="8" t="n">
        <x:v>0.18</x:v>
      </x:c>
      <x:c r="S16" s="8" t="n">
        <x:v>4.888</x:v>
      </x:c>
      <x:c r="T16" s="8"/>
      <x:c r="U16" s="8"/>
      <x:c r="V16" s="8" t="n">
        <x:v>0.216</x:v>
      </x:c>
      <x:c r="W16" s="8" t="n">
        <x:v>6.64</x:v>
      </x:c>
      <x:c r="X16" s="8"/>
      <x:c r="Y16" s="8"/>
      <x:c r="Z16" s="8" t="n">
        <x:v>0.268</x:v>
      </x:c>
      <x:c r="AA16" s="8" t="n">
        <x:v>6.821</x:v>
      </x:c>
      <x:c r="AB16" s="8"/>
      <x:c r="AC16" s="8"/>
      <x:c r="AD16" s="8" t="n">
        <x:v>0.16</x:v>
      </x:c>
      <x:c r="AE16" s="8" t="n">
        <x:v>6.282</x:v>
      </x:c>
      <x:c r="AF16" s="8" t="n">
        <x:v>0.363</x:v>
      </x:c>
      <x:c r="AG16" s="8" t="n">
        <x:v>6.79</x:v>
      </x:c>
      <x:c r="AH16" s="8"/>
      <x:c r="AI16" s="8"/>
      <x:c r="AJ16" s="8"/>
      <x:c r="AK16" s="8"/>
      <x:c r="AL16" s="8" t="n">
        <x:v>0.176</x:v>
      </x:c>
      <x:c r="AM16" s="8" t="n">
        <x:v>6.976</x:v>
      </x:c>
      <x:c r="AN16" s="8" t="n">
        <x:v>0.217</x:v>
      </x:c>
      <x:c r="AO16" s="8" t="n">
        <x:v>7.364</x:v>
      </x:c>
      <x:c r="AP16" s="8"/>
      <x:c r="AQ16" s="8"/>
      <x:c r="AR16" s="8" t="n">
        <x:v>0.364</x:v>
      </x:c>
      <x:c r="AS16" s="8" t="n">
        <x:v>10.754</x:v>
      </x:c>
      <x:c r="AT16" s="8" t="n">
        <x:v>0.36</x:v>
      </x:c>
      <x:c r="AU16" s="8" t="n">
        <x:v>7.32</x:v>
      </x:c>
      <x:c r="AV16" s="8" t="n">
        <x:v>0.127</x:v>
      </x:c>
      <x:c r="AW16" s="8" t="n">
        <x:v>6.191</x:v>
      </x:c>
      <x:c r="AX16" s="8" t="n">
        <x:v>0.331</x:v>
      </x:c>
      <x:c r="AY16" s="8" t="n">
        <x:v>7.415</x:v>
      </x:c>
      <x:c r="AZ16" s="8"/>
      <x:c r="BA16" s="8"/>
      <x:c r="BB16" s="8" t="n">
        <x:f>LET(m,MIN(IF(D16&gt;0,D16,1E+99),IF(F16&gt;0,F16,1E+99),IF(H16&gt;0,H16,1E+99),IF(J16&gt;0,J16,1E+99),IF(L16&gt;0,L16,1E+99),IF(N16&gt;0,N16,1E+99),IF(P16&gt;0,P16,1E+99),IF(R16&gt;0,R16,1E+99),IF(T16&gt;0,T16,1E+99),IF(V16&gt;0,V16,1E+99),IF(X16&gt;0,X16,1E+99),IF(Z16&gt;0,Z16,1E+99),IF(AB16&gt;0,AB16,1E+99),IF(AD16&gt;0,AD16,1E+99),IF(AF16&gt;0,AF16,1E+99),IF(AH16&gt;0,AH16,1E+99),IF(AJ16&gt;0,AJ16,1E+99),IF(AL16&gt;0,AL16,1E+99),IF(AN16&gt;0,AN16,1E+99),IF(AP16&gt;0,AP16,1E+99),IF(AR16&gt;0,AR16,1E+99),IF(AT16&gt;0,AT16,1E+99),IF(AV16&gt;0,AV16,1E+99),IF(AX16&gt;0,AX16,1E+99),IF(AZ16&gt;0,AZ16,1E+99)),IF(m=1E+99,"",m))</x:f>
        <x:v>0.127</x:v>
      </x:c>
      <x:c r="BC16" s="12" t="e">
        <x:f>IF(BB16="","",INDEX({"v1.4.20","v1.4.20","v1.4.21","v1.4.21","v1.4.23","v1.4.23","v1.4.26","v1.4.26","v1.4.26.1","v1.4.26.1","v1.4.27","v1.4.27","v1.4.29","v1.4.29","v1.4.30","v1.4.30","v1.4.31","v1.4.31","v1.4.33","v1.4.33","v1.4.35","v1.4.35.2","v1.5","v1.5.1","v1.5.1"},MATCH(BB16,CHOOSE({1,2,3,4,5,6,7,8,9,10,11,12,13,14,15,16,17,18,19,20,21,22,23,24,25},D16,F16,H16,J16,L16,N16,P16,R16,T16,V16,X16,Z16,AB16,AD16,AF16,AH16,AJ16,AL16,AN16,AP16,AR16,AT16,AV16,AX16,AZ16),0)))</x:f>
      </x:c>
      <x:c r="BD16" s="14" t="n">
        <x:f>LET(m,MIN(IF(E16&gt;0,E16,1E+99),IF(G16&gt;0,G16,1E+99),IF(I16&gt;0,I16,1E+99),IF(K16&gt;0,K16,1E+99),IF(M16&gt;0,M16,1E+99),IF(O16&gt;0,O16,1E+99),IF(Q16&gt;0,Q16,1E+99),IF(S16&gt;0,S16,1E+99),IF(U16&gt;0,U16,1E+99),IF(W16&gt;0,W16,1E+99),IF(Y16&gt;0,Y16,1E+99),IF(AA16&gt;0,AA16,1E+99),IF(AC16&gt;0,AC16,1E+99),IF(AE16&gt;0,AE16,1E+99),IF(AG16&gt;0,AG16,1E+99),IF(AI16&gt;0,AI16,1E+99),IF(AK16&gt;0,AK16,1E+99),IF(AM16&gt;0,AM16,1E+99),IF(AO16&gt;0,AO16,1E+99),IF(AQ16&gt;0,AQ16,1E+99),IF(AS16&gt;0,AS16,1E+99),IF(AU16&gt;0,AU16,1E+99),IF(AW16&gt;0,AW16,1E+99),IF(AY16&gt;0,AY16,1E+99),IF(BA16&gt;0,BA16,1E+99)),IF(m=1E+99,"",m))</x:f>
        <x:v>4.888</x:v>
      </x:c>
      <x:c r="BE16" s="16" t="e">
        <x:f>IF(BD16="","",INDEX({"v1.4.20","v1.4.20","v1.4.21","v1.4.21","v1.4.23","v1.4.23","v1.4.26","v1.4.26","v1.4.26.1","v1.4.26.1","v1.4.27","v1.4.27","v1.4.29","v1.4.29","v1.4.30","v1.4.30","v1.4.31","v1.4.31","v1.4.33","v1.4.33","v1.4.35","v1.4.35.2","v1.5","v1.5.1","v1.5.1"},MATCH(BD16,CHOOSE({1,2,3,4,5,6,7,8,9,10,11,12,13,14,15,16,17,18,19,20,21,22,23,24,25},E16,G16,I16,K16,M16,O16,Q16,S16,U16,W16,Y16,AA16,AC16,AE16,AG16,AI16,AK16,AM16,AO16,AQ16,AS16,AU16,AW16,AY16,BA16),0)))</x:f>
      </x:c>
      <x:c r="BF16" s="10" t="n">
        <x:f>IFERROR((AX16-BB16)/BB16,"")</x:f>
        <x:v>1.6062992125984252</x:v>
      </x:c>
      <x:c r="BG16" s="10" t="n">
        <x:f>IFERROR((AY16-BD16)/BD16,"")</x:f>
        <x:v>0.5169803600654664</x:v>
      </x:c>
    </x:row>
    <x:row r="17">
      <x:c r="A17" t="str">
        <x:v>Raw Data</x:v>
      </x:c>
      <x:c r="B17" t="str">
        <x:v>Create / Refresh All Templates</x:v>
      </x:c>
      <x:c r="C17" t="str">
        <x:v>Apply alternating color rules: Template - Raw Data</x:v>
      </x:c>
      <x:c r="D17" s="8" t="n">
        <x:v>0.448</x:v>
      </x:c>
      <x:c r="E17" s="8" t="n">
        <x:v>7.755</x:v>
      </x:c>
      <x:c r="F17" s="8"/>
      <x:c r="G17" s="8"/>
      <x:c r="H17" s="8" t="n">
        <x:v>0.729</x:v>
      </x:c>
      <x:c r="I17" s="8" t="n">
        <x:v>9.283</x:v>
      </x:c>
      <x:c r="J17" s="8"/>
      <x:c r="K17" s="8"/>
      <x:c r="L17" s="8"/>
      <x:c r="M17" s="8"/>
      <x:c r="N17" s="8" t="n">
        <x:v>0.51</x:v>
      </x:c>
      <x:c r="O17" s="8" t="n">
        <x:v>9.514</x:v>
      </x:c>
      <x:c r="P17" s="8"/>
      <x:c r="Q17" s="8"/>
      <x:c r="R17" s="8" t="n">
        <x:v>0.402</x:v>
      </x:c>
      <x:c r="S17" s="8" t="n">
        <x:v>5.29</x:v>
      </x:c>
      <x:c r="T17" s="8"/>
      <x:c r="U17" s="8"/>
      <x:c r="V17" s="8" t="n">
        <x:v>0.477</x:v>
      </x:c>
      <x:c r="W17" s="8" t="n">
        <x:v>7.117</x:v>
      </x:c>
      <x:c r="X17" s="8"/>
      <x:c r="Y17" s="8"/>
      <x:c r="Z17" s="8" t="n">
        <x:v>0.562</x:v>
      </x:c>
      <x:c r="AA17" s="8" t="n">
        <x:v>7.383</x:v>
      </x:c>
      <x:c r="AB17" s="8"/>
      <x:c r="AC17" s="8"/>
      <x:c r="AD17" s="8" t="n">
        <x:v>0.438</x:v>
      </x:c>
      <x:c r="AE17" s="8" t="n">
        <x:v>6.72</x:v>
      </x:c>
      <x:c r="AF17" s="8" t="n">
        <x:v>0.397</x:v>
      </x:c>
      <x:c r="AG17" s="8" t="n">
        <x:v>7.187</x:v>
      </x:c>
      <x:c r="AH17" s="8"/>
      <x:c r="AI17" s="8"/>
      <x:c r="AJ17" s="8"/>
      <x:c r="AK17" s="8"/>
      <x:c r="AL17" s="8" t="n">
        <x:v>0.858</x:v>
      </x:c>
      <x:c r="AM17" s="8" t="n">
        <x:v>7.834</x:v>
      </x:c>
      <x:c r="AN17" s="8" t="n">
        <x:v>0.597</x:v>
      </x:c>
      <x:c r="AO17" s="8" t="n">
        <x:v>7.961</x:v>
      </x:c>
      <x:c r="AP17" s="8"/>
      <x:c r="AQ17" s="8"/>
      <x:c r="AR17" s="8" t="n">
        <x:v>0.652</x:v>
      </x:c>
      <x:c r="AS17" s="8" t="n">
        <x:v>11.406</x:v>
      </x:c>
      <x:c r="AT17" s="8" t="n">
        <x:v>0.432</x:v>
      </x:c>
      <x:c r="AU17" s="8" t="n">
        <x:v>7.752</x:v>
      </x:c>
      <x:c r="AV17" s="8" t="n">
        <x:v>0.536</x:v>
      </x:c>
      <x:c r="AW17" s="8" t="n">
        <x:v>6.727</x:v>
      </x:c>
      <x:c r="AX17" s="8" t="n">
        <x:v>0.534</x:v>
      </x:c>
      <x:c r="AY17" s="8" t="n">
        <x:v>7.949</x:v>
      </x:c>
      <x:c r="AZ17" s="8"/>
      <x:c r="BA17" s="8"/>
      <x:c r="BB17" s="8" t="n">
        <x:f>LET(m,MIN(IF(D17&gt;0,D17,1E+99),IF(F17&gt;0,F17,1E+99),IF(H17&gt;0,H17,1E+99),IF(J17&gt;0,J17,1E+99),IF(L17&gt;0,L17,1E+99),IF(N17&gt;0,N17,1E+99),IF(P17&gt;0,P17,1E+99),IF(R17&gt;0,R17,1E+99),IF(T17&gt;0,T17,1E+99),IF(V17&gt;0,V17,1E+99),IF(X17&gt;0,X17,1E+99),IF(Z17&gt;0,Z17,1E+99),IF(AB17&gt;0,AB17,1E+99),IF(AD17&gt;0,AD17,1E+99),IF(AF17&gt;0,AF17,1E+99),IF(AH17&gt;0,AH17,1E+99),IF(AJ17&gt;0,AJ17,1E+99),IF(AL17&gt;0,AL17,1E+99),IF(AN17&gt;0,AN17,1E+99),IF(AP17&gt;0,AP17,1E+99),IF(AR17&gt;0,AR17,1E+99),IF(AT17&gt;0,AT17,1E+99),IF(AV17&gt;0,AV17,1E+99),IF(AX17&gt;0,AX17,1E+99),IF(AZ17&gt;0,AZ17,1E+99)),IF(m=1E+99,"",m))</x:f>
        <x:v>0.397</x:v>
      </x:c>
      <x:c r="BC17" s="12" t="e">
        <x:f>IF(BB17="","",INDEX({"v1.4.20","v1.4.20","v1.4.21","v1.4.21","v1.4.23","v1.4.23","v1.4.26","v1.4.26","v1.4.26.1","v1.4.26.1","v1.4.27","v1.4.27","v1.4.29","v1.4.29","v1.4.30","v1.4.30","v1.4.31","v1.4.31","v1.4.33","v1.4.33","v1.4.35","v1.4.35.2","v1.5","v1.5.1","v1.5.1"},MATCH(BB17,CHOOSE({1,2,3,4,5,6,7,8,9,10,11,12,13,14,15,16,17,18,19,20,21,22,23,24,25},D17,F17,H17,J17,L17,N17,P17,R17,T17,V17,X17,Z17,AB17,AD17,AF17,AH17,AJ17,AL17,AN17,AP17,AR17,AT17,AV17,AX17,AZ17),0)))</x:f>
      </x:c>
      <x:c r="BD17" s="14" t="n">
        <x:f>LET(m,MIN(IF(E17&gt;0,E17,1E+99),IF(G17&gt;0,G17,1E+99),IF(I17&gt;0,I17,1E+99),IF(K17&gt;0,K17,1E+99),IF(M17&gt;0,M17,1E+99),IF(O17&gt;0,O17,1E+99),IF(Q17&gt;0,Q17,1E+99),IF(S17&gt;0,S17,1E+99),IF(U17&gt;0,U17,1E+99),IF(W17&gt;0,W17,1E+99),IF(Y17&gt;0,Y17,1E+99),IF(AA17&gt;0,AA17,1E+99),IF(AC17&gt;0,AC17,1E+99),IF(AE17&gt;0,AE17,1E+99),IF(AG17&gt;0,AG17,1E+99),IF(AI17&gt;0,AI17,1E+99),IF(AK17&gt;0,AK17,1E+99),IF(AM17&gt;0,AM17,1E+99),IF(AO17&gt;0,AO17,1E+99),IF(AQ17&gt;0,AQ17,1E+99),IF(AS17&gt;0,AS17,1E+99),IF(AU17&gt;0,AU17,1E+99),IF(AW17&gt;0,AW17,1E+99),IF(AY17&gt;0,AY17,1E+99),IF(BA17&gt;0,BA17,1E+99)),IF(m=1E+99,"",m))</x:f>
        <x:v>5.29</x:v>
      </x:c>
      <x:c r="BE17" s="16" t="e">
        <x:f>IF(BD17="","",INDEX({"v1.4.20","v1.4.20","v1.4.21","v1.4.21","v1.4.23","v1.4.23","v1.4.26","v1.4.26","v1.4.26.1","v1.4.26.1","v1.4.27","v1.4.27","v1.4.29","v1.4.29","v1.4.30","v1.4.30","v1.4.31","v1.4.31","v1.4.33","v1.4.33","v1.4.35","v1.4.35.2","v1.5","v1.5.1","v1.5.1"},MATCH(BD17,CHOOSE({1,2,3,4,5,6,7,8,9,10,11,12,13,14,15,16,17,18,19,20,21,22,23,24,25},E17,G17,I17,K17,M17,O17,Q17,S17,U17,W17,Y17,AA17,AC17,AE17,AG17,AI17,AK17,AM17,AO17,AQ17,AS17,AU17,AW17,AY17,BA17),0)))</x:f>
      </x:c>
      <x:c r="BF17" s="10" t="n">
        <x:f>IFERROR((AX17-BB17)/BB17,"")</x:f>
        <x:v>0.34508816120906805</x:v>
      </x:c>
      <x:c r="BG17" s="10" t="n">
        <x:f>IFERROR((AY17-BD17)/BD17,"")</x:f>
        <x:v>0.5026465028355387</x:v>
      </x:c>
    </x:row>
    <x:row r="18">
      <x:c r="A18" t="str">
        <x:v>Raw Data</x:v>
      </x:c>
      <x:c r="B18" t="str">
        <x:v>Create / Refresh All Templates</x:v>
      </x:c>
      <x:c r="C18" t="str">
        <x:v>Apply data row base style: Template - Raw Data</x:v>
      </x:c>
      <x:c r="D18" s="8" t="n">
        <x:v>0</x:v>
      </x:c>
      <x:c r="E18" s="8" t="n">
        <x:v>7.755</x:v>
      </x:c>
      <x:c r="F18" s="8"/>
      <x:c r="G18" s="8"/>
      <x:c r="H18" s="8" t="n">
        <x:v>0</x:v>
      </x:c>
      <x:c r="I18" s="8" t="n">
        <x:v>9.283</x:v>
      </x:c>
      <x:c r="J18" s="8"/>
      <x:c r="K18" s="8"/>
      <x:c r="L18" s="8"/>
      <x:c r="M18" s="8"/>
      <x:c r="N18" s="8" t="n">
        <x:v>0</x:v>
      </x:c>
      <x:c r="O18" s="8" t="n">
        <x:v>9.514</x:v>
      </x:c>
      <x:c r="P18" s="8"/>
      <x:c r="Q18" s="8"/>
      <x:c r="R18" s="8" t="n">
        <x:v>0</x:v>
      </x:c>
      <x:c r="S18" s="8" t="n">
        <x:v>5.29</x:v>
      </x:c>
      <x:c r="T18" s="8"/>
      <x:c r="U18" s="8"/>
      <x:c r="V18" s="8" t="n">
        <x:v>0</x:v>
      </x:c>
      <x:c r="W18" s="8" t="n">
        <x:v>7.117</x:v>
      </x:c>
      <x:c r="X18" s="8"/>
      <x:c r="Y18" s="8"/>
      <x:c r="Z18" s="8" t="n">
        <x:v>0</x:v>
      </x:c>
      <x:c r="AA18" s="8" t="n">
        <x:v>7.383</x:v>
      </x:c>
      <x:c r="AB18" s="8"/>
      <x:c r="AC18" s="8"/>
      <x:c r="AD18" s="8" t="n">
        <x:v>0</x:v>
      </x:c>
      <x:c r="AE18" s="8" t="n">
        <x:v>6.72</x:v>
      </x:c>
      <x:c r="AF18" s="8" t="n">
        <x:v>0</x:v>
      </x:c>
      <x:c r="AG18" s="8" t="n">
        <x:v>7.187</x:v>
      </x:c>
      <x:c r="AH18" s="8"/>
      <x:c r="AI18" s="8"/>
      <x:c r="AJ18" s="8"/>
      <x:c r="AK18" s="8"/>
      <x:c r="AL18" s="8" t="n">
        <x:v>0</x:v>
      </x:c>
      <x:c r="AM18" s="8" t="n">
        <x:v>7.834</x:v>
      </x:c>
      <x:c r="AN18" s="8" t="n">
        <x:v>0</x:v>
      </x:c>
      <x:c r="AO18" s="8" t="n">
        <x:v>7.961</x:v>
      </x:c>
      <x:c r="AP18" s="8"/>
      <x:c r="AQ18" s="8"/>
      <x:c r="AR18" s="8" t="n">
        <x:v>0</x:v>
      </x:c>
      <x:c r="AS18" s="8" t="n">
        <x:v>11.406</x:v>
      </x:c>
      <x:c r="AT18" s="8" t="n">
        <x:v>0</x:v>
      </x:c>
      <x:c r="AU18" s="8" t="n">
        <x:v>7.752</x:v>
      </x:c>
      <x:c r="AV18" s="8" t="n">
        <x:v>0</x:v>
      </x:c>
      <x:c r="AW18" s="8" t="n">
        <x:v>6.727</x:v>
      </x:c>
      <x:c r="AX18" s="8" t="n">
        <x:v>0</x:v>
      </x:c>
      <x:c r="AY18" s="8" t="n">
        <x:v>7.949</x:v>
      </x:c>
      <x:c r="AZ18" s="8"/>
      <x:c r="BA18" s="8"/>
      <x:c r="BB18" s="8" t="str">
        <x:f>LET(m,MIN(IF(D18&gt;0,D18,1E+99),IF(F18&gt;0,F18,1E+99),IF(H18&gt;0,H18,1E+99),IF(J18&gt;0,J18,1E+99),IF(L18&gt;0,L18,1E+99),IF(N18&gt;0,N18,1E+99),IF(P18&gt;0,P18,1E+99),IF(R18&gt;0,R18,1E+99),IF(T18&gt;0,T18,1E+99),IF(V18&gt;0,V18,1E+99),IF(X18&gt;0,X18,1E+99),IF(Z18&gt;0,Z18,1E+99),IF(AB18&gt;0,AB18,1E+99),IF(AD18&gt;0,AD18,1E+99),IF(AF18&gt;0,AF18,1E+99),IF(AH18&gt;0,AH18,1E+99),IF(AJ18&gt;0,AJ18,1E+99),IF(AL18&gt;0,AL18,1E+99),IF(AN18&gt;0,AN18,1E+99),IF(AP18&gt;0,AP18,1E+99),IF(AR18&gt;0,AR18,1E+99),IF(AT18&gt;0,AT18,1E+99),IF(AV18&gt;0,AV18,1E+99),IF(AX18&gt;0,AX18,1E+99),IF(AZ18&gt;0,AZ18,1E+99)),IF(m=1E+99,"",m))</x:f>
      </x:c>
      <x:c r="BC18" s="12" t="str">
        <x:f>IF(BB18="","",INDEX({"v1.4.20","v1.4.20","v1.4.21","v1.4.21","v1.4.23","v1.4.23","v1.4.26","v1.4.26","v1.4.26.1","v1.4.26.1","v1.4.27","v1.4.27","v1.4.29","v1.4.29","v1.4.30","v1.4.30","v1.4.31","v1.4.31","v1.4.33","v1.4.33","v1.4.35","v1.4.35.2","v1.5","v1.5.1","v1.5.1"},MATCH(BB18,CHOOSE({1,2,3,4,5,6,7,8,9,10,11,12,13,14,15,16,17,18,19,20,21,22,23,24,25},D18,F18,H18,J18,L18,N18,P18,R18,T18,V18,X18,Z18,AB18,AD18,AF18,AH18,AJ18,AL18,AN18,AP18,AR18,AT18,AV18,AX18,AZ18),0)))</x:f>
      </x:c>
      <x:c r="BD18" s="14" t="n">
        <x:f>LET(m,MIN(IF(E18&gt;0,E18,1E+99),IF(G18&gt;0,G18,1E+99),IF(I18&gt;0,I18,1E+99),IF(K18&gt;0,K18,1E+99),IF(M18&gt;0,M18,1E+99),IF(O18&gt;0,O18,1E+99),IF(Q18&gt;0,Q18,1E+99),IF(S18&gt;0,S18,1E+99),IF(U18&gt;0,U18,1E+99),IF(W18&gt;0,W18,1E+99),IF(Y18&gt;0,Y18,1E+99),IF(AA18&gt;0,AA18,1E+99),IF(AC18&gt;0,AC18,1E+99),IF(AE18&gt;0,AE18,1E+99),IF(AG18&gt;0,AG18,1E+99),IF(AI18&gt;0,AI18,1E+99),IF(AK18&gt;0,AK18,1E+99),IF(AM18&gt;0,AM18,1E+99),IF(AO18&gt;0,AO18,1E+99),IF(AQ18&gt;0,AQ18,1E+99),IF(AS18&gt;0,AS18,1E+99),IF(AU18&gt;0,AU18,1E+99),IF(AW18&gt;0,AW18,1E+99),IF(AY18&gt;0,AY18,1E+99),IF(BA18&gt;0,BA18,1E+99)),IF(m=1E+99,"",m))</x:f>
        <x:v>5.29</x:v>
      </x:c>
      <x:c r="BE18" s="16" t="e">
        <x:f>IF(BD18="","",INDEX({"v1.4.20","v1.4.20","v1.4.21","v1.4.21","v1.4.23","v1.4.23","v1.4.26","v1.4.26","v1.4.26.1","v1.4.26.1","v1.4.27","v1.4.27","v1.4.29","v1.4.29","v1.4.30","v1.4.30","v1.4.31","v1.4.31","v1.4.33","v1.4.33","v1.4.35","v1.4.35.2","v1.5","v1.5.1","v1.5.1"},MATCH(BD18,CHOOSE({1,2,3,4,5,6,7,8,9,10,11,12,13,14,15,16,17,18,19,20,21,22,23,24,25},E18,G18,I18,K18,M18,O18,Q18,S18,U18,W18,Y18,AA18,AC18,AE18,AG18,AI18,AK18,AM18,AO18,AQ18,AS18,AU18,AW18,AY18,BA18),0)))</x:f>
      </x:c>
      <x:c r="BF18" s="10" t="str">
        <x:f>IFERROR((AX18-BB18)/BB18,"")</x:f>
      </x:c>
      <x:c r="BG18" s="10" t="n">
        <x:f>IFERROR((AY18-BD18)/BD18,"")</x:f>
        <x:v>0.5026465028355387</x:v>
      </x:c>
    </x:row>
    <x:row r="19">
      <x:c r="A19" t="str">
        <x:v>Raw Data</x:v>
      </x:c>
      <x:c r="B19" t="str">
        <x:v>Create / Refresh All Templates</x:v>
      </x:c>
      <x:c r="C19" t="str">
        <x:v>Apply column widths: Template - Raw Data</x:v>
      </x:c>
      <x:c r="D19" s="8" t="n">
        <x:v>5.071</x:v>
      </x:c>
      <x:c r="E19" s="8" t="n">
        <x:v>12.826</x:v>
      </x:c>
      <x:c r="F19" s="8"/>
      <x:c r="G19" s="8"/>
      <x:c r="H19" s="8" t="n">
        <x:v>8.501</x:v>
      </x:c>
      <x:c r="I19" s="8" t="n">
        <x:v>17.784</x:v>
      </x:c>
      <x:c r="J19" s="8"/>
      <x:c r="K19" s="8"/>
      <x:c r="L19" s="8"/>
      <x:c r="M19" s="8"/>
      <x:c r="N19" s="8" t="n">
        <x:v>6.437</x:v>
      </x:c>
      <x:c r="O19" s="8" t="n">
        <x:v>15.951</x:v>
      </x:c>
      <x:c r="P19" s="8"/>
      <x:c r="Q19" s="8"/>
      <x:c r="R19" s="8" t="n">
        <x:v>3.903</x:v>
      </x:c>
      <x:c r="S19" s="8" t="n">
        <x:v>9.193</x:v>
      </x:c>
      <x:c r="T19" s="8"/>
      <x:c r="U19" s="8"/>
      <x:c r="V19" s="8" t="n">
        <x:v>4.458</x:v>
      </x:c>
      <x:c r="W19" s="8" t="n">
        <x:v>11.575</x:v>
      </x:c>
      <x:c r="X19" s="8"/>
      <x:c r="Y19" s="8"/>
      <x:c r="Z19" s="8" t="n">
        <x:v>7.198</x:v>
      </x:c>
      <x:c r="AA19" s="8" t="n">
        <x:v>14.581</x:v>
      </x:c>
      <x:c r="AB19" s="8"/>
      <x:c r="AC19" s="8"/>
      <x:c r="AD19" s="8" t="n">
        <x:v>7.028</x:v>
      </x:c>
      <x:c r="AE19" s="8" t="n">
        <x:v>13.748</x:v>
      </x:c>
      <x:c r="AF19" s="8" t="n">
        <x:v>10.266</x:v>
      </x:c>
      <x:c r="AG19" s="8" t="n">
        <x:v>17.453</x:v>
      </x:c>
      <x:c r="AH19" s="8"/>
      <x:c r="AI19" s="8"/>
      <x:c r="AJ19" s="8"/>
      <x:c r="AK19" s="8"/>
      <x:c r="AL19" s="8" t="n">
        <x:v>7.89</x:v>
      </x:c>
      <x:c r="AM19" s="8" t="n">
        <x:v>15.724</x:v>
      </x:c>
      <x:c r="AN19" s="8" t="n">
        <x:v>6.452</x:v>
      </x:c>
      <x:c r="AO19" s="8" t="n">
        <x:v>14.413</x:v>
      </x:c>
      <x:c r="AP19" s="8"/>
      <x:c r="AQ19" s="8"/>
      <x:c r="AR19" s="8" t="n">
        <x:v>8.47</x:v>
      </x:c>
      <x:c r="AS19" s="8" t="n">
        <x:v>19.876</x:v>
      </x:c>
      <x:c r="AT19" s="8" t="n">
        <x:v>6.077</x:v>
      </x:c>
      <x:c r="AU19" s="8" t="n">
        <x:v>13.829</x:v>
      </x:c>
      <x:c r="AV19" s="8" t="n">
        <x:v>6.483</x:v>
      </x:c>
      <x:c r="AW19" s="8" t="n">
        <x:v>13.21</x:v>
      </x:c>
      <x:c r="AX19" s="8" t="n">
        <x:v>8.22</x:v>
      </x:c>
      <x:c r="AY19" s="8" t="n">
        <x:v>16.169</x:v>
      </x:c>
      <x:c r="AZ19" s="8"/>
      <x:c r="BA19" s="8"/>
      <x:c r="BB19" s="8" t="n">
        <x:f>LET(m,MIN(IF(D19&gt;0,D19,1E+99),IF(F19&gt;0,F19,1E+99),IF(H19&gt;0,H19,1E+99),IF(J19&gt;0,J19,1E+99),IF(L19&gt;0,L19,1E+99),IF(N19&gt;0,N19,1E+99),IF(P19&gt;0,P19,1E+99),IF(R19&gt;0,R19,1E+99),IF(T19&gt;0,T19,1E+99),IF(V19&gt;0,V19,1E+99),IF(X19&gt;0,X19,1E+99),IF(Z19&gt;0,Z19,1E+99),IF(AB19&gt;0,AB19,1E+99),IF(AD19&gt;0,AD19,1E+99),IF(AF19&gt;0,AF19,1E+99),IF(AH19&gt;0,AH19,1E+99),IF(AJ19&gt;0,AJ19,1E+99),IF(AL19&gt;0,AL19,1E+99),IF(AN19&gt;0,AN19,1E+99),IF(AP19&gt;0,AP19,1E+99),IF(AR19&gt;0,AR19,1E+99),IF(AT19&gt;0,AT19,1E+99),IF(AV19&gt;0,AV19,1E+99),IF(AX19&gt;0,AX19,1E+99),IF(AZ19&gt;0,AZ19,1E+99)),IF(m=1E+99,"",m))</x:f>
        <x:v>3.903</x:v>
      </x:c>
      <x:c r="BC19" s="12" t="e">
        <x:f>IF(BB19="","",INDEX({"v1.4.20","v1.4.20","v1.4.21","v1.4.21","v1.4.23","v1.4.23","v1.4.26","v1.4.26","v1.4.26.1","v1.4.26.1","v1.4.27","v1.4.27","v1.4.29","v1.4.29","v1.4.30","v1.4.30","v1.4.31","v1.4.31","v1.4.33","v1.4.33","v1.4.35","v1.4.35.2","v1.5","v1.5.1","v1.5.1"},MATCH(BB19,CHOOSE({1,2,3,4,5,6,7,8,9,10,11,12,13,14,15,16,17,18,19,20,21,22,23,24,25},D19,F19,H19,J19,L19,N19,P19,R19,T19,V19,X19,Z19,AB19,AD19,AF19,AH19,AJ19,AL19,AN19,AP19,AR19,AT19,AV19,AX19,AZ19),0)))</x:f>
      </x:c>
      <x:c r="BD19" s="14" t="n">
        <x:f>LET(m,MIN(IF(E19&gt;0,E19,1E+99),IF(G19&gt;0,G19,1E+99),IF(I19&gt;0,I19,1E+99),IF(K19&gt;0,K19,1E+99),IF(M19&gt;0,M19,1E+99),IF(O19&gt;0,O19,1E+99),IF(Q19&gt;0,Q19,1E+99),IF(S19&gt;0,S19,1E+99),IF(U19&gt;0,U19,1E+99),IF(W19&gt;0,W19,1E+99),IF(Y19&gt;0,Y19,1E+99),IF(AA19&gt;0,AA19,1E+99),IF(AC19&gt;0,AC19,1E+99),IF(AE19&gt;0,AE19,1E+99),IF(AG19&gt;0,AG19,1E+99),IF(AI19&gt;0,AI19,1E+99),IF(AK19&gt;0,AK19,1E+99),IF(AM19&gt;0,AM19,1E+99),IF(AO19&gt;0,AO19,1E+99),IF(AQ19&gt;0,AQ19,1E+99),IF(AS19&gt;0,AS19,1E+99),IF(AU19&gt;0,AU19,1E+99),IF(AW19&gt;0,AW19,1E+99),IF(AY19&gt;0,AY19,1E+99),IF(BA19&gt;0,BA19,1E+99)),IF(m=1E+99,"",m))</x:f>
        <x:v>9.193</x:v>
      </x:c>
      <x:c r="BE19" s="16" t="e">
        <x:f>IF(BD19="","",INDEX({"v1.4.20","v1.4.20","v1.4.21","v1.4.21","v1.4.23","v1.4.23","v1.4.26","v1.4.26","v1.4.26.1","v1.4.26.1","v1.4.27","v1.4.27","v1.4.29","v1.4.29","v1.4.30","v1.4.30","v1.4.31","v1.4.31","v1.4.33","v1.4.33","v1.4.35","v1.4.35.2","v1.5","v1.5.1","v1.5.1"},MATCH(BD19,CHOOSE({1,2,3,4,5,6,7,8,9,10,11,12,13,14,15,16,17,18,19,20,21,22,23,24,25},E19,G19,I19,K19,M19,O19,Q19,S19,U19,W19,Y19,AA19,AC19,AE19,AG19,AI19,AK19,AM19,AO19,AQ19,AS19,AU19,AW19,AY19,BA19),0)))</x:f>
      </x:c>
      <x:c r="BF19" s="10" t="n">
        <x:f>IFERROR((AX19-BB19)/BB19,"")</x:f>
        <x:v>1.1060722521137587</x:v>
      </x:c>
      <x:c r="BG19" s="10" t="n">
        <x:f>IFERROR((AY19-BD19)/BD19,"")</x:f>
        <x:v>0.7588382464918961</x:v>
      </x:c>
    </x:row>
    <x:row r="20">
      <x:c r="A20" t="str">
        <x:v>Raw Data</x:v>
      </x:c>
      <x:c r="B20" t="str">
        <x:v>Create / Refresh All Templates</x:v>
      </x:c>
      <x:c r="C20" t="str">
        <x:v>Apply date/number formats: Template - Raw Data</x:v>
      </x:c>
      <x:c r="D20" s="8" t="n">
        <x:v>0.057</x:v>
      </x:c>
      <x:c r="E20" s="8" t="n">
        <x:v>12.883</x:v>
      </x:c>
      <x:c r="F20" s="8"/>
      <x:c r="G20" s="8"/>
      <x:c r="H20" s="8" t="n">
        <x:v>0.111</x:v>
      </x:c>
      <x:c r="I20" s="8" t="n">
        <x:v>17.895</x:v>
      </x:c>
      <x:c r="J20" s="8"/>
      <x:c r="K20" s="8"/>
      <x:c r="L20" s="8"/>
      <x:c r="M20" s="8"/>
      <x:c r="N20" s="8" t="n">
        <x:v>0.096</x:v>
      </x:c>
      <x:c r="O20" s="8" t="n">
        <x:v>16.047</x:v>
      </x:c>
      <x:c r="P20" s="8"/>
      <x:c r="Q20" s="8"/>
      <x:c r="R20" s="8" t="n">
        <x:v>0.095</x:v>
      </x:c>
      <x:c r="S20" s="8" t="n">
        <x:v>9.288</x:v>
      </x:c>
      <x:c r="T20" s="8"/>
      <x:c r="U20" s="8"/>
      <x:c r="V20" s="8" t="n">
        <x:v>0.103</x:v>
      </x:c>
      <x:c r="W20" s="8" t="n">
        <x:v>11.678</x:v>
      </x:c>
      <x:c r="X20" s="8"/>
      <x:c r="Y20" s="8"/>
      <x:c r="Z20" s="8" t="n">
        <x:v>0.075</x:v>
      </x:c>
      <x:c r="AA20" s="8" t="n">
        <x:v>14.656</x:v>
      </x:c>
      <x:c r="AB20" s="8"/>
      <x:c r="AC20" s="8"/>
      <x:c r="AD20" s="8" t="n">
        <x:v>0.085</x:v>
      </x:c>
      <x:c r="AE20" s="8" t="n">
        <x:v>13.833</x:v>
      </x:c>
      <x:c r="AF20" s="8" t="n">
        <x:v>0.175</x:v>
      </x:c>
      <x:c r="AG20" s="8" t="n">
        <x:v>17.628</x:v>
      </x:c>
      <x:c r="AH20" s="8"/>
      <x:c r="AI20" s="8"/>
      <x:c r="AJ20" s="8"/>
      <x:c r="AK20" s="8"/>
      <x:c r="AL20" s="8" t="n">
        <x:v>0.114</x:v>
      </x:c>
      <x:c r="AM20" s="8" t="n">
        <x:v>15.838</x:v>
      </x:c>
      <x:c r="AN20" s="8" t="n">
        <x:v>0.142</x:v>
      </x:c>
      <x:c r="AO20" s="8" t="n">
        <x:v>14.555</x:v>
      </x:c>
      <x:c r="AP20" s="8"/>
      <x:c r="AQ20" s="8"/>
      <x:c r="AR20" s="8" t="n">
        <x:v>0.112</x:v>
      </x:c>
      <x:c r="AS20" s="8" t="n">
        <x:v>19.988</x:v>
      </x:c>
      <x:c r="AT20" s="8" t="n">
        <x:v>0.12</x:v>
      </x:c>
      <x:c r="AU20" s="8" t="n">
        <x:v>13.949</x:v>
      </x:c>
      <x:c r="AV20" s="8" t="n">
        <x:v>0.053</x:v>
      </x:c>
      <x:c r="AW20" s="8" t="n">
        <x:v>13.263</x:v>
      </x:c>
      <x:c r="AX20" s="8" t="n">
        <x:v>0.079</x:v>
      </x:c>
      <x:c r="AY20" s="8" t="n">
        <x:v>16.248</x:v>
      </x:c>
      <x:c r="AZ20" s="8"/>
      <x:c r="BA20" s="8"/>
      <x:c r="BB20" s="8" t="n">
        <x:f>LET(m,MIN(IF(D20&gt;0,D20,1E+99),IF(F20&gt;0,F20,1E+99),IF(H20&gt;0,H20,1E+99),IF(J20&gt;0,J20,1E+99),IF(L20&gt;0,L20,1E+99),IF(N20&gt;0,N20,1E+99),IF(P20&gt;0,P20,1E+99),IF(R20&gt;0,R20,1E+99),IF(T20&gt;0,T20,1E+99),IF(V20&gt;0,V20,1E+99),IF(X20&gt;0,X20,1E+99),IF(Z20&gt;0,Z20,1E+99),IF(AB20&gt;0,AB20,1E+99),IF(AD20&gt;0,AD20,1E+99),IF(AF20&gt;0,AF20,1E+99),IF(AH20&gt;0,AH20,1E+99),IF(AJ20&gt;0,AJ20,1E+99),IF(AL20&gt;0,AL20,1E+99),IF(AN20&gt;0,AN20,1E+99),IF(AP20&gt;0,AP20,1E+99),IF(AR20&gt;0,AR20,1E+99),IF(AT20&gt;0,AT20,1E+99),IF(AV20&gt;0,AV20,1E+99),IF(AX20&gt;0,AX20,1E+99),IF(AZ20&gt;0,AZ20,1E+99)),IF(m=1E+99,"",m))</x:f>
        <x:v>0.053</x:v>
      </x:c>
      <x:c r="BC20" s="12" t="e">
        <x:f>IF(BB20="","",INDEX({"v1.4.20","v1.4.20","v1.4.21","v1.4.21","v1.4.23","v1.4.23","v1.4.26","v1.4.26","v1.4.26.1","v1.4.26.1","v1.4.27","v1.4.27","v1.4.29","v1.4.29","v1.4.30","v1.4.30","v1.4.31","v1.4.31","v1.4.33","v1.4.33","v1.4.35","v1.4.35.2","v1.5","v1.5.1","v1.5.1"},MATCH(BB20,CHOOSE({1,2,3,4,5,6,7,8,9,10,11,12,13,14,15,16,17,18,19,20,21,22,23,24,25},D20,F20,H20,J20,L20,N20,P20,R20,T20,V20,X20,Z20,AB20,AD20,AF20,AH20,AJ20,AL20,AN20,AP20,AR20,AT20,AV20,AX20,AZ20),0)))</x:f>
      </x:c>
      <x:c r="BD20" s="14" t="n">
        <x:f>LET(m,MIN(IF(E20&gt;0,E20,1E+99),IF(G20&gt;0,G20,1E+99),IF(I20&gt;0,I20,1E+99),IF(K20&gt;0,K20,1E+99),IF(M20&gt;0,M20,1E+99),IF(O20&gt;0,O20,1E+99),IF(Q20&gt;0,Q20,1E+99),IF(S20&gt;0,S20,1E+99),IF(U20&gt;0,U20,1E+99),IF(W20&gt;0,W20,1E+99),IF(Y20&gt;0,Y20,1E+99),IF(AA20&gt;0,AA20,1E+99),IF(AC20&gt;0,AC20,1E+99),IF(AE20&gt;0,AE20,1E+99),IF(AG20&gt;0,AG20,1E+99),IF(AI20&gt;0,AI20,1E+99),IF(AK20&gt;0,AK20,1E+99),IF(AM20&gt;0,AM20,1E+99),IF(AO20&gt;0,AO20,1E+99),IF(AQ20&gt;0,AQ20,1E+99),IF(AS20&gt;0,AS20,1E+99),IF(AU20&gt;0,AU20,1E+99),IF(AW20&gt;0,AW20,1E+99),IF(AY20&gt;0,AY20,1E+99),IF(BA20&gt;0,BA20,1E+99)),IF(m=1E+99,"",m))</x:f>
        <x:v>9.288</x:v>
      </x:c>
      <x:c r="BE20" s="16" t="e">
        <x:f>IF(BD20="","",INDEX({"v1.4.20","v1.4.20","v1.4.21","v1.4.21","v1.4.23","v1.4.23","v1.4.26","v1.4.26","v1.4.26.1","v1.4.26.1","v1.4.27","v1.4.27","v1.4.29","v1.4.29","v1.4.30","v1.4.30","v1.4.31","v1.4.31","v1.4.33","v1.4.33","v1.4.35","v1.4.35.2","v1.5","v1.5.1","v1.5.1"},MATCH(BD20,CHOOSE({1,2,3,4,5,6,7,8,9,10,11,12,13,14,15,16,17,18,19,20,21,22,23,24,25},E20,G20,I20,K20,M20,O20,Q20,S20,U20,W20,Y20,AA20,AC20,AE20,AG20,AI20,AK20,AM20,AO20,AQ20,AS20,AU20,AW20,AY20,BA20),0)))</x:f>
      </x:c>
      <x:c r="BF20" s="10" t="n">
        <x:f>IFERROR((AX20-BB20)/BB20,"")</x:f>
        <x:v>0.4905660377358491</x:v>
      </x:c>
      <x:c r="BG20" s="10" t="n">
        <x:f>IFERROR((AY20-BD20)/BD20,"")</x:f>
        <x:v>0.7493540051679587</x:v>
      </x:c>
    </x:row>
    <x:row r="21">
      <x:c r="A21" t="str">
        <x:v>Raw Data</x:v>
      </x:c>
      <x:c r="B21" t="str">
        <x:v>Create / Refresh All Templates</x:v>
      </x:c>
      <x:c r="C21" t="str">
        <x:v>Apply hidden/show column settings: Template - Raw Data</x:v>
      </x:c>
      <x:c r="D21" s="8" t="n">
        <x:v>0.004</x:v>
      </x:c>
      <x:c r="E21" s="8" t="n">
        <x:v>12.887</x:v>
      </x:c>
      <x:c r="F21" s="8"/>
      <x:c r="G21" s="8"/>
      <x:c r="H21" s="8" t="n">
        <x:v>0.025</x:v>
      </x:c>
      <x:c r="I21" s="8" t="n">
        <x:v>17.92</x:v>
      </x:c>
      <x:c r="J21" s="8"/>
      <x:c r="K21" s="8"/>
      <x:c r="L21" s="8"/>
      <x:c r="M21" s="8"/>
      <x:c r="N21" s="8" t="n">
        <x:v>0.007</x:v>
      </x:c>
      <x:c r="O21" s="8" t="n">
        <x:v>16.054</x:v>
      </x:c>
      <x:c r="P21" s="8"/>
      <x:c r="Q21" s="8"/>
      <x:c r="R21" s="8" t="n">
        <x:v>0.003</x:v>
      </x:c>
      <x:c r="S21" s="8" t="n">
        <x:v>9.291</x:v>
      </x:c>
      <x:c r="T21" s="8"/>
      <x:c r="U21" s="8"/>
      <x:c r="V21" s="8" t="n">
        <x:v>0.003</x:v>
      </x:c>
      <x:c r="W21" s="8" t="n">
        <x:v>11.681</x:v>
      </x:c>
      <x:c r="X21" s="8"/>
      <x:c r="Y21" s="8"/>
      <x:c r="Z21" s="8" t="n">
        <x:v>0.004</x:v>
      </x:c>
      <x:c r="AA21" s="8" t="n">
        <x:v>14.66</x:v>
      </x:c>
      <x:c r="AB21" s="8"/>
      <x:c r="AC21" s="8"/>
      <x:c r="AD21" s="8" t="n">
        <x:v>0.003</x:v>
      </x:c>
      <x:c r="AE21" s="8" t="n">
        <x:v>13.836</x:v>
      </x:c>
      <x:c r="AF21" s="8" t="n">
        <x:v>0.006</x:v>
      </x:c>
      <x:c r="AG21" s="8" t="n">
        <x:v>17.634</x:v>
      </x:c>
      <x:c r="AH21" s="8"/>
      <x:c r="AI21" s="8"/>
      <x:c r="AJ21" s="8"/>
      <x:c r="AK21" s="8"/>
      <x:c r="AL21" s="8" t="n">
        <x:v>0.006</x:v>
      </x:c>
      <x:c r="AM21" s="8" t="n">
        <x:v>15.844</x:v>
      </x:c>
      <x:c r="AN21" s="8" t="n">
        <x:v>0.01</x:v>
      </x:c>
      <x:c r="AO21" s="8" t="n">
        <x:v>14.565</x:v>
      </x:c>
      <x:c r="AP21" s="8"/>
      <x:c r="AQ21" s="8"/>
      <x:c r="AR21" s="8" t="n">
        <x:v>0.007</x:v>
      </x:c>
      <x:c r="AS21" s="8" t="n">
        <x:v>19.995</x:v>
      </x:c>
      <x:c r="AT21" s="8" t="n">
        <x:v>0.008</x:v>
      </x:c>
      <x:c r="AU21" s="8" t="n">
        <x:v>13.957</x:v>
      </x:c>
      <x:c r="AV21" s="8" t="n">
        <x:v>0.013</x:v>
      </x:c>
      <x:c r="AW21" s="8" t="n">
        <x:v>13.276</x:v>
      </x:c>
      <x:c r="AX21" s="8" t="n">
        <x:v>0.005</x:v>
      </x:c>
      <x:c r="AY21" s="8" t="n">
        <x:v>16.253</x:v>
      </x:c>
      <x:c r="AZ21" s="8"/>
      <x:c r="BA21" s="8"/>
      <x:c r="BB21" s="8" t="n">
        <x:f>LET(m,MIN(IF(D21&gt;0,D21,1E+99),IF(F21&gt;0,F21,1E+99),IF(H21&gt;0,H21,1E+99),IF(J21&gt;0,J21,1E+99),IF(L21&gt;0,L21,1E+99),IF(N21&gt;0,N21,1E+99),IF(P21&gt;0,P21,1E+99),IF(R21&gt;0,R21,1E+99),IF(T21&gt;0,T21,1E+99),IF(V21&gt;0,V21,1E+99),IF(X21&gt;0,X21,1E+99),IF(Z21&gt;0,Z21,1E+99),IF(AB21&gt;0,AB21,1E+99),IF(AD21&gt;0,AD21,1E+99),IF(AF21&gt;0,AF21,1E+99),IF(AH21&gt;0,AH21,1E+99),IF(AJ21&gt;0,AJ21,1E+99),IF(AL21&gt;0,AL21,1E+99),IF(AN21&gt;0,AN21,1E+99),IF(AP21&gt;0,AP21,1E+99),IF(AR21&gt;0,AR21,1E+99),IF(AT21&gt;0,AT21,1E+99),IF(AV21&gt;0,AV21,1E+99),IF(AX21&gt;0,AX21,1E+99),IF(AZ21&gt;0,AZ21,1E+99)),IF(m=1E+99,"",m))</x:f>
        <x:v>0.003</x:v>
      </x:c>
      <x:c r="BC21" s="12" t="e">
        <x:f>IF(BB21="","",INDEX({"v1.4.20","v1.4.20","v1.4.21","v1.4.21","v1.4.23","v1.4.23","v1.4.26","v1.4.26","v1.4.26.1","v1.4.26.1","v1.4.27","v1.4.27","v1.4.29","v1.4.29","v1.4.30","v1.4.30","v1.4.31","v1.4.31","v1.4.33","v1.4.33","v1.4.35","v1.4.35.2","v1.5","v1.5.1","v1.5.1"},MATCH(BB21,CHOOSE({1,2,3,4,5,6,7,8,9,10,11,12,13,14,15,16,17,18,19,20,21,22,23,24,25},D21,F21,H21,J21,L21,N21,P21,R21,T21,V21,X21,Z21,AB21,AD21,AF21,AH21,AJ21,AL21,AN21,AP21,AR21,AT21,AV21,AX21,AZ21),0)))</x:f>
      </x:c>
      <x:c r="BD21" s="14" t="n">
        <x:f>LET(m,MIN(IF(E21&gt;0,E21,1E+99),IF(G21&gt;0,G21,1E+99),IF(I21&gt;0,I21,1E+99),IF(K21&gt;0,K21,1E+99),IF(M21&gt;0,M21,1E+99),IF(O21&gt;0,O21,1E+99),IF(Q21&gt;0,Q21,1E+99),IF(S21&gt;0,S21,1E+99),IF(U21&gt;0,U21,1E+99),IF(W21&gt;0,W21,1E+99),IF(Y21&gt;0,Y21,1E+99),IF(AA21&gt;0,AA21,1E+99),IF(AC21&gt;0,AC21,1E+99),IF(AE21&gt;0,AE21,1E+99),IF(AG21&gt;0,AG21,1E+99),IF(AI21&gt;0,AI21,1E+99),IF(AK21&gt;0,AK21,1E+99),IF(AM21&gt;0,AM21,1E+99),IF(AO21&gt;0,AO21,1E+99),IF(AQ21&gt;0,AQ21,1E+99),IF(AS21&gt;0,AS21,1E+99),IF(AU21&gt;0,AU21,1E+99),IF(AW21&gt;0,AW21,1E+99),IF(AY21&gt;0,AY21,1E+99),IF(BA21&gt;0,BA21,1E+99)),IF(m=1E+99,"",m))</x:f>
        <x:v>9.291</x:v>
      </x:c>
      <x:c r="BE21" s="16" t="e">
        <x:f>IF(BD21="","",INDEX({"v1.4.20","v1.4.20","v1.4.21","v1.4.21","v1.4.23","v1.4.23","v1.4.26","v1.4.26","v1.4.26.1","v1.4.26.1","v1.4.27","v1.4.27","v1.4.29","v1.4.29","v1.4.30","v1.4.30","v1.4.31","v1.4.31","v1.4.33","v1.4.33","v1.4.35","v1.4.35.2","v1.5","v1.5.1","v1.5.1"},MATCH(BD21,CHOOSE({1,2,3,4,5,6,7,8,9,10,11,12,13,14,15,16,17,18,19,20,21,22,23,24,25},E21,G21,I21,K21,M21,O21,Q21,S21,U21,W21,Y21,AA21,AC21,AE21,AG21,AI21,AK21,AM21,AO21,AQ21,AS21,AU21,AW21,AY21,BA21),0)))</x:f>
      </x:c>
      <x:c r="BF21" s="10" t="n">
        <x:f>IFERROR((AX21-BB21)/BB21,"")</x:f>
        <x:v>0.6666666666666666</x:v>
      </x:c>
      <x:c r="BG21" s="10" t="n">
        <x:f>IFERROR((AY21-BD21)/BD21,"")</x:f>
        <x:v>0.7493273059950489</x:v>
      </x:c>
    </x:row>
    <x:row r="22">
      <x:c r="A22" t="str">
        <x:v>Raw Data</x:v>
      </x:c>
      <x:c r="B22" t="str">
        <x:v>Create / Refresh All Templates</x:v>
      </x:c>
      <x:c r="C22" t="str">
        <x:v>No existing filter to remove: Template - Raw Data</x:v>
      </x:c>
      <x:c r="D22" s="8" t="n">
        <x:v>0.532</x:v>
      </x:c>
      <x:c r="E22" s="8" t="n">
        <x:v>13.419</x:v>
      </x:c>
      <x:c r="F22" s="8"/>
      <x:c r="G22" s="8"/>
      <x:c r="H22" s="8" t="n">
        <x:v>0.613</x:v>
      </x:c>
      <x:c r="I22" s="8" t="n">
        <x:v>18.533</x:v>
      </x:c>
      <x:c r="J22" s="8"/>
      <x:c r="K22" s="8"/>
      <x:c r="L22" s="8"/>
      <x:c r="M22" s="8"/>
      <x:c r="N22" s="8"/>
      <x:c r="O22" s="8"/>
      <x:c r="P22" s="8"/>
      <x:c r="Q22" s="8"/>
      <x:c r="R22" s="8" t="n">
        <x:v>0.726</x:v>
      </x:c>
      <x:c r="S22" s="8" t="n">
        <x:v>10.017</x:v>
      </x:c>
      <x:c r="T22" s="8"/>
      <x:c r="U22" s="8"/>
      <x:c r="V22" s="8" t="n">
        <x:v>0.252</x:v>
      </x:c>
      <x:c r="W22" s="8" t="n">
        <x:v>11.933</x:v>
      </x:c>
      <x:c r="X22" s="8"/>
      <x:c r="Y22" s="8"/>
      <x:c r="Z22" s="8" t="n">
        <x:v>0.241</x:v>
      </x:c>
      <x:c r="AA22" s="8" t="n">
        <x:v>14.901</x:v>
      </x:c>
      <x:c r="AB22" s="8"/>
      <x:c r="AC22" s="8"/>
      <x:c r="AD22" s="8" t="n">
        <x:v>1.555</x:v>
      </x:c>
      <x:c r="AE22" s="8" t="n">
        <x:v>15.391</x:v>
      </x:c>
      <x:c r="AF22" s="8" t="n">
        <x:v>0.748</x:v>
      </x:c>
      <x:c r="AG22" s="8" t="n">
        <x:v>18.382</x:v>
      </x:c>
      <x:c r="AH22" s="8"/>
      <x:c r="AI22" s="8"/>
      <x:c r="AJ22" s="8" t="n">
        <x:v>0.939</x:v>
      </x:c>
      <x:c r="AK22" s="8" t="n">
        <x:v>16.783</x:v>
      </x:c>
      <x:c r="AL22" s="8" t="n">
        <x:v>0.939</x:v>
      </x:c>
      <x:c r="AM22" s="8" t="n">
        <x:v>16.783</x:v>
      </x:c>
      <x:c r="AN22" s="8" t="n">
        <x:v>0.804</x:v>
      </x:c>
      <x:c r="AO22" s="8" t="n">
        <x:v>15.369</x:v>
      </x:c>
      <x:c r="AP22" s="8"/>
      <x:c r="AQ22" s="8"/>
      <x:c r="AR22" s="8" t="n">
        <x:v>0.743</x:v>
      </x:c>
      <x:c r="AS22" s="8" t="n">
        <x:v>20.738</x:v>
      </x:c>
      <x:c r="AT22" s="8" t="n">
        <x:v>1.177</x:v>
      </x:c>
      <x:c r="AU22" s="8" t="n">
        <x:v>15.134</x:v>
      </x:c>
      <x:c r="AV22" s="8" t="n">
        <x:v>1.601</x:v>
      </x:c>
      <x:c r="AW22" s="8" t="n">
        <x:v>14.877</x:v>
      </x:c>
      <x:c r="AX22" s="8" t="n">
        <x:v>0.737</x:v>
      </x:c>
      <x:c r="AY22" s="8" t="n">
        <x:v>16.99</x:v>
      </x:c>
      <x:c r="AZ22" s="8"/>
      <x:c r="BA22" s="8"/>
      <x:c r="BB22" s="8" t="n">
        <x:f>LET(m,MIN(IF(D22&gt;0,D22,1E+99),IF(F22&gt;0,F22,1E+99),IF(H22&gt;0,H22,1E+99),IF(J22&gt;0,J22,1E+99),IF(L22&gt;0,L22,1E+99),IF(N22&gt;0,N22,1E+99),IF(P22&gt;0,P22,1E+99),IF(R22&gt;0,R22,1E+99),IF(T22&gt;0,T22,1E+99),IF(V22&gt;0,V22,1E+99),IF(X22&gt;0,X22,1E+99),IF(Z22&gt;0,Z22,1E+99),IF(AB22&gt;0,AB22,1E+99),IF(AD22&gt;0,AD22,1E+99),IF(AF22&gt;0,AF22,1E+99),IF(AH22&gt;0,AH22,1E+99),IF(AJ22&gt;0,AJ22,1E+99),IF(AL22&gt;0,AL22,1E+99),IF(AN22&gt;0,AN22,1E+99),IF(AP22&gt;0,AP22,1E+99),IF(AR22&gt;0,AR22,1E+99),IF(AT22&gt;0,AT22,1E+99),IF(AV22&gt;0,AV22,1E+99),IF(AX22&gt;0,AX22,1E+99),IF(AZ22&gt;0,AZ22,1E+99)),IF(m=1E+99,"",m))</x:f>
        <x:v>0.241</x:v>
      </x:c>
      <x:c r="BC22" s="12" t="e">
        <x:f>IF(BB22="","",INDEX({"v1.4.20","v1.4.20","v1.4.21","v1.4.21","v1.4.23","v1.4.23","v1.4.26","v1.4.26","v1.4.26.1","v1.4.26.1","v1.4.27","v1.4.27","v1.4.29","v1.4.29","v1.4.30","v1.4.30","v1.4.31","v1.4.31","v1.4.33","v1.4.33","v1.4.35","v1.4.35.2","v1.5","v1.5.1","v1.5.1"},MATCH(BB22,CHOOSE({1,2,3,4,5,6,7,8,9,10,11,12,13,14,15,16,17,18,19,20,21,22,23,24,25},D22,F22,H22,J22,L22,N22,P22,R22,T22,V22,X22,Z22,AB22,AD22,AF22,AH22,AJ22,AL22,AN22,AP22,AR22,AT22,AV22,AX22,AZ22),0)))</x:f>
      </x:c>
      <x:c r="BD22" s="14" t="n">
        <x:f>LET(m,MIN(IF(E22&gt;0,E22,1E+99),IF(G22&gt;0,G22,1E+99),IF(I22&gt;0,I22,1E+99),IF(K22&gt;0,K22,1E+99),IF(M22&gt;0,M22,1E+99),IF(O22&gt;0,O22,1E+99),IF(Q22&gt;0,Q22,1E+99),IF(S22&gt;0,S22,1E+99),IF(U22&gt;0,U22,1E+99),IF(W22&gt;0,W22,1E+99),IF(Y22&gt;0,Y22,1E+99),IF(AA22&gt;0,AA22,1E+99),IF(AC22&gt;0,AC22,1E+99),IF(AE22&gt;0,AE22,1E+99),IF(AG22&gt;0,AG22,1E+99),IF(AI22&gt;0,AI22,1E+99),IF(AK22&gt;0,AK22,1E+99),IF(AM22&gt;0,AM22,1E+99),IF(AO22&gt;0,AO22,1E+99),IF(AQ22&gt;0,AQ22,1E+99),IF(AS22&gt;0,AS22,1E+99),IF(AU22&gt;0,AU22,1E+99),IF(AW22&gt;0,AW22,1E+99),IF(AY22&gt;0,AY22,1E+99),IF(BA22&gt;0,BA22,1E+99)),IF(m=1E+99,"",m))</x:f>
        <x:v>10.017</x:v>
      </x:c>
      <x:c r="BE22" s="16" t="e">
        <x:f>IF(BD22="","",INDEX({"v1.4.20","v1.4.20","v1.4.21","v1.4.21","v1.4.23","v1.4.23","v1.4.26","v1.4.26","v1.4.26.1","v1.4.26.1","v1.4.27","v1.4.27","v1.4.29","v1.4.29","v1.4.30","v1.4.30","v1.4.31","v1.4.31","v1.4.33","v1.4.33","v1.4.35","v1.4.35.2","v1.5","v1.5.1","v1.5.1"},MATCH(BD22,CHOOSE({1,2,3,4,5,6,7,8,9,10,11,12,13,14,15,16,17,18,19,20,21,22,23,24,25},E22,G22,I22,K22,M22,O22,Q22,S22,U22,W22,Y22,AA22,AC22,AE22,AG22,AI22,AK22,AM22,AO22,AQ22,AS22,AU22,AW22,AY22,BA22),0)))</x:f>
      </x:c>
      <x:c r="BF22" s="10" t="n">
        <x:f>IFERROR((AX22-BB22)/BB22,"")</x:f>
        <x:v>2.058091286307054</x:v>
      </x:c>
      <x:c r="BG22" s="10" t="n">
        <x:f>IFERROR((AY22-BD22)/BD22,"")</x:f>
        <x:v>0.6961166017769791</x:v>
      </x:c>
    </x:row>
    <x:row r="23">
      <x:c r="A23" t="str">
        <x:v>Raw Data</x:v>
      </x:c>
      <x:c r="B23" t="str">
        <x:v>Create / Refresh All Templates</x:v>
      </x:c>
      <x:c r="C23" t="str">
        <x:v>Create filter: Template - Raw Data</x:v>
      </x:c>
      <x:c r="D23" s="8" t="n">
        <x:v>1.259</x:v>
      </x:c>
      <x:c r="E23" s="8" t="n">
        <x:v>14.678</x:v>
      </x:c>
      <x:c r="F23" s="8"/>
      <x:c r="G23" s="8"/>
      <x:c r="H23" s="8" t="n">
        <x:v>1.771</x:v>
      </x:c>
      <x:c r="I23" s="8" t="n">
        <x:v>20.304</x:v>
      </x:c>
      <x:c r="J23" s="8"/>
      <x:c r="K23" s="8"/>
      <x:c r="L23" s="8"/>
      <x:c r="M23" s="8"/>
      <x:c r="N23" s="8" t="n">
        <x:v>2.708</x:v>
      </x:c>
      <x:c r="O23" s="8" t="n">
        <x:v>18.762</x:v>
      </x:c>
      <x:c r="P23" s="8"/>
      <x:c r="Q23" s="8"/>
      <x:c r="R23" s="8" t="n">
        <x:v>1.097</x:v>
      </x:c>
      <x:c r="S23" s="8" t="n">
        <x:v>11.114</x:v>
      </x:c>
      <x:c r="T23" s="8"/>
      <x:c r="U23" s="8"/>
      <x:c r="V23" s="8" t="n">
        <x:v>1.933</x:v>
      </x:c>
      <x:c r="W23" s="8" t="n">
        <x:v>13.866</x:v>
      </x:c>
      <x:c r="X23" s="8"/>
      <x:c r="Y23" s="8"/>
      <x:c r="Z23" s="8" t="n">
        <x:v>3.731</x:v>
      </x:c>
      <x:c r="AA23" s="8" t="n">
        <x:v>18.632</x:v>
      </x:c>
      <x:c r="AB23" s="8"/>
      <x:c r="AC23" s="8"/>
      <x:c r="AD23" s="8" t="n">
        <x:v>1.401</x:v>
      </x:c>
      <x:c r="AE23" s="8" t="n">
        <x:v>16.792</x:v>
      </x:c>
      <x:c r="AF23" s="8" t="n">
        <x:v>2.187</x:v>
      </x:c>
      <x:c r="AG23" s="8" t="n">
        <x:v>20.569</x:v>
      </x:c>
      <x:c r="AH23" s="8"/>
      <x:c r="AI23" s="8"/>
      <x:c r="AJ23" s="8" t="n">
        <x:v>1.743</x:v>
      </x:c>
      <x:c r="AK23" s="8" t="n">
        <x:v>18.526</x:v>
      </x:c>
      <x:c r="AL23" s="8" t="n">
        <x:v>1.743</x:v>
      </x:c>
      <x:c r="AM23" s="8" t="n">
        <x:v>18.526</x:v>
      </x:c>
      <x:c r="AN23" s="8" t="n">
        <x:v>2.279</x:v>
      </x:c>
      <x:c r="AO23" s="8" t="n">
        <x:v>17.648</x:v>
      </x:c>
      <x:c r="AP23" s="8"/>
      <x:c r="AQ23" s="8"/>
      <x:c r="AR23" s="8" t="n">
        <x:v>1.922</x:v>
      </x:c>
      <x:c r="AS23" s="8" t="n">
        <x:v>22.66</x:v>
      </x:c>
      <x:c r="AT23" s="8" t="n">
        <x:v>1.39</x:v>
      </x:c>
      <x:c r="AU23" s="8" t="n">
        <x:v>16.524</x:v>
      </x:c>
      <x:c r="AV23" s="8" t="n">
        <x:v>1.91</x:v>
      </x:c>
      <x:c r="AW23" s="8" t="n">
        <x:v>16.787</x:v>
      </x:c>
      <x:c r="AX23" s="8" t="n">
        <x:v>1.785</x:v>
      </x:c>
      <x:c r="AY23" s="8" t="n">
        <x:v>18.775</x:v>
      </x:c>
      <x:c r="AZ23" s="8"/>
      <x:c r="BA23" s="8"/>
      <x:c r="BB23" s="8" t="n">
        <x:f>LET(m,MIN(IF(D23&gt;0,D23,1E+99),IF(F23&gt;0,F23,1E+99),IF(H23&gt;0,H23,1E+99),IF(J23&gt;0,J23,1E+99),IF(L23&gt;0,L23,1E+99),IF(N23&gt;0,N23,1E+99),IF(P23&gt;0,P23,1E+99),IF(R23&gt;0,R23,1E+99),IF(T23&gt;0,T23,1E+99),IF(V23&gt;0,V23,1E+99),IF(X23&gt;0,X23,1E+99),IF(Z23&gt;0,Z23,1E+99),IF(AB23&gt;0,AB23,1E+99),IF(AD23&gt;0,AD23,1E+99),IF(AF23&gt;0,AF23,1E+99),IF(AH23&gt;0,AH23,1E+99),IF(AJ23&gt;0,AJ23,1E+99),IF(AL23&gt;0,AL23,1E+99),IF(AN23&gt;0,AN23,1E+99),IF(AP23&gt;0,AP23,1E+99),IF(AR23&gt;0,AR23,1E+99),IF(AT23&gt;0,AT23,1E+99),IF(AV23&gt;0,AV23,1E+99),IF(AX23&gt;0,AX23,1E+99),IF(AZ23&gt;0,AZ23,1E+99)),IF(m=1E+99,"",m))</x:f>
        <x:v>1.097</x:v>
      </x:c>
      <x:c r="BC23" s="12" t="e">
        <x:f>IF(BB23="","",INDEX({"v1.4.20","v1.4.20","v1.4.21","v1.4.21","v1.4.23","v1.4.23","v1.4.26","v1.4.26","v1.4.26.1","v1.4.26.1","v1.4.27","v1.4.27","v1.4.29","v1.4.29","v1.4.30","v1.4.30","v1.4.31","v1.4.31","v1.4.33","v1.4.33","v1.4.35","v1.4.35.2","v1.5","v1.5.1","v1.5.1"},MATCH(BB23,CHOOSE({1,2,3,4,5,6,7,8,9,10,11,12,13,14,15,16,17,18,19,20,21,22,23,24,25},D23,F23,H23,J23,L23,N23,P23,R23,T23,V23,X23,Z23,AB23,AD23,AF23,AH23,AJ23,AL23,AN23,AP23,AR23,AT23,AV23,AX23,AZ23),0)))</x:f>
      </x:c>
      <x:c r="BD23" s="14" t="n">
        <x:f>LET(m,MIN(IF(E23&gt;0,E23,1E+99),IF(G23&gt;0,G23,1E+99),IF(I23&gt;0,I23,1E+99),IF(K23&gt;0,K23,1E+99),IF(M23&gt;0,M23,1E+99),IF(O23&gt;0,O23,1E+99),IF(Q23&gt;0,Q23,1E+99),IF(S23&gt;0,S23,1E+99),IF(U23&gt;0,U23,1E+99),IF(W23&gt;0,W23,1E+99),IF(Y23&gt;0,Y23,1E+99),IF(AA23&gt;0,AA23,1E+99),IF(AC23&gt;0,AC23,1E+99),IF(AE23&gt;0,AE23,1E+99),IF(AG23&gt;0,AG23,1E+99),IF(AI23&gt;0,AI23,1E+99),IF(AK23&gt;0,AK23,1E+99),IF(AM23&gt;0,AM23,1E+99),IF(AO23&gt;0,AO23,1E+99),IF(AQ23&gt;0,AQ23,1E+99),IF(AS23&gt;0,AS23,1E+99),IF(AU23&gt;0,AU23,1E+99),IF(AW23&gt;0,AW23,1E+99),IF(AY23&gt;0,AY23,1E+99),IF(BA23&gt;0,BA23,1E+99)),IF(m=1E+99,"",m))</x:f>
        <x:v>11.114</x:v>
      </x:c>
      <x:c r="BE23" s="16" t="e">
        <x:f>IF(BD23="","",INDEX({"v1.4.20","v1.4.20","v1.4.21","v1.4.21","v1.4.23","v1.4.23","v1.4.26","v1.4.26","v1.4.26.1","v1.4.26.1","v1.4.27","v1.4.27","v1.4.29","v1.4.29","v1.4.30","v1.4.30","v1.4.31","v1.4.31","v1.4.33","v1.4.33","v1.4.35","v1.4.35.2","v1.5","v1.5.1","v1.5.1"},MATCH(BD23,CHOOSE({1,2,3,4,5,6,7,8,9,10,11,12,13,14,15,16,17,18,19,20,21,22,23,24,25},E23,G23,I23,K23,M23,O23,Q23,S23,U23,W23,Y23,AA23,AC23,AE23,AG23,AI23,AK23,AM23,AO23,AQ23,AS23,AU23,AW23,AY23,BA23),0)))</x:f>
      </x:c>
      <x:c r="BF23" s="10" t="n">
        <x:f>IFERROR((AX23-BB23)/BB23,"")</x:f>
        <x:v>0.6271649954421148</x:v>
      </x:c>
      <x:c r="BG23" s="10" t="n">
        <x:f>IFERROR((AY23-BD23)/BD23,"")</x:f>
        <x:v>0.6893107791974085</x:v>
      </x:c>
    </x:row>
    <x:row r="24">
      <x:c r="A24" t="str">
        <x:v>Raw Data</x:v>
      </x:c>
      <x:c r="B24" t="str">
        <x:v>Create / Refresh All Templates</x:v>
      </x:c>
      <x:c r="C24" t="str">
        <x:v>Apply row heights skipped for template: Template - Raw Data</x:v>
      </x:c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/>
      <x:c r="AK24" s="8"/>
      <x:c r="AL24" s="8"/>
      <x:c r="AM24" s="8"/>
      <x:c r="AN24" s="8"/>
      <x:c r="AO24" s="8"/>
      <x:c r="AP24" s="8"/>
      <x:c r="AQ24" s="8"/>
      <x:c r="AR24" s="8"/>
      <x:c r="AS24" s="8"/>
      <x:c r="AT24" s="8"/>
      <x:c r="AU24" s="8"/>
      <x:c r="AV24" s="8" t="n">
        <x:v>0</x:v>
      </x:c>
      <x:c r="AW24" s="8" t="n">
        <x:v>16.787</x:v>
      </x:c>
      <x:c r="AX24" s="8" t="n">
        <x:v>0</x:v>
      </x:c>
      <x:c r="AY24" s="8" t="n">
        <x:v>18.775</x:v>
      </x:c>
      <x:c r="AZ24" s="8"/>
      <x:c r="BA24" s="8"/>
      <x:c r="BB24" s="8" t="str">
        <x:f>LET(m,MIN(IF(D24&gt;0,D24,1E+99),IF(F24&gt;0,F24,1E+99),IF(H24&gt;0,H24,1E+99),IF(J24&gt;0,J24,1E+99),IF(L24&gt;0,L24,1E+99),IF(N24&gt;0,N24,1E+99),IF(P24&gt;0,P24,1E+99),IF(R24&gt;0,R24,1E+99),IF(T24&gt;0,T24,1E+99),IF(V24&gt;0,V24,1E+99),IF(X24&gt;0,X24,1E+99),IF(Z24&gt;0,Z24,1E+99),IF(AB24&gt;0,AB24,1E+99),IF(AD24&gt;0,AD24,1E+99),IF(AF24&gt;0,AF24,1E+99),IF(AH24&gt;0,AH24,1E+99),IF(AJ24&gt;0,AJ24,1E+99),IF(AL24&gt;0,AL24,1E+99),IF(AN24&gt;0,AN24,1E+99),IF(AP24&gt;0,AP24,1E+99),IF(AR24&gt;0,AR24,1E+99),IF(AT24&gt;0,AT24,1E+99),IF(AV24&gt;0,AV24,1E+99),IF(AX24&gt;0,AX24,1E+99),IF(AZ24&gt;0,AZ24,1E+99)),IF(m=1E+99,"",m))</x:f>
      </x:c>
      <x:c r="BC24" s="12" t="str">
        <x:f>IF(BB24="","",INDEX({"v1.4.20","v1.4.20","v1.4.21","v1.4.21","v1.4.23","v1.4.23","v1.4.26","v1.4.26","v1.4.26.1","v1.4.26.1","v1.4.27","v1.4.27","v1.4.29","v1.4.29","v1.4.30","v1.4.30","v1.4.31","v1.4.31","v1.4.33","v1.4.33","v1.4.35","v1.4.35.2","v1.5","v1.5.1","v1.5.1"},MATCH(BB24,CHOOSE({1,2,3,4,5,6,7,8,9,10,11,12,13,14,15,16,17,18,19,20,21,22,23,24,25},D24,F24,H24,J24,L24,N24,P24,R24,T24,V24,X24,Z24,AB24,AD24,AF24,AH24,AJ24,AL24,AN24,AP24,AR24,AT24,AV24,AX24,AZ24),0)))</x:f>
      </x:c>
      <x:c r="BD24" s="14" t="n">
        <x:f>LET(m,MIN(IF(E24&gt;0,E24,1E+99),IF(G24&gt;0,G24,1E+99),IF(I24&gt;0,I24,1E+99),IF(K24&gt;0,K24,1E+99),IF(M24&gt;0,M24,1E+99),IF(O24&gt;0,O24,1E+99),IF(Q24&gt;0,Q24,1E+99),IF(S24&gt;0,S24,1E+99),IF(U24&gt;0,U24,1E+99),IF(W24&gt;0,W24,1E+99),IF(Y24&gt;0,Y24,1E+99),IF(AA24&gt;0,AA24,1E+99),IF(AC24&gt;0,AC24,1E+99),IF(AE24&gt;0,AE24,1E+99),IF(AG24&gt;0,AG24,1E+99),IF(AI24&gt;0,AI24,1E+99),IF(AK24&gt;0,AK24,1E+99),IF(AM24&gt;0,AM24,1E+99),IF(AO24&gt;0,AO24,1E+99),IF(AQ24&gt;0,AQ24,1E+99),IF(AS24&gt;0,AS24,1E+99),IF(AU24&gt;0,AU24,1E+99),IF(AW24&gt;0,AW24,1E+99),IF(AY24&gt;0,AY24,1E+99),IF(BA24&gt;0,BA24,1E+99)),IF(m=1E+99,"",m))</x:f>
        <x:v>16.787</x:v>
      </x:c>
      <x:c r="BE24" s="16" t="e">
        <x:f>IF(BD24="","",INDEX({"v1.4.20","v1.4.20","v1.4.21","v1.4.21","v1.4.23","v1.4.23","v1.4.26","v1.4.26","v1.4.26.1","v1.4.26.1","v1.4.27","v1.4.27","v1.4.29","v1.4.29","v1.4.30","v1.4.30","v1.4.31","v1.4.31","v1.4.33","v1.4.33","v1.4.35","v1.4.35.2","v1.5","v1.5.1","v1.5.1"},MATCH(BD24,CHOOSE({1,2,3,4,5,6,7,8,9,10,11,12,13,14,15,16,17,18,19,20,21,22,23,24,25},E24,G24,I24,K24,M24,O24,Q24,S24,U24,W24,Y24,AA24,AC24,AE24,AG24,AI24,AK24,AM24,AO24,AQ24,AS24,AU24,AW24,AY24,BA24),0)))</x:f>
      </x:c>
      <x:c r="BF24" s="10" t="str">
        <x:f>IFERROR((AX24-BB24)/BB24,"")</x:f>
      </x:c>
      <x:c r="BG24" s="10" t="n">
        <x:f>IFERROR((AY24-BD24)/BD24,"")</x:f>
        <x:v>0.11842497170429497</x:v>
      </x:c>
    </x:row>
    <x:row r="25">
      <x:c r="A25" t="str">
        <x:v>Raw Data</x:v>
      </x:c>
      <x:c r="B25" t="str">
        <x:v>Create / Refresh All Templates</x:v>
      </x:c>
      <x:c r="C25" t="str">
        <x:v>Apply full template formatting: Template - Raw Data</x:v>
      </x:c>
      <x:c r="D25" s="8" t="n">
        <x:v>0</x:v>
      </x:c>
      <x:c r="E25" s="8" t="n">
        <x:v>14.688</x:v>
      </x:c>
      <x:c r="F25" s="8"/>
      <x:c r="G25" s="8"/>
      <x:c r="H25" s="8" t="n">
        <x:v>0</x:v>
      </x:c>
      <x:c r="I25" s="8" t="n">
        <x:v>20.31</x:v>
      </x:c>
      <x:c r="J25" s="8"/>
      <x:c r="K25" s="8"/>
      <x:c r="L25" s="8"/>
      <x:c r="M25" s="8"/>
      <x:c r="N25" s="8"/>
      <x:c r="O25" s="8"/>
      <x:c r="P25" s="8"/>
      <x:c r="Q25" s="8"/>
      <x:c r="R25" s="8" t="n">
        <x:v>0</x:v>
      </x:c>
      <x:c r="S25" s="8" t="n">
        <x:v>11.123</x:v>
      </x:c>
      <x:c r="T25" s="8"/>
      <x:c r="U25" s="8"/>
      <x:c r="V25" s="8" t="n">
        <x:v>0</x:v>
      </x:c>
      <x:c r="W25" s="8" t="n">
        <x:v>19.588</x:v>
      </x:c>
      <x:c r="X25" s="8"/>
      <x:c r="Y25" s="8"/>
      <x:c r="Z25" s="8" t="n">
        <x:v>0</x:v>
      </x:c>
      <x:c r="AA25" s="8" t="n">
        <x:v>18.638</x:v>
      </x:c>
      <x:c r="AB25" s="8"/>
      <x:c r="AC25" s="8"/>
      <x:c r="AD25" s="8" t="n">
        <x:v>0.001</x:v>
      </x:c>
      <x:c r="AE25" s="8" t="n">
        <x:v>25.941</x:v>
      </x:c>
      <x:c r="AF25" s="8" t="n">
        <x:v>0</x:v>
      </x:c>
      <x:c r="AG25" s="8" t="n">
        <x:v>30.623</x:v>
      </x:c>
      <x:c r="AH25" s="8"/>
      <x:c r="AI25" s="8"/>
      <x:c r="AJ25" s="8" t="n">
        <x:v>0</x:v>
      </x:c>
      <x:c r="AK25" s="8" t="n">
        <x:v>26.412</x:v>
      </x:c>
      <x:c r="AL25" s="8" t="n">
        <x:v>0</x:v>
      </x:c>
      <x:c r="AM25" s="8" t="n">
        <x:v>26.412</x:v>
      </x:c>
      <x:c r="AN25" s="8" t="n">
        <x:v>0</x:v>
      </x:c>
      <x:c r="AO25" s="8" t="n">
        <x:v>25.335</x:v>
      </x:c>
      <x:c r="AP25" s="8"/>
      <x:c r="AQ25" s="8"/>
      <x:c r="AR25" s="8" t="n">
        <x:v>0</x:v>
      </x:c>
      <x:c r="AS25" s="8" t="n">
        <x:v>22.678</x:v>
      </x:c>
      <x:c r="AT25" s="8" t="n">
        <x:v>0</x:v>
      </x:c>
      <x:c r="AU25" s="8" t="n">
        <x:v>16.545</x:v>
      </x:c>
      <x:c r="AV25" s="8" t="n">
        <x:v>0</x:v>
      </x:c>
      <x:c r="AW25" s="8" t="n">
        <x:v>16.787</x:v>
      </x:c>
      <x:c r="AX25" s="8" t="n">
        <x:v>0</x:v>
      </x:c>
      <x:c r="AY25" s="8" t="n">
        <x:v>18.775</x:v>
      </x:c>
      <x:c r="AZ25" s="8"/>
      <x:c r="BA25" s="8"/>
      <x:c r="BB25" s="8" t="n">
        <x:f>LET(m,MIN(IF(D25&gt;0,D25,1E+99),IF(F25&gt;0,F25,1E+99),IF(H25&gt;0,H25,1E+99),IF(J25&gt;0,J25,1E+99),IF(L25&gt;0,L25,1E+99),IF(N25&gt;0,N25,1E+99),IF(P25&gt;0,P25,1E+99),IF(R25&gt;0,R25,1E+99),IF(T25&gt;0,T25,1E+99),IF(V25&gt;0,V25,1E+99),IF(X25&gt;0,X25,1E+99),IF(Z25&gt;0,Z25,1E+99),IF(AB25&gt;0,AB25,1E+99),IF(AD25&gt;0,AD25,1E+99),IF(AF25&gt;0,AF25,1E+99),IF(AH25&gt;0,AH25,1E+99),IF(AJ25&gt;0,AJ25,1E+99),IF(AL25&gt;0,AL25,1E+99),IF(AN25&gt;0,AN25,1E+99),IF(AP25&gt;0,AP25,1E+99),IF(AR25&gt;0,AR25,1E+99),IF(AT25&gt;0,AT25,1E+99),IF(AV25&gt;0,AV25,1E+99),IF(AX25&gt;0,AX25,1E+99),IF(AZ25&gt;0,AZ25,1E+99)),IF(m=1E+99,"",m))</x:f>
        <x:v>0.001</x:v>
      </x:c>
      <x:c r="BC25" s="12" t="e">
        <x:f>IF(BB25="","",INDEX({"v1.4.20","v1.4.20","v1.4.21","v1.4.21","v1.4.23","v1.4.23","v1.4.26","v1.4.26","v1.4.26.1","v1.4.26.1","v1.4.27","v1.4.27","v1.4.29","v1.4.29","v1.4.30","v1.4.30","v1.4.31","v1.4.31","v1.4.33","v1.4.33","v1.4.35","v1.4.35.2","v1.5","v1.5.1","v1.5.1"},MATCH(BB25,CHOOSE({1,2,3,4,5,6,7,8,9,10,11,12,13,14,15,16,17,18,19,20,21,22,23,24,25},D25,F25,H25,J25,L25,N25,P25,R25,T25,V25,X25,Z25,AB25,AD25,AF25,AH25,AJ25,AL25,AN25,AP25,AR25,AT25,AV25,AX25,AZ25),0)))</x:f>
      </x:c>
      <x:c r="BD25" s="14" t="n">
        <x:f>LET(m,MIN(IF(E25&gt;0,E25,1E+99),IF(G25&gt;0,G25,1E+99),IF(I25&gt;0,I25,1E+99),IF(K25&gt;0,K25,1E+99),IF(M25&gt;0,M25,1E+99),IF(O25&gt;0,O25,1E+99),IF(Q25&gt;0,Q25,1E+99),IF(S25&gt;0,S25,1E+99),IF(U25&gt;0,U25,1E+99),IF(W25&gt;0,W25,1E+99),IF(Y25&gt;0,Y25,1E+99),IF(AA25&gt;0,AA25,1E+99),IF(AC25&gt;0,AC25,1E+99),IF(AE25&gt;0,AE25,1E+99),IF(AG25&gt;0,AG25,1E+99),IF(AI25&gt;0,AI25,1E+99),IF(AK25&gt;0,AK25,1E+99),IF(AM25&gt;0,AM25,1E+99),IF(AO25&gt;0,AO25,1E+99),IF(AQ25&gt;0,AQ25,1E+99),IF(AS25&gt;0,AS25,1E+99),IF(AU25&gt;0,AU25,1E+99),IF(AW25&gt;0,AW25,1E+99),IF(AY25&gt;0,AY25,1E+99),IF(BA25&gt;0,BA25,1E+99)),IF(m=1E+99,"",m))</x:f>
        <x:v>11.123</x:v>
      </x:c>
      <x:c r="BE25" s="16" t="e">
        <x:f>IF(BD25="","",INDEX({"v1.4.20","v1.4.20","v1.4.21","v1.4.21","v1.4.23","v1.4.23","v1.4.26","v1.4.26","v1.4.26.1","v1.4.26.1","v1.4.27","v1.4.27","v1.4.29","v1.4.29","v1.4.30","v1.4.30","v1.4.31","v1.4.31","v1.4.33","v1.4.33","v1.4.35","v1.4.35.2","v1.5","v1.5.1","v1.5.1"},MATCH(BD25,CHOOSE({1,2,3,4,5,6,7,8,9,10,11,12,13,14,15,16,17,18,19,20,21,22,23,24,25},E25,G25,I25,K25,M25,O25,Q25,S25,U25,W25,Y25,AA25,AC25,AE25,AG25,AI25,AK25,AM25,AO25,AQ25,AS25,AU25,AW25,AY25,BA25),0)))</x:f>
      </x:c>
      <x:c r="BF25" s="10" t="n">
        <x:f>IFERROR((AX25-BB25)/BB25,"")</x:f>
        <x:v>-1</x:v>
      </x:c>
      <x:c r="BG25" s="10" t="n">
        <x:f>IFERROR((AY25-BD25)/BD25,"")</x:f>
        <x:v>0.6879439000269711</x:v>
      </x:c>
    </x:row>
    <x:row r="26">
      <x:c r="A26" t="str">
        <x:v>Raw Data</x:v>
      </x:c>
      <x:c r="B26" t="str">
        <x:v>Create / Refresh All Templates</x:v>
      </x:c>
      <x:c r="C26" t="str">
        <x:v>Write metadata/signature: Template - Raw Data</x:v>
      </x:c>
      <x:c r="D26" s="8" t="n">
        <x:v>1.957</x:v>
      </x:c>
      <x:c r="E26" s="8" t="n">
        <x:v>16.645</x:v>
      </x:c>
      <x:c r="F26" s="8"/>
      <x:c r="G26" s="8"/>
      <x:c r="H26" s="8" t="n">
        <x:v>1.264</x:v>
      </x:c>
      <x:c r="I26" s="8" t="n">
        <x:v>21.574</x:v>
      </x:c>
      <x:c r="J26" s="8"/>
      <x:c r="K26" s="8"/>
      <x:c r="L26" s="8"/>
      <x:c r="M26" s="8"/>
      <x:c r="N26" s="8" t="n">
        <x:v>1.664</x:v>
      </x:c>
      <x:c r="O26" s="8" t="n">
        <x:v>20.435</x:v>
      </x:c>
      <x:c r="P26" s="8"/>
      <x:c r="Q26" s="8"/>
      <x:c r="R26" s="8" t="n">
        <x:v>1.599</x:v>
      </x:c>
      <x:c r="S26" s="8" t="n">
        <x:v>12.722</x:v>
      </x:c>
      <x:c r="T26" s="8"/>
      <x:c r="U26" s="8"/>
      <x:c r="V26" s="8" t="n">
        <x:v>2.917</x:v>
      </x:c>
      <x:c r="W26" s="8" t="n">
        <x:v>22.505</x:v>
      </x:c>
      <x:c r="X26" s="8"/>
      <x:c r="Y26" s="8"/>
      <x:c r="Z26" s="8" t="n">
        <x:v>1.959</x:v>
      </x:c>
      <x:c r="AA26" s="8" t="n">
        <x:v>20.597</x:v>
      </x:c>
      <x:c r="AB26" s="8"/>
      <x:c r="AC26" s="8"/>
      <x:c r="AD26" s="8" t="n">
        <x:v>1.523</x:v>
      </x:c>
      <x:c r="AE26" s="8" t="n">
        <x:v>27.464</x:v>
      </x:c>
      <x:c r="AF26" s="8" t="n">
        <x:v>1.449</x:v>
      </x:c>
      <x:c r="AG26" s="8" t="n">
        <x:v>32.072</x:v>
      </x:c>
      <x:c r="AH26" s="8"/>
      <x:c r="AI26" s="8"/>
      <x:c r="AJ26" s="8" t="n">
        <x:v>0.077</x:v>
      </x:c>
      <x:c r="AK26" s="8" t="n">
        <x:v>26.489</x:v>
      </x:c>
      <x:c r="AL26" s="8" t="n">
        <x:v>0.077</x:v>
      </x:c>
      <x:c r="AM26" s="8" t="n">
        <x:v>26.489</x:v>
      </x:c>
      <x:c r="AN26" s="8" t="n">
        <x:v>1.715</x:v>
      </x:c>
      <x:c r="AO26" s="8" t="n">
        <x:v>27.05</x:v>
      </x:c>
      <x:c r="AP26" s="8"/>
      <x:c r="AQ26" s="8"/>
      <x:c r="AR26" s="8" t="n">
        <x:v>1.824</x:v>
      </x:c>
      <x:c r="AS26" s="8" t="n">
        <x:v>24.502</x:v>
      </x:c>
      <x:c r="AT26" s="8" t="n">
        <x:v>1.458</x:v>
      </x:c>
      <x:c r="AU26" s="8" t="n">
        <x:v>18.003</x:v>
      </x:c>
      <x:c r="AV26" s="8" t="n">
        <x:v>2.065</x:v>
      </x:c>
      <x:c r="AW26" s="8" t="n">
        <x:v>18.852</x:v>
      </x:c>
      <x:c r="AX26" s="8" t="n">
        <x:v>1.805</x:v>
      </x:c>
      <x:c r="AY26" s="8" t="n">
        <x:v>20.58</x:v>
      </x:c>
      <x:c r="AZ26" s="8"/>
      <x:c r="BA26" s="8"/>
      <x:c r="BB26" s="8" t="n">
        <x:f>LET(m,MIN(IF(D26&gt;0,D26,1E+99),IF(F26&gt;0,F26,1E+99),IF(H26&gt;0,H26,1E+99),IF(J26&gt;0,J26,1E+99),IF(L26&gt;0,L26,1E+99),IF(N26&gt;0,N26,1E+99),IF(P26&gt;0,P26,1E+99),IF(R26&gt;0,R26,1E+99),IF(T26&gt;0,T26,1E+99),IF(V26&gt;0,V26,1E+99),IF(X26&gt;0,X26,1E+99),IF(Z26&gt;0,Z26,1E+99),IF(AB26&gt;0,AB26,1E+99),IF(AD26&gt;0,AD26,1E+99),IF(AF26&gt;0,AF26,1E+99),IF(AH26&gt;0,AH26,1E+99),IF(AJ26&gt;0,AJ26,1E+99),IF(AL26&gt;0,AL26,1E+99),IF(AN26&gt;0,AN26,1E+99),IF(AP26&gt;0,AP26,1E+99),IF(AR26&gt;0,AR26,1E+99),IF(AT26&gt;0,AT26,1E+99),IF(AV26&gt;0,AV26,1E+99),IF(AX26&gt;0,AX26,1E+99),IF(AZ26&gt;0,AZ26,1E+99)),IF(m=1E+99,"",m))</x:f>
        <x:v>0.077</x:v>
      </x:c>
      <x:c r="BC26" s="12" t="e">
        <x:f>IF(BB26="","",INDEX({"v1.4.20","v1.4.20","v1.4.21","v1.4.21","v1.4.23","v1.4.23","v1.4.26","v1.4.26","v1.4.26.1","v1.4.26.1","v1.4.27","v1.4.27","v1.4.29","v1.4.29","v1.4.30","v1.4.30","v1.4.31","v1.4.31","v1.4.33","v1.4.33","v1.4.35","v1.4.35.2","v1.5","v1.5.1","v1.5.1"},MATCH(BB26,CHOOSE({1,2,3,4,5,6,7,8,9,10,11,12,13,14,15,16,17,18,19,20,21,22,23,24,25},D26,F26,H26,J26,L26,N26,P26,R26,T26,V26,X26,Z26,AB26,AD26,AF26,AH26,AJ26,AL26,AN26,AP26,AR26,AT26,AV26,AX26,AZ26),0)))</x:f>
      </x:c>
      <x:c r="BD26" s="14" t="n">
        <x:f>LET(m,MIN(IF(E26&gt;0,E26,1E+99),IF(G26&gt;0,G26,1E+99),IF(I26&gt;0,I26,1E+99),IF(K26&gt;0,K26,1E+99),IF(M26&gt;0,M26,1E+99),IF(O26&gt;0,O26,1E+99),IF(Q26&gt;0,Q26,1E+99),IF(S26&gt;0,S26,1E+99),IF(U26&gt;0,U26,1E+99),IF(W26&gt;0,W26,1E+99),IF(Y26&gt;0,Y26,1E+99),IF(AA26&gt;0,AA26,1E+99),IF(AC26&gt;0,AC26,1E+99),IF(AE26&gt;0,AE26,1E+99),IF(AG26&gt;0,AG26,1E+99),IF(AI26&gt;0,AI26,1E+99),IF(AK26&gt;0,AK26,1E+99),IF(AM26&gt;0,AM26,1E+99),IF(AO26&gt;0,AO26,1E+99),IF(AQ26&gt;0,AQ26,1E+99),IF(AS26&gt;0,AS26,1E+99),IF(AU26&gt;0,AU26,1E+99),IF(AW26&gt;0,AW26,1E+99),IF(AY26&gt;0,AY26,1E+99),IF(BA26&gt;0,BA26,1E+99)),IF(m=1E+99,"",m))</x:f>
        <x:v>12.722</x:v>
      </x:c>
      <x:c r="BE26" s="16" t="e">
        <x:f>IF(BD26="","",INDEX({"v1.4.20","v1.4.20","v1.4.21","v1.4.21","v1.4.23","v1.4.23","v1.4.26","v1.4.26","v1.4.26.1","v1.4.26.1","v1.4.27","v1.4.27","v1.4.29","v1.4.29","v1.4.30","v1.4.30","v1.4.31","v1.4.31","v1.4.33","v1.4.33","v1.4.35","v1.4.35.2","v1.5","v1.5.1","v1.5.1"},MATCH(BD26,CHOOSE({1,2,3,4,5,6,7,8,9,10,11,12,13,14,15,16,17,18,19,20,21,22,23,24,25},E26,G26,I26,K26,M26,O26,Q26,S26,U26,W26,Y26,AA26,AC26,AE26,AG26,AI26,AK26,AM26,AO26,AQ26,AS26,AU26,AW26,AY26,BA26),0)))</x:f>
      </x:c>
      <x:c r="BF26" s="10" t="n">
        <x:f>IFERROR((AX26-BB26)/BB26,"")</x:f>
        <x:v>22.441558441558442</x:v>
      </x:c>
      <x:c r="BG26" s="10" t="n">
        <x:f>IFERROR((AY26-BD26)/BD26,"")</x:f>
        <x:v>0.6176701776450243</x:v>
      </x:c>
    </x:row>
    <x:row r="27">
      <x:c r="A27" t="str">
        <x:v>Raw Data</x:v>
      </x:c>
      <x:c r="B27" t="str">
        <x:v>Create / Refresh All Templates</x:v>
      </x:c>
      <x:c r="C27" t="str">
        <x:v>Ensure frozen rows: Template - Raw Data</x:v>
      </x:c>
      <x:c r="D27" s="8" t="n">
        <x:v>2.865</x:v>
      </x:c>
      <x:c r="E27" s="8" t="n">
        <x:v>19.51</x:v>
      </x:c>
      <x:c r="F27" s="8"/>
      <x:c r="G27" s="8"/>
      <x:c r="H27" s="8" t="n">
        <x:v>6.959</x:v>
      </x:c>
      <x:c r="I27" s="8" t="n">
        <x:v>28.533</x:v>
      </x:c>
      <x:c r="J27" s="8"/>
      <x:c r="K27" s="8"/>
      <x:c r="L27" s="8"/>
      <x:c r="M27" s="8"/>
      <x:c r="N27" s="8" t="n">
        <x:v>5.68</x:v>
      </x:c>
      <x:c r="O27" s="8" t="n">
        <x:v>26.115</x:v>
      </x:c>
      <x:c r="P27" s="8"/>
      <x:c r="Q27" s="8"/>
      <x:c r="R27" s="8" t="n">
        <x:v>2.991</x:v>
      </x:c>
      <x:c r="S27" s="8" t="n">
        <x:v>15.713</x:v>
      </x:c>
      <x:c r="T27" s="8"/>
      <x:c r="U27" s="8"/>
      <x:c r="V27" s="8" t="n">
        <x:v>0.553</x:v>
      </x:c>
      <x:c r="W27" s="8" t="n">
        <x:v>23.058</x:v>
      </x:c>
      <x:c r="X27" s="8"/>
      <x:c r="Y27" s="8"/>
      <x:c r="Z27" s="8" t="n">
        <x:v>9.349</x:v>
      </x:c>
      <x:c r="AA27" s="8" t="n">
        <x:v>29.946</x:v>
      </x:c>
      <x:c r="AB27" s="8"/>
      <x:c r="AC27" s="8"/>
      <x:c r="AD27" s="8" t="n">
        <x:v>0.102</x:v>
      </x:c>
      <x:c r="AE27" s="8" t="n">
        <x:v>27.566</x:v>
      </x:c>
      <x:c r="AF27" s="8" t="n">
        <x:v>0.081</x:v>
      </x:c>
      <x:c r="AG27" s="8" t="n">
        <x:v>32.153</x:v>
      </x:c>
      <x:c r="AH27" s="8"/>
      <x:c r="AI27" s="8"/>
      <x:c r="AJ27" s="8" t="n">
        <x:v>0.357</x:v>
      </x:c>
      <x:c r="AK27" s="8" t="n">
        <x:v>26.846</x:v>
      </x:c>
      <x:c r="AL27" s="8" t="n">
        <x:v>0.357</x:v>
      </x:c>
      <x:c r="AM27" s="8" t="n">
        <x:v>26.846</x:v>
      </x:c>
      <x:c r="AN27" s="8" t="n">
        <x:v>0.187</x:v>
      </x:c>
      <x:c r="AO27" s="8" t="n">
        <x:v>27.237</x:v>
      </x:c>
      <x:c r="AP27" s="8"/>
      <x:c r="AQ27" s="8"/>
      <x:c r="AR27" s="8" t="n">
        <x:v>6.673</x:v>
      </x:c>
      <x:c r="AS27" s="8" t="n">
        <x:v>31.175</x:v>
      </x:c>
      <x:c r="AT27" s="8" t="n">
        <x:v>7.062</x:v>
      </x:c>
      <x:c r="AU27" s="8" t="n">
        <x:v>25.065</x:v>
      </x:c>
      <x:c r="AV27" s="8" t="n">
        <x:v>5.434</x:v>
      </x:c>
      <x:c r="AW27" s="8" t="n">
        <x:v>24.286</x:v>
      </x:c>
      <x:c r="AX27" s="8" t="n">
        <x:v>7.493</x:v>
      </x:c>
      <x:c r="AY27" s="8" t="n">
        <x:v>28.073</x:v>
      </x:c>
      <x:c r="AZ27" s="8"/>
      <x:c r="BA27" s="8"/>
      <x:c r="BB27" s="8" t="n">
        <x:f>LET(m,MIN(IF(D27&gt;0,D27,1E+99),IF(F27&gt;0,F27,1E+99),IF(H27&gt;0,H27,1E+99),IF(J27&gt;0,J27,1E+99),IF(L27&gt;0,L27,1E+99),IF(N27&gt;0,N27,1E+99),IF(P27&gt;0,P27,1E+99),IF(R27&gt;0,R27,1E+99),IF(T27&gt;0,T27,1E+99),IF(V27&gt;0,V27,1E+99),IF(X27&gt;0,X27,1E+99),IF(Z27&gt;0,Z27,1E+99),IF(AB27&gt;0,AB27,1E+99),IF(AD27&gt;0,AD27,1E+99),IF(AF27&gt;0,AF27,1E+99),IF(AH27&gt;0,AH27,1E+99),IF(AJ27&gt;0,AJ27,1E+99),IF(AL27&gt;0,AL27,1E+99),IF(AN27&gt;0,AN27,1E+99),IF(AP27&gt;0,AP27,1E+99),IF(AR27&gt;0,AR27,1E+99),IF(AT27&gt;0,AT27,1E+99),IF(AV27&gt;0,AV27,1E+99),IF(AX27&gt;0,AX27,1E+99),IF(AZ27&gt;0,AZ27,1E+99)),IF(m=1E+99,"",m))</x:f>
        <x:v>0.081</x:v>
      </x:c>
      <x:c r="BC27" s="12" t="e">
        <x:f>IF(BB27="","",INDEX({"v1.4.20","v1.4.20","v1.4.21","v1.4.21","v1.4.23","v1.4.23","v1.4.26","v1.4.26","v1.4.26.1","v1.4.26.1","v1.4.27","v1.4.27","v1.4.29","v1.4.29","v1.4.30","v1.4.30","v1.4.31","v1.4.31","v1.4.33","v1.4.33","v1.4.35","v1.4.35.2","v1.5","v1.5.1","v1.5.1"},MATCH(BB27,CHOOSE({1,2,3,4,5,6,7,8,9,10,11,12,13,14,15,16,17,18,19,20,21,22,23,24,25},D27,F27,H27,J27,L27,N27,P27,R27,T27,V27,X27,Z27,AB27,AD27,AF27,AH27,AJ27,AL27,AN27,AP27,AR27,AT27,AV27,AX27,AZ27),0)))</x:f>
      </x:c>
      <x:c r="BD27" s="14" t="n">
        <x:f>LET(m,MIN(IF(E27&gt;0,E27,1E+99),IF(G27&gt;0,G27,1E+99),IF(I27&gt;0,I27,1E+99),IF(K27&gt;0,K27,1E+99),IF(M27&gt;0,M27,1E+99),IF(O27&gt;0,O27,1E+99),IF(Q27&gt;0,Q27,1E+99),IF(S27&gt;0,S27,1E+99),IF(U27&gt;0,U27,1E+99),IF(W27&gt;0,W27,1E+99),IF(Y27&gt;0,Y27,1E+99),IF(AA27&gt;0,AA27,1E+99),IF(AC27&gt;0,AC27,1E+99),IF(AE27&gt;0,AE27,1E+99),IF(AG27&gt;0,AG27,1E+99),IF(AI27&gt;0,AI27,1E+99),IF(AK27&gt;0,AK27,1E+99),IF(AM27&gt;0,AM27,1E+99),IF(AO27&gt;0,AO27,1E+99),IF(AQ27&gt;0,AQ27,1E+99),IF(AS27&gt;0,AS27,1E+99),IF(AU27&gt;0,AU27,1E+99),IF(AW27&gt;0,AW27,1E+99),IF(AY27&gt;0,AY27,1E+99),IF(BA27&gt;0,BA27,1E+99)),IF(m=1E+99,"",m))</x:f>
        <x:v>15.713</x:v>
      </x:c>
      <x:c r="BE27" s="16" t="e">
        <x:f>IF(BD27="","",INDEX({"v1.4.20","v1.4.20","v1.4.21","v1.4.21","v1.4.23","v1.4.23","v1.4.26","v1.4.26","v1.4.26.1","v1.4.26.1","v1.4.27","v1.4.27","v1.4.29","v1.4.29","v1.4.30","v1.4.30","v1.4.31","v1.4.31","v1.4.33","v1.4.33","v1.4.35","v1.4.35.2","v1.5","v1.5.1","v1.5.1"},MATCH(BD27,CHOOSE({1,2,3,4,5,6,7,8,9,10,11,12,13,14,15,16,17,18,19,20,21,22,23,24,25},E27,G27,I27,K27,M27,O27,Q27,S27,U27,W27,Y27,AA27,AC27,AE27,AG27,AI27,AK27,AM27,AO27,AQ27,AS27,AU27,AW27,AY27,BA27),0)))</x:f>
      </x:c>
      <x:c r="BF27" s="10" t="n">
        <x:f>IFERROR((AX27-BB27)/BB27,"")</x:f>
        <x:v>91.50617283950616</x:v>
      </x:c>
      <x:c r="BG27" s="10" t="n">
        <x:f>IFERROR((AY27-BD27)/BD27,"")</x:f>
        <x:v>0.786609813530198</x:v>
      </x:c>
    </x:row>
    <x:row r="28">
      <x:c r="A28" t="str">
        <x:v>Raw Data</x:v>
      </x:c>
      <x:c r="B28" t="str">
        <x:v>Create / Refresh All Templates</x:v>
      </x:c>
      <x:c r="C28" t="str">
        <x:v>Ensure frozen columns: Template - Raw Data</x:v>
      </x:c>
      <x:c r="D28" s="8" t="n">
        <x:v>0.567</x:v>
      </x:c>
      <x:c r="E28" s="8" t="n">
        <x:v>20.077</x:v>
      </x:c>
      <x:c r="F28" s="8"/>
      <x:c r="G28" s="8"/>
      <x:c r="H28" s="8" t="n">
        <x:v>0.551</x:v>
      </x:c>
      <x:c r="I28" s="8" t="n">
        <x:v>29.084</x:v>
      </x:c>
      <x:c r="J28" s="8"/>
      <x:c r="K28" s="8"/>
      <x:c r="L28" s="8"/>
      <x:c r="M28" s="8"/>
      <x:c r="N28" s="8" t="n">
        <x:v>0.59</x:v>
      </x:c>
      <x:c r="O28" s="8" t="n">
        <x:v>26.705</x:v>
      </x:c>
      <x:c r="P28" s="8"/>
      <x:c r="Q28" s="8"/>
      <x:c r="R28" s="8" t="n">
        <x:v>0.354</x:v>
      </x:c>
      <x:c r="S28" s="8" t="n">
        <x:v>16.067</x:v>
      </x:c>
      <x:c r="T28" s="8"/>
      <x:c r="U28" s="8"/>
      <x:c r="V28" s="8" t="n">
        <x:v>0.573</x:v>
      </x:c>
      <x:c r="W28" s="8" t="n">
        <x:v>23.631</x:v>
      </x:c>
      <x:c r="X28" s="8"/>
      <x:c r="Y28" s="8"/>
      <x:c r="Z28" s="8" t="n">
        <x:v>0.766</x:v>
      </x:c>
      <x:c r="AA28" s="8" t="n">
        <x:v>30.712</x:v>
      </x:c>
      <x:c r="AB28" s="8"/>
      <x:c r="AC28" s="8"/>
      <x:c r="AD28" s="8" t="n">
        <x:v>0.666</x:v>
      </x:c>
      <x:c r="AE28" s="8" t="n">
        <x:v>28.232</x:v>
      </x:c>
      <x:c r="AF28" s="8" t="n">
        <x:v>0.734</x:v>
      </x:c>
      <x:c r="AG28" s="8" t="n">
        <x:v>32.887</x:v>
      </x:c>
      <x:c r="AH28" s="8"/>
      <x:c r="AI28" s="8"/>
      <x:c r="AJ28" s="8" t="n">
        <x:v>0.654</x:v>
      </x:c>
      <x:c r="AK28" s="8" t="n">
        <x:v>27.5</x:v>
      </x:c>
      <x:c r="AL28" s="8" t="n">
        <x:v>0.654</x:v>
      </x:c>
      <x:c r="AM28" s="8" t="n">
        <x:v>27.5</x:v>
      </x:c>
      <x:c r="AN28" s="8" t="n">
        <x:v>0.592</x:v>
      </x:c>
      <x:c r="AO28" s="8" t="n">
        <x:v>27.829</x:v>
      </x:c>
      <x:c r="AP28" s="8"/>
      <x:c r="AQ28" s="8"/>
      <x:c r="AR28" s="8" t="n">
        <x:v>0.707</x:v>
      </x:c>
      <x:c r="AS28" s="8" t="n">
        <x:v>31.882</x:v>
      </x:c>
      <x:c r="AT28" s="8" t="n">
        <x:v>0.586</x:v>
      </x:c>
      <x:c r="AU28" s="8" t="n">
        <x:v>25.651</x:v>
      </x:c>
      <x:c r="AV28" s="8" t="n">
        <x:v>0.97</x:v>
      </x:c>
      <x:c r="AW28" s="8" t="n">
        <x:v>25.256</x:v>
      </x:c>
      <x:c r="AX28" s="8" t="n">
        <x:v>1.014</x:v>
      </x:c>
      <x:c r="AY28" s="8" t="n">
        <x:v>29.087</x:v>
      </x:c>
      <x:c r="AZ28" s="8"/>
      <x:c r="BA28" s="8"/>
      <x:c r="BB28" s="8" t="n">
        <x:f>LET(m,MIN(IF(D28&gt;0,D28,1E+99),IF(F28&gt;0,F28,1E+99),IF(H28&gt;0,H28,1E+99),IF(J28&gt;0,J28,1E+99),IF(L28&gt;0,L28,1E+99),IF(N28&gt;0,N28,1E+99),IF(P28&gt;0,P28,1E+99),IF(R28&gt;0,R28,1E+99),IF(T28&gt;0,T28,1E+99),IF(V28&gt;0,V28,1E+99),IF(X28&gt;0,X28,1E+99),IF(Z28&gt;0,Z28,1E+99),IF(AB28&gt;0,AB28,1E+99),IF(AD28&gt;0,AD28,1E+99),IF(AF28&gt;0,AF28,1E+99),IF(AH28&gt;0,AH28,1E+99),IF(AJ28&gt;0,AJ28,1E+99),IF(AL28&gt;0,AL28,1E+99),IF(AN28&gt;0,AN28,1E+99),IF(AP28&gt;0,AP28,1E+99),IF(AR28&gt;0,AR28,1E+99),IF(AT28&gt;0,AT28,1E+99),IF(AV28&gt;0,AV28,1E+99),IF(AX28&gt;0,AX28,1E+99),IF(AZ28&gt;0,AZ28,1E+99)),IF(m=1E+99,"",m))</x:f>
        <x:v>0.354</x:v>
      </x:c>
      <x:c r="BC28" s="12" t="e">
        <x:f>IF(BB28="","",INDEX({"v1.4.20","v1.4.20","v1.4.21","v1.4.21","v1.4.23","v1.4.23","v1.4.26","v1.4.26","v1.4.26.1","v1.4.26.1","v1.4.27","v1.4.27","v1.4.29","v1.4.29","v1.4.30","v1.4.30","v1.4.31","v1.4.31","v1.4.33","v1.4.33","v1.4.35","v1.4.35.2","v1.5","v1.5.1","v1.5.1"},MATCH(BB28,CHOOSE({1,2,3,4,5,6,7,8,9,10,11,12,13,14,15,16,17,18,19,20,21,22,23,24,25},D28,F28,H28,J28,L28,N28,P28,R28,T28,V28,X28,Z28,AB28,AD28,AF28,AH28,AJ28,AL28,AN28,AP28,AR28,AT28,AV28,AX28,AZ28),0)))</x:f>
      </x:c>
      <x:c r="BD28" s="14" t="n">
        <x:f>LET(m,MIN(IF(E28&gt;0,E28,1E+99),IF(G28&gt;0,G28,1E+99),IF(I28&gt;0,I28,1E+99),IF(K28&gt;0,K28,1E+99),IF(M28&gt;0,M28,1E+99),IF(O28&gt;0,O28,1E+99),IF(Q28&gt;0,Q28,1E+99),IF(S28&gt;0,S28,1E+99),IF(U28&gt;0,U28,1E+99),IF(W28&gt;0,W28,1E+99),IF(Y28&gt;0,Y28,1E+99),IF(AA28&gt;0,AA28,1E+99),IF(AC28&gt;0,AC28,1E+99),IF(AE28&gt;0,AE28,1E+99),IF(AG28&gt;0,AG28,1E+99),IF(AI28&gt;0,AI28,1E+99),IF(AK28&gt;0,AK28,1E+99),IF(AM28&gt;0,AM28,1E+99),IF(AO28&gt;0,AO28,1E+99),IF(AQ28&gt;0,AQ28,1E+99),IF(AS28&gt;0,AS28,1E+99),IF(AU28&gt;0,AU28,1E+99),IF(AW28&gt;0,AW28,1E+99),IF(AY28&gt;0,AY28,1E+99),IF(BA28&gt;0,BA28,1E+99)),IF(m=1E+99,"",m))</x:f>
        <x:v>16.067</x:v>
      </x:c>
      <x:c r="BE28" s="16" t="e">
        <x:f>IF(BD28="","",INDEX({"v1.4.20","v1.4.20","v1.4.21","v1.4.21","v1.4.23","v1.4.23","v1.4.26","v1.4.26","v1.4.26.1","v1.4.26.1","v1.4.27","v1.4.27","v1.4.29","v1.4.29","v1.4.30","v1.4.30","v1.4.31","v1.4.31","v1.4.33","v1.4.33","v1.4.35","v1.4.35.2","v1.5","v1.5.1","v1.5.1"},MATCH(BD28,CHOOSE({1,2,3,4,5,6,7,8,9,10,11,12,13,14,15,16,17,18,19,20,21,22,23,24,25},E28,G28,I28,K28,M28,O28,Q28,S28,U28,W28,Y28,AA28,AC28,AE28,AG28,AI28,AK28,AM28,AO28,AQ28,AS28,AU28,AW28,AY28,BA28),0)))</x:f>
      </x:c>
      <x:c r="BF28" s="10" t="n">
        <x:f>IFERROR((AX28-BB28)/BB28,"")</x:f>
        <x:v>1.864406779661017</x:v>
      </x:c>
      <x:c r="BG28" s="10" t="n">
        <x:f>IFERROR((AY28-BD28)/BD28,"")</x:f>
        <x:v>0.8103566316051534</x:v>
      </x:c>
    </x:row>
    <x:row r="29">
      <x:c r="A29" t="str">
        <x:v>Raw Data</x:v>
      </x:c>
      <x:c r="B29" t="str">
        <x:v>Create / Refresh All Templates</x:v>
      </x:c>
      <x:c r="C29" t="str">
        <x:v>Ensure tab color: Template - Raw Data</x:v>
      </x:c>
      <x:c r="D29" s="8" t="n">
        <x:v>0.535</x:v>
      </x:c>
      <x:c r="E29" s="8" t="n">
        <x:v>20.612</x:v>
      </x:c>
      <x:c r="F29" s="8"/>
      <x:c r="G29" s="8"/>
      <x:c r="H29" s="8" t="n">
        <x:v>0.753</x:v>
      </x:c>
      <x:c r="I29" s="8" t="n">
        <x:v>29.837</x:v>
      </x:c>
      <x:c r="J29" s="8"/>
      <x:c r="K29" s="8"/>
      <x:c r="L29" s="8"/>
      <x:c r="M29" s="8"/>
      <x:c r="N29" s="8" t="n">
        <x:v>0.72</x:v>
      </x:c>
      <x:c r="O29" s="8" t="n">
        <x:v>27.425</x:v>
      </x:c>
      <x:c r="P29" s="8"/>
      <x:c r="Q29" s="8"/>
      <x:c r="R29" s="8" t="n">
        <x:v>0.427</x:v>
      </x:c>
      <x:c r="S29" s="8" t="n">
        <x:v>16.494</x:v>
      </x:c>
      <x:c r="T29" s="8"/>
      <x:c r="U29" s="8"/>
      <x:c r="V29" s="8" t="n">
        <x:v>0.593</x:v>
      </x:c>
      <x:c r="W29" s="8" t="n">
        <x:v>24.224</x:v>
      </x:c>
      <x:c r="X29" s="8"/>
      <x:c r="Y29" s="8"/>
      <x:c r="Z29" s="8" t="n">
        <x:v>0.71</x:v>
      </x:c>
      <x:c r="AA29" s="8" t="n">
        <x:v>31.422</x:v>
      </x:c>
      <x:c r="AB29" s="8"/>
      <x:c r="AC29" s="8"/>
      <x:c r="AD29" s="8" t="n">
        <x:v>0.675</x:v>
      </x:c>
      <x:c r="AE29" s="8" t="n">
        <x:v>28.907</x:v>
      </x:c>
      <x:c r="AF29" s="8" t="n">
        <x:v>0.718</x:v>
      </x:c>
      <x:c r="AG29" s="8" t="n">
        <x:v>33.605</x:v>
      </x:c>
      <x:c r="AH29" s="8"/>
      <x:c r="AI29" s="8"/>
      <x:c r="AJ29" s="8" t="n">
        <x:v>3.513</x:v>
      </x:c>
      <x:c r="AK29" s="8" t="n">
        <x:v>31.013</x:v>
      </x:c>
      <x:c r="AL29" s="8" t="n">
        <x:v>3.513</x:v>
      </x:c>
      <x:c r="AM29" s="8" t="n">
        <x:v>31.013</x:v>
      </x:c>
      <x:c r="AN29" s="8" t="n">
        <x:v>0.711</x:v>
      </x:c>
      <x:c r="AO29" s="8" t="n">
        <x:v>28.54</x:v>
      </x:c>
      <x:c r="AP29" s="8"/>
      <x:c r="AQ29" s="8"/>
      <x:c r="AR29" s="8" t="n">
        <x:v>0.815</x:v>
      </x:c>
      <x:c r="AS29" s="8" t="n">
        <x:v>32.697</x:v>
      </x:c>
      <x:c r="AT29" s="8" t="n">
        <x:v>0.704</x:v>
      </x:c>
      <x:c r="AU29" s="8" t="n">
        <x:v>26.355</x:v>
      </x:c>
      <x:c r="AV29" s="8" t="n">
        <x:v>0.735</x:v>
      </x:c>
      <x:c r="AW29" s="8" t="n">
        <x:v>25.991</x:v>
      </x:c>
      <x:c r="AX29" s="8" t="n">
        <x:v>0.731</x:v>
      </x:c>
      <x:c r="AY29" s="8" t="n">
        <x:v>29.818</x:v>
      </x:c>
      <x:c r="AZ29" s="8"/>
      <x:c r="BA29" s="8"/>
      <x:c r="BB29" s="8" t="n">
        <x:f>LET(m,MIN(IF(D29&gt;0,D29,1E+99),IF(F29&gt;0,F29,1E+99),IF(H29&gt;0,H29,1E+99),IF(J29&gt;0,J29,1E+99),IF(L29&gt;0,L29,1E+99),IF(N29&gt;0,N29,1E+99),IF(P29&gt;0,P29,1E+99),IF(R29&gt;0,R29,1E+99),IF(T29&gt;0,T29,1E+99),IF(V29&gt;0,V29,1E+99),IF(X29&gt;0,X29,1E+99),IF(Z29&gt;0,Z29,1E+99),IF(AB29&gt;0,AB29,1E+99),IF(AD29&gt;0,AD29,1E+99),IF(AF29&gt;0,AF29,1E+99),IF(AH29&gt;0,AH29,1E+99),IF(AJ29&gt;0,AJ29,1E+99),IF(AL29&gt;0,AL29,1E+99),IF(AN29&gt;0,AN29,1E+99),IF(AP29&gt;0,AP29,1E+99),IF(AR29&gt;0,AR29,1E+99),IF(AT29&gt;0,AT29,1E+99),IF(AV29&gt;0,AV29,1E+99),IF(AX29&gt;0,AX29,1E+99),IF(AZ29&gt;0,AZ29,1E+99)),IF(m=1E+99,"",m))</x:f>
        <x:v>0.427</x:v>
      </x:c>
      <x:c r="BC29" s="12" t="e">
        <x:f>IF(BB29="","",INDEX({"v1.4.20","v1.4.20","v1.4.21","v1.4.21","v1.4.23","v1.4.23","v1.4.26","v1.4.26","v1.4.26.1","v1.4.26.1","v1.4.27","v1.4.27","v1.4.29","v1.4.29","v1.4.30","v1.4.30","v1.4.31","v1.4.31","v1.4.33","v1.4.33","v1.4.35","v1.4.35.2","v1.5","v1.5.1","v1.5.1"},MATCH(BB29,CHOOSE({1,2,3,4,5,6,7,8,9,10,11,12,13,14,15,16,17,18,19,20,21,22,23,24,25},D29,F29,H29,J29,L29,N29,P29,R29,T29,V29,X29,Z29,AB29,AD29,AF29,AH29,AJ29,AL29,AN29,AP29,AR29,AT29,AV29,AX29,AZ29),0)))</x:f>
      </x:c>
      <x:c r="BD29" s="14" t="n">
        <x:f>LET(m,MIN(IF(E29&gt;0,E29,1E+99),IF(G29&gt;0,G29,1E+99),IF(I29&gt;0,I29,1E+99),IF(K29&gt;0,K29,1E+99),IF(M29&gt;0,M29,1E+99),IF(O29&gt;0,O29,1E+99),IF(Q29&gt;0,Q29,1E+99),IF(S29&gt;0,S29,1E+99),IF(U29&gt;0,U29,1E+99),IF(W29&gt;0,W29,1E+99),IF(Y29&gt;0,Y29,1E+99),IF(AA29&gt;0,AA29,1E+99),IF(AC29&gt;0,AC29,1E+99),IF(AE29&gt;0,AE29,1E+99),IF(AG29&gt;0,AG29,1E+99),IF(AI29&gt;0,AI29,1E+99),IF(AK29&gt;0,AK29,1E+99),IF(AM29&gt;0,AM29,1E+99),IF(AO29&gt;0,AO29,1E+99),IF(AQ29&gt;0,AQ29,1E+99),IF(AS29&gt;0,AS29,1E+99),IF(AU29&gt;0,AU29,1E+99),IF(AW29&gt;0,AW29,1E+99),IF(AY29&gt;0,AY29,1E+99),IF(BA29&gt;0,BA29,1E+99)),IF(m=1E+99,"",m))</x:f>
        <x:v>16.494</x:v>
      </x:c>
      <x:c r="BE29" s="16" t="e">
        <x:f>IF(BD29="","",INDEX({"v1.4.20","v1.4.20","v1.4.21","v1.4.21","v1.4.23","v1.4.23","v1.4.26","v1.4.26","v1.4.26.1","v1.4.26.1","v1.4.27","v1.4.27","v1.4.29","v1.4.29","v1.4.30","v1.4.30","v1.4.31","v1.4.31","v1.4.33","v1.4.33","v1.4.35","v1.4.35.2","v1.5","v1.5.1","v1.5.1"},MATCH(BD29,CHOOSE({1,2,3,4,5,6,7,8,9,10,11,12,13,14,15,16,17,18,19,20,21,22,23,24,25},E29,G29,I29,K29,M29,O29,Q29,S29,U29,W29,Y29,AA29,AC29,AE29,AG29,AI29,AK29,AM29,AO29,AQ29,AS29,AU29,AW29,AY29,BA29),0)))</x:f>
      </x:c>
      <x:c r="BF29" s="10" t="n">
        <x:f>IFERROR((AX29-BB29)/BB29,"")</x:f>
        <x:v>0.711943793911007</x:v>
      </x:c>
      <x:c r="BG29" s="10" t="n">
        <x:f>IFERROR((AY29-BD29)/BD29,"")</x:f>
        <x:v>0.8078089002061357</x:v>
      </x:c>
    </x:row>
    <x:row r="30">
      <x:c r="A30" t="str">
        <x:v>Raw Data</x:v>
      </x:c>
      <x:c r="B30" t="str">
        <x:v>Create / Refresh All Templates</x:v>
      </x:c>
      <x:c r="C30" t="str">
        <x:v>Final date/number format enforcement: Template - Raw Data</x:v>
      </x:c>
      <x:c r="D30" s="8" t="n">
        <x:v>2.577</x:v>
      </x:c>
      <x:c r="E30" s="8" t="n">
        <x:v>23.189</x:v>
      </x:c>
      <x:c r="F30" s="8"/>
      <x:c r="G30" s="8"/>
      <x:c r="H30" s="8" t="n">
        <x:v>1.099</x:v>
      </x:c>
      <x:c r="I30" s="8" t="n">
        <x:v>30.936</x:v>
      </x:c>
      <x:c r="J30" s="8"/>
      <x:c r="K30" s="8"/>
      <x:c r="L30" s="8"/>
      <x:c r="M30" s="8"/>
      <x:c r="N30" s="8" t="n">
        <x:v>0.967</x:v>
      </x:c>
      <x:c r="O30" s="8" t="n">
        <x:v>28.392</x:v>
      </x:c>
      <x:c r="P30" s="8"/>
      <x:c r="Q30" s="8"/>
      <x:c r="R30" s="8" t="n">
        <x:v>0.681</x:v>
      </x:c>
      <x:c r="S30" s="8" t="n">
        <x:v>17.175</x:v>
      </x:c>
      <x:c r="T30" s="8"/>
      <x:c r="U30" s="8"/>
      <x:c r="V30" s="8" t="n">
        <x:v>0.757</x:v>
      </x:c>
      <x:c r="W30" s="8" t="n">
        <x:v>24.981</x:v>
      </x:c>
      <x:c r="X30" s="8"/>
      <x:c r="Y30" s="8"/>
      <x:c r="Z30" s="8" t="n">
        <x:v>1.023</x:v>
      </x:c>
      <x:c r="AA30" s="8" t="n">
        <x:v>32.445</x:v>
      </x:c>
      <x:c r="AB30" s="8"/>
      <x:c r="AC30" s="8"/>
      <x:c r="AD30" s="8" t="n">
        <x:v>0.91</x:v>
      </x:c>
      <x:c r="AE30" s="8" t="n">
        <x:v>29.817</x:v>
      </x:c>
      <x:c r="AF30" s="8" t="n">
        <x:v>0.948</x:v>
      </x:c>
      <x:c r="AG30" s="8" t="n">
        <x:v>34.553</x:v>
      </x:c>
      <x:c r="AH30" s="8"/>
      <x:c r="AI30" s="8"/>
      <x:c r="AJ30" s="8" t="n">
        <x:v>1.107</x:v>
      </x:c>
      <x:c r="AK30" s="8" t="n">
        <x:v>32.12</x:v>
      </x:c>
      <x:c r="AL30" s="8" t="n">
        <x:v>1.107</x:v>
      </x:c>
      <x:c r="AM30" s="8" t="n">
        <x:v>32.12</x:v>
      </x:c>
      <x:c r="AN30" s="8" t="n">
        <x:v>0.902</x:v>
      </x:c>
      <x:c r="AO30" s="8" t="n">
        <x:v>29.442</x:v>
      </x:c>
      <x:c r="AP30" s="8"/>
      <x:c r="AQ30" s="8"/>
      <x:c r="AR30" s="8" t="n">
        <x:v>1.272</x:v>
      </x:c>
      <x:c r="AS30" s="8" t="n">
        <x:v>33.969</x:v>
      </x:c>
      <x:c r="AT30" s="8" t="n">
        <x:v>0.753</x:v>
      </x:c>
      <x:c r="AU30" s="8" t="n">
        <x:v>27.108</x:v>
      </x:c>
      <x:c r="AV30" s="8" t="n">
        <x:v>0.863</x:v>
      </x:c>
      <x:c r="AW30" s="8" t="n">
        <x:v>26.854</x:v>
      </x:c>
      <x:c r="AX30" s="8" t="n">
        <x:v>0.939</x:v>
      </x:c>
      <x:c r="AY30" s="8" t="n">
        <x:v>30.757</x:v>
      </x:c>
      <x:c r="AZ30" s="8"/>
      <x:c r="BA30" s="8"/>
      <x:c r="BB30" s="8" t="n">
        <x:f>LET(m,MIN(IF(D30&gt;0,D30,1E+99),IF(F30&gt;0,F30,1E+99),IF(H30&gt;0,H30,1E+99),IF(J30&gt;0,J30,1E+99),IF(L30&gt;0,L30,1E+99),IF(N30&gt;0,N30,1E+99),IF(P30&gt;0,P30,1E+99),IF(R30&gt;0,R30,1E+99),IF(T30&gt;0,T30,1E+99),IF(V30&gt;0,V30,1E+99),IF(X30&gt;0,X30,1E+99),IF(Z30&gt;0,Z30,1E+99),IF(AB30&gt;0,AB30,1E+99),IF(AD30&gt;0,AD30,1E+99),IF(AF30&gt;0,AF30,1E+99),IF(AH30&gt;0,AH30,1E+99),IF(AJ30&gt;0,AJ30,1E+99),IF(AL30&gt;0,AL30,1E+99),IF(AN30&gt;0,AN30,1E+99),IF(AP30&gt;0,AP30,1E+99),IF(AR30&gt;0,AR30,1E+99),IF(AT30&gt;0,AT30,1E+99),IF(AV30&gt;0,AV30,1E+99),IF(AX30&gt;0,AX30,1E+99),IF(AZ30&gt;0,AZ30,1E+99)),IF(m=1E+99,"",m))</x:f>
        <x:v>0.681</x:v>
      </x:c>
      <x:c r="BC30" s="12" t="e">
        <x:f>IF(BB30="","",INDEX({"v1.4.20","v1.4.20","v1.4.21","v1.4.21","v1.4.23","v1.4.23","v1.4.26","v1.4.26","v1.4.26.1","v1.4.26.1","v1.4.27","v1.4.27","v1.4.29","v1.4.29","v1.4.30","v1.4.30","v1.4.31","v1.4.31","v1.4.33","v1.4.33","v1.4.35","v1.4.35.2","v1.5","v1.5.1","v1.5.1"},MATCH(BB30,CHOOSE({1,2,3,4,5,6,7,8,9,10,11,12,13,14,15,16,17,18,19,20,21,22,23,24,25},D30,F30,H30,J30,L30,N30,P30,R30,T30,V30,X30,Z30,AB30,AD30,AF30,AH30,AJ30,AL30,AN30,AP30,AR30,AT30,AV30,AX30,AZ30),0)))</x:f>
      </x:c>
      <x:c r="BD30" s="14" t="n">
        <x:f>LET(m,MIN(IF(E30&gt;0,E30,1E+99),IF(G30&gt;0,G30,1E+99),IF(I30&gt;0,I30,1E+99),IF(K30&gt;0,K30,1E+99),IF(M30&gt;0,M30,1E+99),IF(O30&gt;0,O30,1E+99),IF(Q30&gt;0,Q30,1E+99),IF(S30&gt;0,S30,1E+99),IF(U30&gt;0,U30,1E+99),IF(W30&gt;0,W30,1E+99),IF(Y30&gt;0,Y30,1E+99),IF(AA30&gt;0,AA30,1E+99),IF(AC30&gt;0,AC30,1E+99),IF(AE30&gt;0,AE30,1E+99),IF(AG30&gt;0,AG30,1E+99),IF(AI30&gt;0,AI30,1E+99),IF(AK30&gt;0,AK30,1E+99),IF(AM30&gt;0,AM30,1E+99),IF(AO30&gt;0,AO30,1E+99),IF(AQ30&gt;0,AQ30,1E+99),IF(AS30&gt;0,AS30,1E+99),IF(AU30&gt;0,AU30,1E+99),IF(AW30&gt;0,AW30,1E+99),IF(AY30&gt;0,AY30,1E+99),IF(BA30&gt;0,BA30,1E+99)),IF(m=1E+99,"",m))</x:f>
        <x:v>17.175</x:v>
      </x:c>
      <x:c r="BE30" s="16" t="e">
        <x:f>IF(BD30="","",INDEX({"v1.4.20","v1.4.20","v1.4.21","v1.4.21","v1.4.23","v1.4.23","v1.4.26","v1.4.26","v1.4.26.1","v1.4.26.1","v1.4.27","v1.4.27","v1.4.29","v1.4.29","v1.4.30","v1.4.30","v1.4.31","v1.4.31","v1.4.33","v1.4.33","v1.4.35","v1.4.35.2","v1.5","v1.5.1","v1.5.1"},MATCH(BD30,CHOOSE({1,2,3,4,5,6,7,8,9,10,11,12,13,14,15,16,17,18,19,20,21,22,23,24,25},E30,G30,I30,K30,M30,O30,Q30,S30,U30,W30,Y30,AA30,AC30,AE30,AG30,AI30,AK30,AM30,AO30,AQ30,AS30,AU30,AW30,AY30,BA30),0)))</x:f>
      </x:c>
      <x:c r="BF30" s="10" t="n">
        <x:f>IFERROR((AX30-BB30)/BB30,"")</x:f>
        <x:v>0.37885462555066063</x:v>
      </x:c>
      <x:c r="BG30" s="10" t="n">
        <x:f>IFERROR((AY30-BD30)/BD30,"")</x:f>
        <x:v>0.7908005822416303</x:v>
      </x:c>
    </x:row>
    <x:row r="31">
      <x:c r="A31" t="str">
        <x:v>Raw Data</x:v>
      </x:c>
      <x:c r="B31" t="str">
        <x:v>Create / Refresh All Templates</x:v>
      </x:c>
      <x:c r="C31" t="str">
        <x:v>Hide template: Template - Raw Data</x:v>
      </x:c>
      <x:c r="D31" s="8" t="n">
        <x:v>1.183</x:v>
      </x:c>
      <x:c r="E31" s="8" t="n">
        <x:v>24.372</x:v>
      </x:c>
      <x:c r="F31" s="8"/>
      <x:c r="G31" s="8"/>
      <x:c r="H31" s="8" t="n">
        <x:v>0.99</x:v>
      </x:c>
      <x:c r="I31" s="8" t="n">
        <x:v>31.926</x:v>
      </x:c>
      <x:c r="J31" s="8"/>
      <x:c r="K31" s="8"/>
      <x:c r="L31" s="8"/>
      <x:c r="M31" s="8"/>
      <x:c r="N31" s="8" t="n">
        <x:v>1.148</x:v>
      </x:c>
      <x:c r="O31" s="8" t="n">
        <x:v>29.54</x:v>
      </x:c>
      <x:c r="P31" s="8"/>
      <x:c r="Q31" s="8"/>
      <x:c r="R31" s="8" t="n">
        <x:v>0.741</x:v>
      </x:c>
      <x:c r="S31" s="8" t="n">
        <x:v>17.916</x:v>
      </x:c>
      <x:c r="T31" s="8"/>
      <x:c r="U31" s="8"/>
      <x:c r="V31" s="8" t="n">
        <x:v>1.145</x:v>
      </x:c>
      <x:c r="W31" s="8" t="n">
        <x:v>26.126</x:v>
      </x:c>
      <x:c r="X31" s="8"/>
      <x:c r="Y31" s="8"/>
      <x:c r="Z31" s="8" t="n">
        <x:v>1.369</x:v>
      </x:c>
      <x:c r="AA31" s="8" t="n">
        <x:v>33.814</x:v>
      </x:c>
      <x:c r="AB31" s="8"/>
      <x:c r="AC31" s="8"/>
      <x:c r="AD31" s="8" t="n">
        <x:v>1.246</x:v>
      </x:c>
      <x:c r="AE31" s="8" t="n">
        <x:v>31.063</x:v>
      </x:c>
      <x:c r="AF31" s="8" t="n">
        <x:v>1.405</x:v>
      </x:c>
      <x:c r="AG31" s="8" t="n">
        <x:v>35.958</x:v>
      </x:c>
      <x:c r="AH31" s="8"/>
      <x:c r="AI31" s="8"/>
      <x:c r="AJ31" s="8" t="n">
        <x:v>1.687</x:v>
      </x:c>
      <x:c r="AK31" s="8" t="n">
        <x:v>33.807</x:v>
      </x:c>
      <x:c r="AL31" s="8" t="n">
        <x:v>1.687</x:v>
      </x:c>
      <x:c r="AM31" s="8" t="n">
        <x:v>33.807</x:v>
      </x:c>
      <x:c r="AN31" s="8" t="n">
        <x:v>2.232</x:v>
      </x:c>
      <x:c r="AO31" s="8" t="n">
        <x:v>31.674</x:v>
      </x:c>
      <x:c r="AP31" s="8"/>
      <x:c r="AQ31" s="8"/>
      <x:c r="AR31" s="8" t="n">
        <x:v>1.429</x:v>
      </x:c>
      <x:c r="AS31" s="8" t="n">
        <x:v>35.398</x:v>
      </x:c>
      <x:c r="AT31" s="8" t="n">
        <x:v>0.929</x:v>
      </x:c>
      <x:c r="AU31" s="8" t="n">
        <x:v>28.037</x:v>
      </x:c>
      <x:c r="AV31" s="8" t="n">
        <x:v>1.214</x:v>
      </x:c>
      <x:c r="AW31" s="8" t="n">
        <x:v>28.068</x:v>
      </x:c>
      <x:c r="AX31" s="8" t="n">
        <x:v>1.2</x:v>
      </x:c>
      <x:c r="AY31" s="8" t="n">
        <x:v>31.957</x:v>
      </x:c>
      <x:c r="AZ31" s="8"/>
      <x:c r="BA31" s="8"/>
      <x:c r="BB31" s="8" t="n">
        <x:f>LET(m,MIN(IF(D31&gt;0,D31,1E+99),IF(F31&gt;0,F31,1E+99),IF(H31&gt;0,H31,1E+99),IF(J31&gt;0,J31,1E+99),IF(L31&gt;0,L31,1E+99),IF(N31&gt;0,N31,1E+99),IF(P31&gt;0,P31,1E+99),IF(R31&gt;0,R31,1E+99),IF(T31&gt;0,T31,1E+99),IF(V31&gt;0,V31,1E+99),IF(X31&gt;0,X31,1E+99),IF(Z31&gt;0,Z31,1E+99),IF(AB31&gt;0,AB31,1E+99),IF(AD31&gt;0,AD31,1E+99),IF(AF31&gt;0,AF31,1E+99),IF(AH31&gt;0,AH31,1E+99),IF(AJ31&gt;0,AJ31,1E+99),IF(AL31&gt;0,AL31,1E+99),IF(AN31&gt;0,AN31,1E+99),IF(AP31&gt;0,AP31,1E+99),IF(AR31&gt;0,AR31,1E+99),IF(AT31&gt;0,AT31,1E+99),IF(AV31&gt;0,AV31,1E+99),IF(AX31&gt;0,AX31,1E+99),IF(AZ31&gt;0,AZ31,1E+99)),IF(m=1E+99,"",m))</x:f>
        <x:v>0.741</x:v>
      </x:c>
      <x:c r="BC31" s="12" t="e">
        <x:f>IF(BB31="","",INDEX({"v1.4.20","v1.4.20","v1.4.21","v1.4.21","v1.4.23","v1.4.23","v1.4.26","v1.4.26","v1.4.26.1","v1.4.26.1","v1.4.27","v1.4.27","v1.4.29","v1.4.29","v1.4.30","v1.4.30","v1.4.31","v1.4.31","v1.4.33","v1.4.33","v1.4.35","v1.4.35.2","v1.5","v1.5.1","v1.5.1"},MATCH(BB31,CHOOSE({1,2,3,4,5,6,7,8,9,10,11,12,13,14,15,16,17,18,19,20,21,22,23,24,25},D31,F31,H31,J31,L31,N31,P31,R31,T31,V31,X31,Z31,AB31,AD31,AF31,AH31,AJ31,AL31,AN31,AP31,AR31,AT31,AV31,AX31,AZ31),0)))</x:f>
      </x:c>
      <x:c r="BD31" s="14" t="n">
        <x:f>LET(m,MIN(IF(E31&gt;0,E31,1E+99),IF(G31&gt;0,G31,1E+99),IF(I31&gt;0,I31,1E+99),IF(K31&gt;0,K31,1E+99),IF(M31&gt;0,M31,1E+99),IF(O31&gt;0,O31,1E+99),IF(Q31&gt;0,Q31,1E+99),IF(S31&gt;0,S31,1E+99),IF(U31&gt;0,U31,1E+99),IF(W31&gt;0,W31,1E+99),IF(Y31&gt;0,Y31,1E+99),IF(AA31&gt;0,AA31,1E+99),IF(AC31&gt;0,AC31,1E+99),IF(AE31&gt;0,AE31,1E+99),IF(AG31&gt;0,AG31,1E+99),IF(AI31&gt;0,AI31,1E+99),IF(AK31&gt;0,AK31,1E+99),IF(AM31&gt;0,AM31,1E+99),IF(AO31&gt;0,AO31,1E+99),IF(AQ31&gt;0,AQ31,1E+99),IF(AS31&gt;0,AS31,1E+99),IF(AU31&gt;0,AU31,1E+99),IF(AW31&gt;0,AW31,1E+99),IF(AY31&gt;0,AY31,1E+99),IF(BA31&gt;0,BA31,1E+99)),IF(m=1E+99,"",m))</x:f>
        <x:v>17.916</x:v>
      </x:c>
      <x:c r="BE31" s="16" t="e">
        <x:f>IF(BD31="","",INDEX({"v1.4.20","v1.4.20","v1.4.21","v1.4.21","v1.4.23","v1.4.23","v1.4.26","v1.4.26","v1.4.26.1","v1.4.26.1","v1.4.27","v1.4.27","v1.4.29","v1.4.29","v1.4.30","v1.4.30","v1.4.31","v1.4.31","v1.4.33","v1.4.33","v1.4.35","v1.4.35.2","v1.5","v1.5.1","v1.5.1"},MATCH(BD31,CHOOSE({1,2,3,4,5,6,7,8,9,10,11,12,13,14,15,16,17,18,19,20,21,22,23,24,25},E31,G31,I31,K31,M31,O31,Q31,S31,U31,W31,Y31,AA31,AC31,AE31,AG31,AI31,AK31,AM31,AO31,AQ31,AS31,AU31,AW31,AY31,BA31),0)))</x:f>
      </x:c>
      <x:c r="BF31" s="10" t="n">
        <x:f>IFERROR((AX31-BB31)/BB31,"")</x:f>
        <x:v>0.6194331983805668</x:v>
      </x:c>
      <x:c r="BG31" s="10" t="n">
        <x:f>IFERROR((AY31-BD31)/BD31,"")</x:f>
        <x:v>0.783712882339808</x:v>
      </x:c>
    </x:row>
    <x:row r="32">
      <x:c r="A32" t="str">
        <x:v>Raw Data</x:v>
      </x:c>
      <x:c r="B32" t="str">
        <x:v>Create / Refresh All Templates</x:v>
      </x:c>
      <x:c r="C32" t="str">
        <x:v>Complete full template build: Template - Raw Data</x:v>
      </x:c>
      <x:c r="D32" s="8" t="n">
        <x:v>0</x:v>
      </x:c>
      <x:c r="E32" s="8" t="n">
        <x:v>24.372</x:v>
      </x:c>
      <x:c r="F32" s="8"/>
      <x:c r="G32" s="8"/>
      <x:c r="H32" s="8" t="n">
        <x:v>0</x:v>
      </x:c>
      <x:c r="I32" s="8" t="n">
        <x:v>31.926</x:v>
      </x:c>
      <x:c r="J32" s="8"/>
      <x:c r="K32" s="8"/>
      <x:c r="L32" s="8"/>
      <x:c r="M32" s="8"/>
      <x:c r="N32" s="8" t="n">
        <x:v>0</x:v>
      </x:c>
      <x:c r="O32" s="8" t="n">
        <x:v>29.54</x:v>
      </x:c>
      <x:c r="P32" s="8"/>
      <x:c r="Q32" s="8"/>
      <x:c r="R32" s="8" t="n">
        <x:v>0</x:v>
      </x:c>
      <x:c r="S32" s="8" t="n">
        <x:v>17.916</x:v>
      </x:c>
      <x:c r="T32" s="8"/>
      <x:c r="U32" s="8"/>
      <x:c r="V32" s="8" t="n">
        <x:v>0</x:v>
      </x:c>
      <x:c r="W32" s="8" t="n">
        <x:v>26.126</x:v>
      </x:c>
      <x:c r="X32" s="8"/>
      <x:c r="Y32" s="8"/>
      <x:c r="Z32" s="8" t="n">
        <x:v>0</x:v>
      </x:c>
      <x:c r="AA32" s="8" t="n">
        <x:v>33.814</x:v>
      </x:c>
      <x:c r="AB32" s="8"/>
      <x:c r="AC32" s="8"/>
      <x:c r="AD32" s="8" t="n">
        <x:v>0</x:v>
      </x:c>
      <x:c r="AE32" s="8" t="n">
        <x:v>31.063</x:v>
      </x:c>
      <x:c r="AF32" s="8" t="n">
        <x:v>0</x:v>
      </x:c>
      <x:c r="AG32" s="8" t="n">
        <x:v>35.958</x:v>
      </x:c>
      <x:c r="AH32" s="8"/>
      <x:c r="AI32" s="8"/>
      <x:c r="AJ32" s="8" t="n">
        <x:v>0</x:v>
      </x:c>
      <x:c r="AK32" s="8" t="n">
        <x:v>33.807</x:v>
      </x:c>
      <x:c r="AL32" s="8" t="n">
        <x:v>0</x:v>
      </x:c>
      <x:c r="AM32" s="8" t="n">
        <x:v>33.807</x:v>
      </x:c>
      <x:c r="AN32" s="8" t="n">
        <x:v>0</x:v>
      </x:c>
      <x:c r="AO32" s="8" t="n">
        <x:v>31.674</x:v>
      </x:c>
      <x:c r="AP32" s="8"/>
      <x:c r="AQ32" s="8"/>
      <x:c r="AR32" s="8" t="n">
        <x:v>0.001</x:v>
      </x:c>
      <x:c r="AS32" s="8" t="n">
        <x:v>35.399</x:v>
      </x:c>
      <x:c r="AT32" s="8" t="n">
        <x:v>0</x:v>
      </x:c>
      <x:c r="AU32" s="8" t="n">
        <x:v>28.037</x:v>
      </x:c>
      <x:c r="AV32" s="8" t="n">
        <x:v>0</x:v>
      </x:c>
      <x:c r="AW32" s="8" t="n">
        <x:v>28.068</x:v>
      </x:c>
      <x:c r="AX32" s="8" t="n">
        <x:v>0</x:v>
      </x:c>
      <x:c r="AY32" s="8" t="n">
        <x:v>31.957</x:v>
      </x:c>
      <x:c r="AZ32" s="8"/>
      <x:c r="BA32" s="8"/>
      <x:c r="BB32" s="8" t="n">
        <x:f>LET(m,MIN(IF(D32&gt;0,D32,1E+99),IF(F32&gt;0,F32,1E+99),IF(H32&gt;0,H32,1E+99),IF(J32&gt;0,J32,1E+99),IF(L32&gt;0,L32,1E+99),IF(N32&gt;0,N32,1E+99),IF(P32&gt;0,P32,1E+99),IF(R32&gt;0,R32,1E+99),IF(T32&gt;0,T32,1E+99),IF(V32&gt;0,V32,1E+99),IF(X32&gt;0,X32,1E+99),IF(Z32&gt;0,Z32,1E+99),IF(AB32&gt;0,AB32,1E+99),IF(AD32&gt;0,AD32,1E+99),IF(AF32&gt;0,AF32,1E+99),IF(AH32&gt;0,AH32,1E+99),IF(AJ32&gt;0,AJ32,1E+99),IF(AL32&gt;0,AL32,1E+99),IF(AN32&gt;0,AN32,1E+99),IF(AP32&gt;0,AP32,1E+99),IF(AR32&gt;0,AR32,1E+99),IF(AT32&gt;0,AT32,1E+99),IF(AV32&gt;0,AV32,1E+99),IF(AX32&gt;0,AX32,1E+99),IF(AZ32&gt;0,AZ32,1E+99)),IF(m=1E+99,"",m))</x:f>
        <x:v>0.001</x:v>
      </x:c>
      <x:c r="BC32" s="12" t="e">
        <x:f>IF(BB32="","",INDEX({"v1.4.20","v1.4.20","v1.4.21","v1.4.21","v1.4.23","v1.4.23","v1.4.26","v1.4.26","v1.4.26.1","v1.4.26.1","v1.4.27","v1.4.27","v1.4.29","v1.4.29","v1.4.30","v1.4.30","v1.4.31","v1.4.31","v1.4.33","v1.4.33","v1.4.35","v1.4.35.2","v1.5","v1.5.1","v1.5.1"},MATCH(BB32,CHOOSE({1,2,3,4,5,6,7,8,9,10,11,12,13,14,15,16,17,18,19,20,21,22,23,24,25},D32,F32,H32,J32,L32,N32,P32,R32,T32,V32,X32,Z32,AB32,AD32,AF32,AH32,AJ32,AL32,AN32,AP32,AR32,AT32,AV32,AX32,AZ32),0)))</x:f>
      </x:c>
      <x:c r="BD32" s="14" t="n">
        <x:f>LET(m,MIN(IF(E32&gt;0,E32,1E+99),IF(G32&gt;0,G32,1E+99),IF(I32&gt;0,I32,1E+99),IF(K32&gt;0,K32,1E+99),IF(M32&gt;0,M32,1E+99),IF(O32&gt;0,O32,1E+99),IF(Q32&gt;0,Q32,1E+99),IF(S32&gt;0,S32,1E+99),IF(U32&gt;0,U32,1E+99),IF(W32&gt;0,W32,1E+99),IF(Y32&gt;0,Y32,1E+99),IF(AA32&gt;0,AA32,1E+99),IF(AC32&gt;0,AC32,1E+99),IF(AE32&gt;0,AE32,1E+99),IF(AG32&gt;0,AG32,1E+99),IF(AI32&gt;0,AI32,1E+99),IF(AK32&gt;0,AK32,1E+99),IF(AM32&gt;0,AM32,1E+99),IF(AO32&gt;0,AO32,1E+99),IF(AQ32&gt;0,AQ32,1E+99),IF(AS32&gt;0,AS32,1E+99),IF(AU32&gt;0,AU32,1E+99),IF(AW32&gt;0,AW32,1E+99),IF(AY32&gt;0,AY32,1E+99),IF(BA32&gt;0,BA32,1E+99)),IF(m=1E+99,"",m))</x:f>
        <x:v>17.916</x:v>
      </x:c>
      <x:c r="BE32" s="16" t="e">
        <x:f>IF(BD32="","",INDEX({"v1.4.20","v1.4.20","v1.4.21","v1.4.21","v1.4.23","v1.4.23","v1.4.26","v1.4.26","v1.4.26.1","v1.4.26.1","v1.4.27","v1.4.27","v1.4.29","v1.4.29","v1.4.30","v1.4.30","v1.4.31","v1.4.31","v1.4.33","v1.4.33","v1.4.35","v1.4.35.2","v1.5","v1.5.1","v1.5.1"},MATCH(BD32,CHOOSE({1,2,3,4,5,6,7,8,9,10,11,12,13,14,15,16,17,18,19,20,21,22,23,24,25},E32,G32,I32,K32,M32,O32,Q32,S32,U32,W32,Y32,AA32,AC32,AE32,AG32,AI32,AK32,AM32,AO32,AQ32,AS32,AU32,AW32,AY32,BA32),0)))</x:f>
      </x:c>
      <x:c r="BF32" s="10" t="n">
        <x:f>IFERROR((AX32-BB32)/BB32,"")</x:f>
        <x:v>-1</x:v>
      </x:c>
      <x:c r="BG32" s="10" t="n">
        <x:f>IFERROR((AY32-BD32)/BD32,"")</x:f>
        <x:v>0.783712882339808</x:v>
      </x:c>
    </x:row>
    <x:row r="33">
      <x:c r="A33" t="str">
        <x:v>Raw Data</x:v>
      </x:c>
      <x:c r="B33" t="str">
        <x:v>Create / Refresh All Templates</x:v>
      </x:c>
      <x:c r="C33" t="str">
        <x:v>Apply row heights: Template - Raw Data</x:v>
      </x:c>
      <x:c r="D33" s="8" t="n">
        <x:v>0.01</x:v>
      </x:c>
      <x:c r="E33" s="8" t="n">
        <x:v>14.688</x:v>
      </x:c>
      <x:c r="F33" s="8"/>
      <x:c r="G33" s="8"/>
      <x:c r="H33" s="8" t="n">
        <x:v>0.006</x:v>
      </x:c>
      <x:c r="I33" s="8" t="n">
        <x:v>20.31</x:v>
      </x:c>
      <x:c r="J33" s="8"/>
      <x:c r="K33" s="8"/>
      <x:c r="L33" s="8"/>
      <x:c r="M33" s="8"/>
      <x:c r="N33" s="8" t="n">
        <x:v>0.009</x:v>
      </x:c>
      <x:c r="O33" s="8" t="n">
        <x:v>18.771</x:v>
      </x:c>
      <x:c r="P33" s="8"/>
      <x:c r="Q33" s="8"/>
      <x:c r="R33" s="8" t="n">
        <x:v>0.009</x:v>
      </x:c>
      <x:c r="S33" s="8" t="n">
        <x:v>11.123</x:v>
      </x:c>
      <x:c r="T33" s="8"/>
      <x:c r="U33" s="8"/>
      <x:c r="V33" s="8" t="n">
        <x:v>5.722</x:v>
      </x:c>
      <x:c r="W33" s="8" t="n">
        <x:v>19.588</x:v>
      </x:c>
      <x:c r="X33" s="8"/>
      <x:c r="Y33" s="8"/>
      <x:c r="Z33" s="8" t="n">
        <x:v>0.006</x:v>
      </x:c>
      <x:c r="AA33" s="8" t="n">
        <x:v>18.638</x:v>
      </x:c>
      <x:c r="AB33" s="8"/>
      <x:c r="AC33" s="8"/>
      <x:c r="AD33" s="8" t="n">
        <x:v>9.148</x:v>
      </x:c>
      <x:c r="AE33" s="8" t="n">
        <x:v>25.94</x:v>
      </x:c>
      <x:c r="AF33" s="8" t="n">
        <x:v>10.054</x:v>
      </x:c>
      <x:c r="AG33" s="8" t="n">
        <x:v>30.623</x:v>
      </x:c>
      <x:c r="AH33" s="8"/>
      <x:c r="AI33" s="8"/>
      <x:c r="AJ33" s="8" t="n">
        <x:v>7.886</x:v>
      </x:c>
      <x:c r="AK33" s="8" t="n">
        <x:v>26.412</x:v>
      </x:c>
      <x:c r="AL33" s="8" t="n">
        <x:v>7.886</x:v>
      </x:c>
      <x:c r="AM33" s="8" t="n">
        <x:v>26.412</x:v>
      </x:c>
      <x:c r="AN33" s="8" t="n">
        <x:v>7.687</x:v>
      </x:c>
      <x:c r="AO33" s="8" t="n">
        <x:v>25.335</x:v>
      </x:c>
      <x:c r="AP33" s="8"/>
      <x:c r="AQ33" s="8"/>
      <x:c r="AR33" s="8" t="n">
        <x:v>0.018</x:v>
      </x:c>
      <x:c r="AS33" s="8" t="n">
        <x:v>22.678</x:v>
      </x:c>
      <x:c r="AT33" s="8" t="n">
        <x:v>0.021</x:v>
      </x:c>
      <x:c r="AU33" s="8" t="n">
        <x:v>16.545</x:v>
      </x:c>
      <x:c r="AV33" s="8"/>
      <x:c r="AW33" s="8"/>
      <x:c r="AX33" s="8"/>
      <x:c r="AY33" s="8"/>
      <x:c r="AZ33" s="8"/>
      <x:c r="BA33" s="8"/>
      <x:c r="BB33" s="8" t="n">
        <x:f>LET(m,MIN(IF(D33&gt;0,D33,1E+99),IF(F33&gt;0,F33,1E+99),IF(H33&gt;0,H33,1E+99),IF(J33&gt;0,J33,1E+99),IF(L33&gt;0,L33,1E+99),IF(N33&gt;0,N33,1E+99),IF(P33&gt;0,P33,1E+99),IF(R33&gt;0,R33,1E+99),IF(T33&gt;0,T33,1E+99),IF(V33&gt;0,V33,1E+99),IF(X33&gt;0,X33,1E+99),IF(Z33&gt;0,Z33,1E+99),IF(AB33&gt;0,AB33,1E+99),IF(AD33&gt;0,AD33,1E+99),IF(AF33&gt;0,AF33,1E+99),IF(AH33&gt;0,AH33,1E+99),IF(AJ33&gt;0,AJ33,1E+99),IF(AL33&gt;0,AL33,1E+99),IF(AN33&gt;0,AN33,1E+99),IF(AP33&gt;0,AP33,1E+99),IF(AR33&gt;0,AR33,1E+99),IF(AT33&gt;0,AT33,1E+99),IF(AV33&gt;0,AV33,1E+99),IF(AX33&gt;0,AX33,1E+99),IF(AZ33&gt;0,AZ33,1E+99)),IF(m=1E+99,"",m))</x:f>
        <x:v>0.006</x:v>
      </x:c>
      <x:c r="BC33" s="12" t="e">
        <x:f>IF(BB33="","",INDEX({"v1.4.20","v1.4.20","v1.4.21","v1.4.21","v1.4.23","v1.4.23","v1.4.26","v1.4.26","v1.4.26.1","v1.4.26.1","v1.4.27","v1.4.27","v1.4.29","v1.4.29","v1.4.30","v1.4.30","v1.4.31","v1.4.31","v1.4.33","v1.4.33","v1.4.35","v1.4.35.2","v1.5","v1.5.1","v1.5.1"},MATCH(BB33,CHOOSE({1,2,3,4,5,6,7,8,9,10,11,12,13,14,15,16,17,18,19,20,21,22,23,24,25},D33,F33,H33,J33,L33,N33,P33,R33,T33,V33,X33,Z33,AB33,AD33,AF33,AH33,AJ33,AL33,AN33,AP33,AR33,AT33,AV33,AX33,AZ33),0)))</x:f>
      </x:c>
      <x:c r="BD33" s="14" t="n">
        <x:f>LET(m,MIN(IF(E33&gt;0,E33,1E+99),IF(G33&gt;0,G33,1E+99),IF(I33&gt;0,I33,1E+99),IF(K33&gt;0,K33,1E+99),IF(M33&gt;0,M33,1E+99),IF(O33&gt;0,O33,1E+99),IF(Q33&gt;0,Q33,1E+99),IF(S33&gt;0,S33,1E+99),IF(U33&gt;0,U33,1E+99),IF(W33&gt;0,W33,1E+99),IF(Y33&gt;0,Y33,1E+99),IF(AA33&gt;0,AA33,1E+99),IF(AC33&gt;0,AC33,1E+99),IF(AE33&gt;0,AE33,1E+99),IF(AG33&gt;0,AG33,1E+99),IF(AI33&gt;0,AI33,1E+99),IF(AK33&gt;0,AK33,1E+99),IF(AM33&gt;0,AM33,1E+99),IF(AO33&gt;0,AO33,1E+99),IF(AQ33&gt;0,AQ33,1E+99),IF(AS33&gt;0,AS33,1E+99),IF(AU33&gt;0,AU33,1E+99),IF(AW33&gt;0,AW33,1E+99),IF(AY33&gt;0,AY33,1E+99),IF(BA33&gt;0,BA33,1E+99)),IF(m=1E+99,"",m))</x:f>
        <x:v>11.123</x:v>
      </x:c>
      <x:c r="BE33" s="16" t="e">
        <x:f>IF(BD33="","",INDEX({"v1.4.20","v1.4.20","v1.4.21","v1.4.21","v1.4.23","v1.4.23","v1.4.26","v1.4.26","v1.4.26.1","v1.4.26.1","v1.4.27","v1.4.27","v1.4.29","v1.4.29","v1.4.30","v1.4.30","v1.4.31","v1.4.31","v1.4.33","v1.4.33","v1.4.35","v1.4.35.2","v1.5","v1.5.1","v1.5.1"},MATCH(BD33,CHOOSE({1,2,3,4,5,6,7,8,9,10,11,12,13,14,15,16,17,18,19,20,21,22,23,24,25},E33,G33,I33,K33,M33,O33,Q33,S33,U33,W33,Y33,AA33,AC33,AE33,AG33,AI33,AK33,AM33,AO33,AQ33,AS33,AU33,AW33,AY33,BA33),0)))</x:f>
      </x:c>
      <x:c r="BF33" s="10" t="n">
        <x:f>IFERROR((AX33-BB33)/BB33,"")</x:f>
        <x:v>-1</x:v>
      </x:c>
      <x:c r="BG33" s="10" t="n">
        <x:f>IFERROR((AY33-BD33)/BD33,"")</x:f>
        <x:v>-1</x:v>
      </x:c>
    </x:row>
    <x:row r="34">
      <x:c r="A34" t="str">
        <x:v>Raw Data</x:v>
      </x:c>
      <x:c r="B34" t="str">
        <x:v>Create / Refresh All Templates</x:v>
      </x:c>
      <x:c r="C34" t="str">
        <x:v>Clear sheet/formats for full build: Template - Raw Data</x:v>
      </x:c>
      <x:c r="D34" s="8" t="n">
        <x:v>0.239</x:v>
      </x:c>
      <x:c r="E34" s="8" t="n">
        <x:v>6.359</x:v>
      </x:c>
      <x:c r="F34" s="8"/>
      <x:c r="G34" s="8"/>
      <x:c r="H34" s="8" t="n">
        <x:v>0.189</x:v>
      </x:c>
      <x:c r="I34" s="8" t="n">
        <x:v>7.093</x:v>
      </x:c>
      <x:c r="J34" s="8"/>
      <x:c r="K34" s="8"/>
      <x:c r="L34" s="8"/>
      <x:c r="M34" s="8"/>
      <x:c r="N34" s="8"/>
      <x:c r="O34" s="8"/>
      <x:c r="P34" s="8"/>
      <x:c r="Q34" s="8"/>
      <x:c r="R34" s="8" t="n">
        <x:v>0.162</x:v>
      </x:c>
      <x:c r="S34" s="8" t="n">
        <x:v>4.181</x:v>
      </x:c>
      <x:c r="T34" s="8"/>
      <x:c r="U34" s="8"/>
      <x:c r="V34" s="8"/>
      <x:c r="W34" s="8"/>
      <x:c r="X34" s="8"/>
      <x:c r="Y34" s="8"/>
      <x:c r="Z34" s="8" t="n">
        <x:v>0.222</x:v>
      </x:c>
      <x:c r="AA34" s="8" t="n">
        <x:v>5.682</x:v>
      </x:c>
      <x:c r="AB34" s="8"/>
      <x:c r="AC34" s="8"/>
      <x:c r="AD34" s="8"/>
      <x:c r="AE34" s="8"/>
      <x:c r="AF34" s="8"/>
      <x:c r="AG34" s="8"/>
      <x:c r="AH34" s="8"/>
      <x:c r="AI34" s="8"/>
      <x:c r="AJ34" s="8"/>
      <x:c r="AK34" s="8"/>
      <x:c r="AL34" s="8"/>
      <x:c r="AM34" s="8"/>
      <x:c r="AN34" s="8"/>
      <x:c r="AO34" s="8"/>
      <x:c r="AP34" s="8"/>
      <x:c r="AQ34" s="8"/>
      <x:c r="AR34" s="8" t="n">
        <x:v>0.243</x:v>
      </x:c>
      <x:c r="AS34" s="8" t="n">
        <x:v>9.216</x:v>
      </x:c>
      <x:c r="AT34" s="8" t="n">
        <x:v>0.172</x:v>
      </x:c>
      <x:c r="AU34" s="8" t="n">
        <x:v>6.352</x:v>
      </x:c>
      <x:c r="AV34" s="8"/>
      <x:c r="AW34" s="8"/>
      <x:c r="AX34" s="8"/>
      <x:c r="AY34" s="8"/>
      <x:c r="AZ34" s="8"/>
      <x:c r="BA34" s="8"/>
      <x:c r="BB34" s="8" t="n">
        <x:f>LET(m,MIN(IF(D34&gt;0,D34,1E+99),IF(F34&gt;0,F34,1E+99),IF(H34&gt;0,H34,1E+99),IF(J34&gt;0,J34,1E+99),IF(L34&gt;0,L34,1E+99),IF(N34&gt;0,N34,1E+99),IF(P34&gt;0,P34,1E+99),IF(R34&gt;0,R34,1E+99),IF(T34&gt;0,T34,1E+99),IF(V34&gt;0,V34,1E+99),IF(X34&gt;0,X34,1E+99),IF(Z34&gt;0,Z34,1E+99),IF(AB34&gt;0,AB34,1E+99),IF(AD34&gt;0,AD34,1E+99),IF(AF34&gt;0,AF34,1E+99),IF(AH34&gt;0,AH34,1E+99),IF(AJ34&gt;0,AJ34,1E+99),IF(AL34&gt;0,AL34,1E+99),IF(AN34&gt;0,AN34,1E+99),IF(AP34&gt;0,AP34,1E+99),IF(AR34&gt;0,AR34,1E+99),IF(AT34&gt;0,AT34,1E+99),IF(AV34&gt;0,AV34,1E+99),IF(AX34&gt;0,AX34,1E+99),IF(AZ34&gt;0,AZ34,1E+99)),IF(m=1E+99,"",m))</x:f>
        <x:v>0.162</x:v>
      </x:c>
      <x:c r="BC34" s="12" t="e">
        <x:f>IF(BB34="","",INDEX({"v1.4.20","v1.4.20","v1.4.21","v1.4.21","v1.4.23","v1.4.23","v1.4.26","v1.4.26","v1.4.26.1","v1.4.26.1","v1.4.27","v1.4.27","v1.4.29","v1.4.29","v1.4.30","v1.4.30","v1.4.31","v1.4.31","v1.4.33","v1.4.33","v1.4.35","v1.4.35.2","v1.5","v1.5.1","v1.5.1"},MATCH(BB34,CHOOSE({1,2,3,4,5,6,7,8,9,10,11,12,13,14,15,16,17,18,19,20,21,22,23,24,25},D34,F34,H34,J34,L34,N34,P34,R34,T34,V34,X34,Z34,AB34,AD34,AF34,AH34,AJ34,AL34,AN34,AP34,AR34,AT34,AV34,AX34,AZ34),0)))</x:f>
      </x:c>
      <x:c r="BD34" s="14" t="n">
        <x:f>LET(m,MIN(IF(E34&gt;0,E34,1E+99),IF(G34&gt;0,G34,1E+99),IF(I34&gt;0,I34,1E+99),IF(K34&gt;0,K34,1E+99),IF(M34&gt;0,M34,1E+99),IF(O34&gt;0,O34,1E+99),IF(Q34&gt;0,Q34,1E+99),IF(S34&gt;0,S34,1E+99),IF(U34&gt;0,U34,1E+99),IF(W34&gt;0,W34,1E+99),IF(Y34&gt;0,Y34,1E+99),IF(AA34&gt;0,AA34,1E+99),IF(AC34&gt;0,AC34,1E+99),IF(AE34&gt;0,AE34,1E+99),IF(AG34&gt;0,AG34,1E+99),IF(AI34&gt;0,AI34,1E+99),IF(AK34&gt;0,AK34,1E+99),IF(AM34&gt;0,AM34,1E+99),IF(AO34&gt;0,AO34,1E+99),IF(AQ34&gt;0,AQ34,1E+99),IF(AS34&gt;0,AS34,1E+99),IF(AU34&gt;0,AU34,1E+99),IF(AW34&gt;0,AW34,1E+99),IF(AY34&gt;0,AY34,1E+99),IF(BA34&gt;0,BA34,1E+99)),IF(m=1E+99,"",m))</x:f>
        <x:v>4.181</x:v>
      </x:c>
      <x:c r="BE34" s="16" t="e">
        <x:f>IF(BD34="","",INDEX({"v1.4.20","v1.4.20","v1.4.21","v1.4.21","v1.4.23","v1.4.23","v1.4.26","v1.4.26","v1.4.26.1","v1.4.26.1","v1.4.27","v1.4.27","v1.4.29","v1.4.29","v1.4.30","v1.4.30","v1.4.31","v1.4.31","v1.4.33","v1.4.33","v1.4.35","v1.4.35.2","v1.5","v1.5.1","v1.5.1"},MATCH(BD34,CHOOSE({1,2,3,4,5,6,7,8,9,10,11,12,13,14,15,16,17,18,19,20,21,22,23,24,25},E34,G34,I34,K34,M34,O34,Q34,S34,U34,W34,Y34,AA34,AC34,AE34,AG34,AI34,AK34,AM34,AO34,AQ34,AS34,AU34,AW34,AY34,BA34),0)))</x:f>
      </x:c>
      <x:c r="BF34" s="10" t="n">
        <x:f>IFERROR((AX34-BB34)/BB34,"")</x:f>
        <x:v>-1</x:v>
      </x:c>
      <x:c r="BG34" s="10" t="n">
        <x:f>IFERROR((AY34-BD34)/BD34,"")</x:f>
        <x:v>-1</x:v>
      </x:c>
    </x:row>
    <x:row r="35">
      <x:c r="A35" t="str">
        <x:v>Raw Data</x:v>
      </x:c>
      <x:c r="B35" t="str">
        <x:v>Create / Refresh All Templates</x:v>
      </x:c>
      <x:c r="C35" t="str">
        <x:v>Resize columns: Template - Raw Data (66 cols)</x:v>
      </x:c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 t="n">
        <x:v>0.248</x:v>
      </x:c>
      <x:c r="W35" s="8" t="n">
        <x:v>6.011</x:v>
      </x:c>
      <x:c r="X35" s="8"/>
      <x:c r="Y35" s="8"/>
      <x:c r="Z35" s="8"/>
      <x:c r="AA35" s="8"/>
      <x:c r="AB35" s="8"/>
      <x:c r="AC35" s="8"/>
      <x:c r="AD35" s="8"/>
      <x:c r="AE35" s="8"/>
      <x:c r="AF35" s="8" t="n">
        <x:v>0.133</x:v>
      </x:c>
      <x:c r="AG35" s="8" t="n">
        <x:v>6.279</x:v>
      </x:c>
      <x:c r="AH35" s="8"/>
      <x:c r="AI35" s="8"/>
      <x:c r="AJ35" s="8"/>
      <x:c r="AK35" s="8"/>
      <x:c r="AL35" s="8" t="n">
        <x:v>0.297</x:v>
      </x:c>
      <x:c r="AM35" s="8" t="n">
        <x:v>6.549</x:v>
      </x:c>
      <x:c r="AN35" s="8" t="n">
        <x:v>0.237</x:v>
      </x:c>
      <x:c r="AO35" s="8" t="n">
        <x:v>6.917</x:v>
      </x:c>
      <x:c r="AP35" s="8"/>
      <x:c r="AQ35" s="8"/>
      <x:c r="AR35" s="8"/>
      <x:c r="AS35" s="8"/>
      <x:c r="AT35" s="8"/>
      <x:c r="AU35" s="8"/>
      <x:c r="AV35" s="8"/>
      <x:c r="AW35" s="8"/>
      <x:c r="AX35" s="8"/>
      <x:c r="AY35" s="8"/>
      <x:c r="AZ35" s="8"/>
      <x:c r="BA35" s="8"/>
      <x:c r="BB35" s="8" t="n">
        <x:f>LET(m,MIN(IF(D35&gt;0,D35,1E+99),IF(F35&gt;0,F35,1E+99),IF(H35&gt;0,H35,1E+99),IF(J35&gt;0,J35,1E+99),IF(L35&gt;0,L35,1E+99),IF(N35&gt;0,N35,1E+99),IF(P35&gt;0,P35,1E+99),IF(R35&gt;0,R35,1E+99),IF(T35&gt;0,T35,1E+99),IF(V35&gt;0,V35,1E+99),IF(X35&gt;0,X35,1E+99),IF(Z35&gt;0,Z35,1E+99),IF(AB35&gt;0,AB35,1E+99),IF(AD35&gt;0,AD35,1E+99),IF(AF35&gt;0,AF35,1E+99),IF(AH35&gt;0,AH35,1E+99),IF(AJ35&gt;0,AJ35,1E+99),IF(AL35&gt;0,AL35,1E+99),IF(AN35&gt;0,AN35,1E+99),IF(AP35&gt;0,AP35,1E+99),IF(AR35&gt;0,AR35,1E+99),IF(AT35&gt;0,AT35,1E+99),IF(AV35&gt;0,AV35,1E+99),IF(AX35&gt;0,AX35,1E+99),IF(AZ35&gt;0,AZ35,1E+99)),IF(m=1E+99,"",m))</x:f>
        <x:v>0.133</x:v>
      </x:c>
      <x:c r="BC35" s="12" t="e">
        <x:f>IF(BB35="","",INDEX({"v1.4.20","v1.4.20","v1.4.21","v1.4.21","v1.4.23","v1.4.23","v1.4.26","v1.4.26","v1.4.26.1","v1.4.26.1","v1.4.27","v1.4.27","v1.4.29","v1.4.29","v1.4.30","v1.4.30","v1.4.31","v1.4.31","v1.4.33","v1.4.33","v1.4.35","v1.4.35.2","v1.5","v1.5.1","v1.5.1"},MATCH(BB35,CHOOSE({1,2,3,4,5,6,7,8,9,10,11,12,13,14,15,16,17,18,19,20,21,22,23,24,25},D35,F35,H35,J35,L35,N35,P35,R35,T35,V35,X35,Z35,AB35,AD35,AF35,AH35,AJ35,AL35,AN35,AP35,AR35,AT35,AV35,AX35,AZ35),0)))</x:f>
      </x:c>
      <x:c r="BD35" s="14" t="n">
        <x:f>LET(m,MIN(IF(E35&gt;0,E35,1E+99),IF(G35&gt;0,G35,1E+99),IF(I35&gt;0,I35,1E+99),IF(K35&gt;0,K35,1E+99),IF(M35&gt;0,M35,1E+99),IF(O35&gt;0,O35,1E+99),IF(Q35&gt;0,Q35,1E+99),IF(S35&gt;0,S35,1E+99),IF(U35&gt;0,U35,1E+99),IF(W35&gt;0,W35,1E+99),IF(Y35&gt;0,Y35,1E+99),IF(AA35&gt;0,AA35,1E+99),IF(AC35&gt;0,AC35,1E+99),IF(AE35&gt;0,AE35,1E+99),IF(AG35&gt;0,AG35,1E+99),IF(AI35&gt;0,AI35,1E+99),IF(AK35&gt;0,AK35,1E+99),IF(AM35&gt;0,AM35,1E+99),IF(AO35&gt;0,AO35,1E+99),IF(AQ35&gt;0,AQ35,1E+99),IF(AS35&gt;0,AS35,1E+99),IF(AU35&gt;0,AU35,1E+99),IF(AW35&gt;0,AW35,1E+99),IF(AY35&gt;0,AY35,1E+99),IF(BA35&gt;0,BA35,1E+99)),IF(m=1E+99,"",m))</x:f>
        <x:v>6.011</x:v>
      </x:c>
      <x:c r="BE35" s="16" t="e">
        <x:f>IF(BD35="","",INDEX({"v1.4.20","v1.4.20","v1.4.21","v1.4.21","v1.4.23","v1.4.23","v1.4.26","v1.4.26","v1.4.26.1","v1.4.26.1","v1.4.27","v1.4.27","v1.4.29","v1.4.29","v1.4.30","v1.4.30","v1.4.31","v1.4.31","v1.4.33","v1.4.33","v1.4.35","v1.4.35.2","v1.5","v1.5.1","v1.5.1"},MATCH(BD35,CHOOSE({1,2,3,4,5,6,7,8,9,10,11,12,13,14,15,16,17,18,19,20,21,22,23,24,25},E35,G35,I35,K35,M35,O35,Q35,S35,U35,W35,Y35,AA35,AC35,AE35,AG35,AI35,AK35,AM35,AO35,AQ35,AS35,AU35,AW35,AY35,BA35),0)))</x:f>
      </x:c>
      <x:c r="BF35" s="10" t="n">
        <x:f>IFERROR((AX35-BB35)/BB35,"")</x:f>
        <x:v>-1</x:v>
      </x:c>
      <x:c r="BG35" s="10" t="n">
        <x:f>IFERROR((AY35-BD35)/BD35,"")</x:f>
        <x:v>-1</x:v>
      </x:c>
    </x:row>
    <x:row r="36">
      <x:c r="A36" t="str">
        <x:v>Raw Data</x:v>
      </x:c>
      <x:c r="B36" t="str">
        <x:v>Create / Refresh All Templates</x:v>
      </x:c>
      <x:c r="C36" t="str">
        <x:v>Resize rows: Template - Raw Data (6500 rows)</x:v>
      </x:c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 t="n">
        <x:v>0.253</x:v>
      </x:c>
      <x:c r="W36" s="8" t="n">
        <x:v>5.763</x:v>
      </x:c>
      <x:c r="X36" s="8"/>
      <x:c r="Y36" s="8"/>
      <x:c r="Z36" s="8"/>
      <x:c r="AA36" s="8"/>
      <x:c r="AB36" s="8"/>
      <x:c r="AC36" s="8"/>
      <x:c r="AD36" s="8"/>
      <x:c r="AE36" s="8"/>
      <x:c r="AF36" s="8" t="n">
        <x:v>0.122</x:v>
      </x:c>
      <x:c r="AG36" s="8" t="n">
        <x:v>6.146</x:v>
      </x:c>
      <x:c r="AH36" s="8"/>
      <x:c r="AI36" s="8"/>
      <x:c r="AJ36" s="8"/>
      <x:c r="AK36" s="8"/>
      <x:c r="AL36" s="8" t="n">
        <x:v>0.234</x:v>
      </x:c>
      <x:c r="AM36" s="8" t="n">
        <x:v>6.252</x:v>
      </x:c>
      <x:c r="AN36" s="8" t="n">
        <x:v>0.216</x:v>
      </x:c>
      <x:c r="AO36" s="8" t="n">
        <x:v>6.68</x:v>
      </x:c>
      <x:c r="AP36" s="8"/>
      <x:c r="AQ36" s="8"/>
      <x:c r="AR36" s="8"/>
      <x:c r="AS36" s="8"/>
      <x:c r="AT36" s="8"/>
      <x:c r="AU36" s="8"/>
      <x:c r="AV36" s="8"/>
      <x:c r="AW36" s="8"/>
      <x:c r="AX36" s="8"/>
      <x:c r="AY36" s="8"/>
      <x:c r="AZ36" s="8"/>
      <x:c r="BA36" s="8"/>
      <x:c r="BB36" s="8" t="n">
        <x:f>LET(m,MIN(IF(D36&gt;0,D36,1E+99),IF(F36&gt;0,F36,1E+99),IF(H36&gt;0,H36,1E+99),IF(J36&gt;0,J36,1E+99),IF(L36&gt;0,L36,1E+99),IF(N36&gt;0,N36,1E+99),IF(P36&gt;0,P36,1E+99),IF(R36&gt;0,R36,1E+99),IF(T36&gt;0,T36,1E+99),IF(V36&gt;0,V36,1E+99),IF(X36&gt;0,X36,1E+99),IF(Z36&gt;0,Z36,1E+99),IF(AB36&gt;0,AB36,1E+99),IF(AD36&gt;0,AD36,1E+99),IF(AF36&gt;0,AF36,1E+99),IF(AH36&gt;0,AH36,1E+99),IF(AJ36&gt;0,AJ36,1E+99),IF(AL36&gt;0,AL36,1E+99),IF(AN36&gt;0,AN36,1E+99),IF(AP36&gt;0,AP36,1E+99),IF(AR36&gt;0,AR36,1E+99),IF(AT36&gt;0,AT36,1E+99),IF(AV36&gt;0,AV36,1E+99),IF(AX36&gt;0,AX36,1E+99),IF(AZ36&gt;0,AZ36,1E+99)),IF(m=1E+99,"",m))</x:f>
        <x:v>0.122</x:v>
      </x:c>
      <x:c r="BC36" s="12" t="e">
        <x:f>IF(BB36="","",INDEX({"v1.4.20","v1.4.20","v1.4.21","v1.4.21","v1.4.23","v1.4.23","v1.4.26","v1.4.26","v1.4.26.1","v1.4.26.1","v1.4.27","v1.4.27","v1.4.29","v1.4.29","v1.4.30","v1.4.30","v1.4.31","v1.4.31","v1.4.33","v1.4.33","v1.4.35","v1.4.35.2","v1.5","v1.5.1","v1.5.1"},MATCH(BB36,CHOOSE({1,2,3,4,5,6,7,8,9,10,11,12,13,14,15,16,17,18,19,20,21,22,23,24,25},D36,F36,H36,J36,L36,N36,P36,R36,T36,V36,X36,Z36,AB36,AD36,AF36,AH36,AJ36,AL36,AN36,AP36,AR36,AT36,AV36,AX36,AZ36),0)))</x:f>
      </x:c>
      <x:c r="BD36" s="14" t="n">
        <x:f>LET(m,MIN(IF(E36&gt;0,E36,1E+99),IF(G36&gt;0,G36,1E+99),IF(I36&gt;0,I36,1E+99),IF(K36&gt;0,K36,1E+99),IF(M36&gt;0,M36,1E+99),IF(O36&gt;0,O36,1E+99),IF(Q36&gt;0,Q36,1E+99),IF(S36&gt;0,S36,1E+99),IF(U36&gt;0,U36,1E+99),IF(W36&gt;0,W36,1E+99),IF(Y36&gt;0,Y36,1E+99),IF(AA36&gt;0,AA36,1E+99),IF(AC36&gt;0,AC36,1E+99),IF(AE36&gt;0,AE36,1E+99),IF(AG36&gt;0,AG36,1E+99),IF(AI36&gt;0,AI36,1E+99),IF(AK36&gt;0,AK36,1E+99),IF(AM36&gt;0,AM36,1E+99),IF(AO36&gt;0,AO36,1E+99),IF(AQ36&gt;0,AQ36,1E+99),IF(AS36&gt;0,AS36,1E+99),IF(AU36&gt;0,AU36,1E+99),IF(AW36&gt;0,AW36,1E+99),IF(AY36&gt;0,AY36,1E+99),IF(BA36&gt;0,BA36,1E+99)),IF(m=1E+99,"",m))</x:f>
        <x:v>5.763</x:v>
      </x:c>
      <x:c r="BE36" s="16" t="e">
        <x:f>IF(BD36="","",INDEX({"v1.4.20","v1.4.20","v1.4.21","v1.4.21","v1.4.23","v1.4.23","v1.4.26","v1.4.26","v1.4.26.1","v1.4.26.1","v1.4.27","v1.4.27","v1.4.29","v1.4.29","v1.4.30","v1.4.30","v1.4.31","v1.4.31","v1.4.33","v1.4.33","v1.4.35","v1.4.35.2","v1.5","v1.5.1","v1.5.1"},MATCH(BD36,CHOOSE({1,2,3,4,5,6,7,8,9,10,11,12,13,14,15,16,17,18,19,20,21,22,23,24,25},E36,G36,I36,K36,M36,O36,Q36,S36,U36,W36,Y36,AA36,AC36,AE36,AG36,AI36,AK36,AM36,AO36,AQ36,AS36,AU36,AW36,AY36,BA36),0)))</x:f>
      </x:c>
      <x:c r="BF36" s="10" t="n">
        <x:f>IFERROR((AX36-BB36)/BB36,"")</x:f>
        <x:v>-1</x:v>
      </x:c>
      <x:c r="BG36" s="10" t="n">
        <x:f>IFERROR((AY36-BD36)/BD36,"")</x:f>
        <x:v>-1</x:v>
      </x:c>
    </x:row>
    <x:row r="37">
      <x:c r="A37" t="str">
        <x:v>Raw Data</x:v>
      </x:c>
      <x:c r="B37" t="str">
        <x:v>Create / Refresh All Templates</x:v>
      </x:c>
      <x:c r="C37" t="str">
        <x:v>Resize sheet: Template - Raw Data (6500 rows x 59 cols)</x:v>
      </x:c>
      <x:c r="D37" s="8" t="n">
        <x:v>0.447</x:v>
      </x:c>
      <x:c r="E37" s="8" t="n">
        <x:v>6.806</x:v>
      </x:c>
      <x:c r="F37" s="8"/>
      <x:c r="G37" s="8"/>
      <x:c r="H37" s="8" t="n">
        <x:v>0.366</x:v>
      </x:c>
      <x:c r="I37" s="8" t="n">
        <x:v>7.459</x:v>
      </x:c>
      <x:c r="J37" s="8"/>
      <x:c r="K37" s="8"/>
      <x:c r="L37" s="8"/>
      <x:c r="M37" s="8"/>
      <x:c r="N37" s="8" t="n">
        <x:v>0.385</x:v>
      </x:c>
      <x:c r="O37" s="8" t="n">
        <x:v>8.424</x:v>
      </x:c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  <x:c r="AA37" s="8"/>
      <x:c r="AB37" s="8"/>
      <x:c r="AC37" s="8"/>
      <x:c r="AD37" s="8"/>
      <x:c r="AE37" s="8"/>
      <x:c r="AF37" s="8"/>
      <x:c r="AG37" s="8"/>
      <x:c r="AH37" s="8"/>
      <x:c r="AI37" s="8"/>
      <x:c r="AJ37" s="8"/>
      <x:c r="AK37" s="8"/>
      <x:c r="AL37" s="8"/>
      <x:c r="AM37" s="8"/>
      <x:c r="AN37" s="8"/>
      <x:c r="AO37" s="8"/>
      <x:c r="AP37" s="8"/>
      <x:c r="AQ37" s="8"/>
      <x:c r="AR37" s="8"/>
      <x:c r="AS37" s="8"/>
      <x:c r="AT37" s="8"/>
      <x:c r="AU37" s="8"/>
      <x:c r="AV37" s="8"/>
      <x:c r="AW37" s="8"/>
      <x:c r="AX37" s="8"/>
      <x:c r="AY37" s="8"/>
      <x:c r="AZ37" s="8"/>
      <x:c r="BA37" s="8"/>
      <x:c r="BB37" s="8" t="n">
        <x:f>LET(m,MIN(IF(D37&gt;0,D37,1E+99),IF(F37&gt;0,F37,1E+99),IF(H37&gt;0,H37,1E+99),IF(J37&gt;0,J37,1E+99),IF(L37&gt;0,L37,1E+99),IF(N37&gt;0,N37,1E+99),IF(P37&gt;0,P37,1E+99),IF(R37&gt;0,R37,1E+99),IF(T37&gt;0,T37,1E+99),IF(V37&gt;0,V37,1E+99),IF(X37&gt;0,X37,1E+99),IF(Z37&gt;0,Z37,1E+99),IF(AB37&gt;0,AB37,1E+99),IF(AD37&gt;0,AD37,1E+99),IF(AF37&gt;0,AF37,1E+99),IF(AH37&gt;0,AH37,1E+99),IF(AJ37&gt;0,AJ37,1E+99),IF(AL37&gt;0,AL37,1E+99),IF(AN37&gt;0,AN37,1E+99),IF(AP37&gt;0,AP37,1E+99),IF(AR37&gt;0,AR37,1E+99),IF(AT37&gt;0,AT37,1E+99),IF(AV37&gt;0,AV37,1E+99),IF(AX37&gt;0,AX37,1E+99),IF(AZ37&gt;0,AZ37,1E+99)),IF(m=1E+99,"",m))</x:f>
        <x:v>0.366</x:v>
      </x:c>
      <x:c r="BC37" s="12" t="e">
        <x:f>IF(BB37="","",INDEX({"v1.4.20","v1.4.20","v1.4.21","v1.4.21","v1.4.23","v1.4.23","v1.4.26","v1.4.26","v1.4.26.1","v1.4.26.1","v1.4.27","v1.4.27","v1.4.29","v1.4.29","v1.4.30","v1.4.30","v1.4.31","v1.4.31","v1.4.33","v1.4.33","v1.4.35","v1.4.35.2","v1.5","v1.5.1","v1.5.1"},MATCH(BB37,CHOOSE({1,2,3,4,5,6,7,8,9,10,11,12,13,14,15,16,17,18,19,20,21,22,23,24,25},D37,F37,H37,J37,L37,N37,P37,R37,T37,V37,X37,Z37,AB37,AD37,AF37,AH37,AJ37,AL37,AN37,AP37,AR37,AT37,AV37,AX37,AZ37),0)))</x:f>
      </x:c>
      <x:c r="BD37" s="14" t="n">
        <x:f>LET(m,MIN(IF(E37&gt;0,E37,1E+99),IF(G37&gt;0,G37,1E+99),IF(I37&gt;0,I37,1E+99),IF(K37&gt;0,K37,1E+99),IF(M37&gt;0,M37,1E+99),IF(O37&gt;0,O37,1E+99),IF(Q37&gt;0,Q37,1E+99),IF(S37&gt;0,S37,1E+99),IF(U37&gt;0,U37,1E+99),IF(W37&gt;0,W37,1E+99),IF(Y37&gt;0,Y37,1E+99),IF(AA37&gt;0,AA37,1E+99),IF(AC37&gt;0,AC37,1E+99),IF(AE37&gt;0,AE37,1E+99),IF(AG37&gt;0,AG37,1E+99),IF(AI37&gt;0,AI37,1E+99),IF(AK37&gt;0,AK37,1E+99),IF(AM37&gt;0,AM37,1E+99),IF(AO37&gt;0,AO37,1E+99),IF(AQ37&gt;0,AQ37,1E+99),IF(AS37&gt;0,AS37,1E+99),IF(AU37&gt;0,AU37,1E+99),IF(AW37&gt;0,AW37,1E+99),IF(AY37&gt;0,AY37,1E+99),IF(BA37&gt;0,BA37,1E+99)),IF(m=1E+99,"",m))</x:f>
        <x:v>6.806</x:v>
      </x:c>
      <x:c r="BE37" s="16" t="str">
        <x:f>IF(BD37="","",INDEX({"v1.4.20","v1.4.20","v1.4.21","v1.4.21","v1.4.23","v1.4.23","v1.4.26","v1.4.26","v1.4.26.1","v1.4.26.1","v1.4.27","v1.4.27","v1.4.29","v1.4.29","v1.4.30","v1.4.30","v1.4.31","v1.4.31","v1.4.33","v1.4.33","v1.4.35","v1.4.35.2","v1.5","v1.5.1","v1.5.1"},MATCH(BD37,CHOOSE({1,2,3,4,5,6,7,8,9,10,11,12,13,14,15,16,17,18,19,20,21,22,23,24,25},E37,G37,I37,K37,M37,O37,Q37,S37,U37,W37,Y37,AA37,AC37,AE37,AG37,AI37,AK37,AM37,AO37,AQ37,AS37,AU37,AW37,AY37,BA37),0)))</x:f>
        <x:v>v1.4.20</x:v>
      </x:c>
      <x:c r="BF37" s="10" t="n">
        <x:f>IFERROR((AX37-BB37)/BB37,"")</x:f>
        <x:v>-1</x:v>
      </x:c>
      <x:c r="BG37" s="10" t="n">
        <x:f>IFERROR((AY37-BD37)/BD37,"")</x:f>
        <x:v>-1</x:v>
      </x:c>
    </x:row>
    <x:row r="38">
      <x:c r="A38" t="str">
        <x:v>Banner Report</x:v>
      </x:c>
      <x:c r="B38" t="str">
        <x:v>Create / Refresh All Templates</x:v>
      </x:c>
      <x:c r="C38" t="str">
        <x:v>Open/create sheet: Template - Banner Report</x:v>
      </x:c>
      <x:c r="D38" s="8" t="n">
        <x:v>1.757</x:v>
      </x:c>
      <x:c r="E38" s="8" t="n">
        <x:v>26.129</x:v>
      </x:c>
      <x:c r="F38" s="8"/>
      <x:c r="G38" s="8"/>
      <x:c r="H38" s="8" t="n">
        <x:v>2.729</x:v>
      </x:c>
      <x:c r="I38" s="8" t="n">
        <x:v>34.655</x:v>
      </x:c>
      <x:c r="J38" s="8"/>
      <x:c r="K38" s="8"/>
      <x:c r="L38" s="8"/>
      <x:c r="M38" s="8"/>
      <x:c r="N38" s="8" t="n">
        <x:v>2.371</x:v>
      </x:c>
      <x:c r="O38" s="8" t="n">
        <x:v>31.911</x:v>
      </x:c>
      <x:c r="P38" s="8"/>
      <x:c r="Q38" s="8"/>
      <x:c r="R38" s="8" t="n">
        <x:v>1.345</x:v>
      </x:c>
      <x:c r="S38" s="8" t="n">
        <x:v>19.261</x:v>
      </x:c>
      <x:c r="T38" s="8"/>
      <x:c r="U38" s="8"/>
      <x:c r="V38" s="8" t="n">
        <x:v>1.695</x:v>
      </x:c>
      <x:c r="W38" s="8" t="n">
        <x:v>27.821</x:v>
      </x:c>
      <x:c r="X38" s="8"/>
      <x:c r="Y38" s="8"/>
      <x:c r="Z38" s="8" t="n">
        <x:v>2.834</x:v>
      </x:c>
      <x:c r="AA38" s="8" t="n">
        <x:v>36.648</x:v>
      </x:c>
      <x:c r="AB38" s="8"/>
      <x:c r="AC38" s="8"/>
      <x:c r="AD38" s="8" t="n">
        <x:v>2.759</x:v>
      </x:c>
      <x:c r="AE38" s="8" t="n">
        <x:v>33.822</x:v>
      </x:c>
      <x:c r="AF38" s="8" t="n">
        <x:v>2.873</x:v>
      </x:c>
      <x:c r="AG38" s="8" t="n">
        <x:v>38.831</x:v>
      </x:c>
      <x:c r="AH38" s="8"/>
      <x:c r="AI38" s="8"/>
      <x:c r="AJ38" s="8" t="n">
        <x:v>0.787</x:v>
      </x:c>
      <x:c r="AK38" s="8" t="n">
        <x:v>34.594</x:v>
      </x:c>
      <x:c r="AL38" s="8" t="n">
        <x:v>0.787</x:v>
      </x:c>
      <x:c r="AM38" s="8" t="n">
        <x:v>34.594</x:v>
      </x:c>
      <x:c r="AN38" s="8" t="n">
        <x:v>1.983</x:v>
      </x:c>
      <x:c r="AO38" s="8" t="n">
        <x:v>33.657</x:v>
      </x:c>
      <x:c r="AP38" s="8"/>
      <x:c r="AQ38" s="8"/>
      <x:c r="AR38" s="8" t="n">
        <x:v>2.606</x:v>
      </x:c>
      <x:c r="AS38" s="8" t="n">
        <x:v>38.005</x:v>
      </x:c>
      <x:c r="AT38" s="8" t="n">
        <x:v>2.041</x:v>
      </x:c>
      <x:c r="AU38" s="8" t="n">
        <x:v>30.078</x:v>
      </x:c>
      <x:c r="AV38" s="8" t="n">
        <x:v>2.536</x:v>
      </x:c>
      <x:c r="AW38" s="8" t="n">
        <x:v>30.604</x:v>
      </x:c>
      <x:c r="AX38" s="8" t="n">
        <x:v>2.335</x:v>
      </x:c>
      <x:c r="AY38" s="8" t="n">
        <x:v>34.292</x:v>
      </x:c>
      <x:c r="AZ38" s="8"/>
      <x:c r="BA38" s="8"/>
      <x:c r="BB38" s="8" t="n">
        <x:f>LET(m,MIN(IF(D38&gt;0,D38,1E+99),IF(F38&gt;0,F38,1E+99),IF(H38&gt;0,H38,1E+99),IF(J38&gt;0,J38,1E+99),IF(L38&gt;0,L38,1E+99),IF(N38&gt;0,N38,1E+99),IF(P38&gt;0,P38,1E+99),IF(R38&gt;0,R38,1E+99),IF(T38&gt;0,T38,1E+99),IF(V38&gt;0,V38,1E+99),IF(X38&gt;0,X38,1E+99),IF(Z38&gt;0,Z38,1E+99),IF(AB38&gt;0,AB38,1E+99),IF(AD38&gt;0,AD38,1E+99),IF(AF38&gt;0,AF38,1E+99),IF(AH38&gt;0,AH38,1E+99),IF(AJ38&gt;0,AJ38,1E+99),IF(AL38&gt;0,AL38,1E+99),IF(AN38&gt;0,AN38,1E+99),IF(AP38&gt;0,AP38,1E+99),IF(AR38&gt;0,AR38,1E+99),IF(AT38&gt;0,AT38,1E+99),IF(AV38&gt;0,AV38,1E+99),IF(AX38&gt;0,AX38,1E+99),IF(AZ38&gt;0,AZ38,1E+99)),IF(m=1E+99,"",m))</x:f>
        <x:v>0.787</x:v>
      </x:c>
      <x:c r="BC38" s="12" t="e">
        <x:f>IF(BB38="","",INDEX({"v1.4.20","v1.4.20","v1.4.21","v1.4.21","v1.4.23","v1.4.23","v1.4.26","v1.4.26","v1.4.26.1","v1.4.26.1","v1.4.27","v1.4.27","v1.4.29","v1.4.29","v1.4.30","v1.4.30","v1.4.31","v1.4.31","v1.4.33","v1.4.33","v1.4.35","v1.4.35.2","v1.5","v1.5.1","v1.5.1"},MATCH(BB38,CHOOSE({1,2,3,4,5,6,7,8,9,10,11,12,13,14,15,16,17,18,19,20,21,22,23,24,25},D38,F38,H38,J38,L38,N38,P38,R38,T38,V38,X38,Z38,AB38,AD38,AF38,AH38,AJ38,AL38,AN38,AP38,AR38,AT38,AV38,AX38,AZ38),0)))</x:f>
      </x:c>
      <x:c r="BD38" s="14" t="n">
        <x:f>LET(m,MIN(IF(E38&gt;0,E38,1E+99),IF(G38&gt;0,G38,1E+99),IF(I38&gt;0,I38,1E+99),IF(K38&gt;0,K38,1E+99),IF(M38&gt;0,M38,1E+99),IF(O38&gt;0,O38,1E+99),IF(Q38&gt;0,Q38,1E+99),IF(S38&gt;0,S38,1E+99),IF(U38&gt;0,U38,1E+99),IF(W38&gt;0,W38,1E+99),IF(Y38&gt;0,Y38,1E+99),IF(AA38&gt;0,AA38,1E+99),IF(AC38&gt;0,AC38,1E+99),IF(AE38&gt;0,AE38,1E+99),IF(AG38&gt;0,AG38,1E+99),IF(AI38&gt;0,AI38,1E+99),IF(AK38&gt;0,AK38,1E+99),IF(AM38&gt;0,AM38,1E+99),IF(AO38&gt;0,AO38,1E+99),IF(AQ38&gt;0,AQ38,1E+99),IF(AS38&gt;0,AS38,1E+99),IF(AU38&gt;0,AU38,1E+99),IF(AW38&gt;0,AW38,1E+99),IF(AY38&gt;0,AY38,1E+99),IF(BA38&gt;0,BA38,1E+99)),IF(m=1E+99,"",m))</x:f>
        <x:v>19.261</x:v>
      </x:c>
      <x:c r="BE38" s="16" t="e">
        <x:f>IF(BD38="","",INDEX({"v1.4.20","v1.4.20","v1.4.21","v1.4.21","v1.4.23","v1.4.23","v1.4.26","v1.4.26","v1.4.26.1","v1.4.26.1","v1.4.27","v1.4.27","v1.4.29","v1.4.29","v1.4.30","v1.4.30","v1.4.31","v1.4.31","v1.4.33","v1.4.33","v1.4.35","v1.4.35.2","v1.5","v1.5.1","v1.5.1"},MATCH(BD38,CHOOSE({1,2,3,4,5,6,7,8,9,10,11,12,13,14,15,16,17,18,19,20,21,22,23,24,25},E38,G38,I38,K38,M38,O38,Q38,S38,U38,W38,Y38,AA38,AC38,AE38,AG38,AI38,AK38,AM38,AO38,AQ38,AS38,AU38,AW38,AY38,BA38),0)))</x:f>
      </x:c>
      <x:c r="BF38" s="10" t="n">
        <x:f>IFERROR((AX38-BB38)/BB38,"")</x:f>
        <x:v>1.9669631512071155</x:v>
      </x:c>
      <x:c r="BG38" s="10" t="n">
        <x:f>IFERROR((AY38-BD38)/BD38,"")</x:f>
        <x:v>0.7803852344115053</x:v>
      </x:c>
    </x:row>
    <x:row r="39">
      <x:c r="A39" t="str">
        <x:v>Banner Report</x:v>
      </x:c>
      <x:c r="B39" t="str">
        <x:v>Create / Refresh All Templates</x:v>
      </x:c>
      <x:c r="C39" t="str">
        <x:v>Template signature mismatch - full build required: Template - Banner Report</x:v>
      </x:c>
      <x:c r="D39" s="8" t="n">
        <x:v>0.051</x:v>
      </x:c>
      <x:c r="E39" s="8" t="n">
        <x:v>26.18</x:v>
      </x:c>
      <x:c r="F39" s="8"/>
      <x:c r="G39" s="8"/>
      <x:c r="H39" s="8" t="n">
        <x:v>0.021</x:v>
      </x:c>
      <x:c r="I39" s="8" t="n">
        <x:v>34.676</x:v>
      </x:c>
      <x:c r="J39" s="8"/>
      <x:c r="K39" s="8"/>
      <x:c r="L39" s="8"/>
      <x:c r="M39" s="8"/>
      <x:c r="N39" s="8" t="n">
        <x:v>0.038</x:v>
      </x:c>
      <x:c r="O39" s="8" t="n">
        <x:v>31.949</x:v>
      </x:c>
      <x:c r="P39" s="8"/>
      <x:c r="Q39" s="8"/>
      <x:c r="R39" s="8" t="n">
        <x:v>0.025</x:v>
      </x:c>
      <x:c r="S39" s="8" t="n">
        <x:v>19.286</x:v>
      </x:c>
      <x:c r="T39" s="8"/>
      <x:c r="U39" s="8"/>
      <x:c r="V39" s="8" t="n">
        <x:v>0.079</x:v>
      </x:c>
      <x:c r="W39" s="8" t="n">
        <x:v>27.9</x:v>
      </x:c>
      <x:c r="X39" s="8"/>
      <x:c r="Y39" s="8"/>
      <x:c r="Z39" s="8" t="n">
        <x:v>0.055</x:v>
      </x:c>
      <x:c r="AA39" s="8" t="n">
        <x:v>36.703</x:v>
      </x:c>
      <x:c r="AB39" s="8"/>
      <x:c r="AC39" s="8"/>
      <x:c r="AD39" s="8" t="n">
        <x:v>0.036</x:v>
      </x:c>
      <x:c r="AE39" s="8" t="n">
        <x:v>33.858</x:v>
      </x:c>
      <x:c r="AF39" s="8" t="n">
        <x:v>0.042</x:v>
      </x:c>
      <x:c r="AG39" s="8" t="n">
        <x:v>38.873</x:v>
      </x:c>
      <x:c r="AH39" s="8"/>
      <x:c r="AI39" s="8"/>
      <x:c r="AJ39" s="8"/>
      <x:c r="AK39" s="8"/>
      <x:c r="AL39" s="8" t="n">
        <x:v>0.106</x:v>
      </x:c>
      <x:c r="AM39" s="8" t="n">
        <x:v>5.83</x:v>
      </x:c>
      <x:c r="AN39" s="8" t="n">
        <x:v>0.045</x:v>
      </x:c>
      <x:c r="AO39" s="8" t="n">
        <x:v>33.702</x:v>
      </x:c>
      <x:c r="AP39" s="8"/>
      <x:c r="AQ39" s="8"/>
      <x:c r="AR39" s="8" t="n">
        <x:v>0.034</x:v>
      </x:c>
      <x:c r="AS39" s="8" t="n">
        <x:v>38.039</x:v>
      </x:c>
      <x:c r="AT39" s="8" t="n">
        <x:v>0.024</x:v>
      </x:c>
      <x:c r="AU39" s="8" t="n">
        <x:v>30.102</x:v>
      </x:c>
      <x:c r="AV39" s="8" t="n">
        <x:v>0.08</x:v>
      </x:c>
      <x:c r="AW39" s="8" t="n">
        <x:v>30.684</x:v>
      </x:c>
      <x:c r="AX39" s="8" t="n">
        <x:v>0.044</x:v>
      </x:c>
      <x:c r="AY39" s="8" t="n">
        <x:v>34.336</x:v>
      </x:c>
      <x:c r="AZ39" s="8"/>
      <x:c r="BA39" s="8"/>
      <x:c r="BB39" s="8" t="n">
        <x:f>LET(m,MIN(IF(D39&gt;0,D39,1E+99),IF(F39&gt;0,F39,1E+99),IF(H39&gt;0,H39,1E+99),IF(J39&gt;0,J39,1E+99),IF(L39&gt;0,L39,1E+99),IF(N39&gt;0,N39,1E+99),IF(P39&gt;0,P39,1E+99),IF(R39&gt;0,R39,1E+99),IF(T39&gt;0,T39,1E+99),IF(V39&gt;0,V39,1E+99),IF(X39&gt;0,X39,1E+99),IF(Z39&gt;0,Z39,1E+99),IF(AB39&gt;0,AB39,1E+99),IF(AD39&gt;0,AD39,1E+99),IF(AF39&gt;0,AF39,1E+99),IF(AH39&gt;0,AH39,1E+99),IF(AJ39&gt;0,AJ39,1E+99),IF(AL39&gt;0,AL39,1E+99),IF(AN39&gt;0,AN39,1E+99),IF(AP39&gt;0,AP39,1E+99),IF(AR39&gt;0,AR39,1E+99),IF(AT39&gt;0,AT39,1E+99),IF(AV39&gt;0,AV39,1E+99),IF(AX39&gt;0,AX39,1E+99),IF(AZ39&gt;0,AZ39,1E+99)),IF(m=1E+99,"",m))</x:f>
        <x:v>0.021</x:v>
      </x:c>
      <x:c r="BC39" s="12" t="e">
        <x:f>IF(BB39="","",INDEX({"v1.4.20","v1.4.20","v1.4.21","v1.4.21","v1.4.23","v1.4.23","v1.4.26","v1.4.26","v1.4.26.1","v1.4.26.1","v1.4.27","v1.4.27","v1.4.29","v1.4.29","v1.4.30","v1.4.30","v1.4.31","v1.4.31","v1.4.33","v1.4.33","v1.4.35","v1.4.35.2","v1.5","v1.5.1","v1.5.1"},MATCH(BB39,CHOOSE({1,2,3,4,5,6,7,8,9,10,11,12,13,14,15,16,17,18,19,20,21,22,23,24,25},D39,F39,H39,J39,L39,N39,P39,R39,T39,V39,X39,Z39,AB39,AD39,AF39,AH39,AJ39,AL39,AN39,AP39,AR39,AT39,AV39,AX39,AZ39),0)))</x:f>
      </x:c>
      <x:c r="BD39" s="14" t="n">
        <x:f>LET(m,MIN(IF(E39&gt;0,E39,1E+99),IF(G39&gt;0,G39,1E+99),IF(I39&gt;0,I39,1E+99),IF(K39&gt;0,K39,1E+99),IF(M39&gt;0,M39,1E+99),IF(O39&gt;0,O39,1E+99),IF(Q39&gt;0,Q39,1E+99),IF(S39&gt;0,S39,1E+99),IF(U39&gt;0,U39,1E+99),IF(W39&gt;0,W39,1E+99),IF(Y39&gt;0,Y39,1E+99),IF(AA39&gt;0,AA39,1E+99),IF(AC39&gt;0,AC39,1E+99),IF(AE39&gt;0,AE39,1E+99),IF(AG39&gt;0,AG39,1E+99),IF(AI39&gt;0,AI39,1E+99),IF(AK39&gt;0,AK39,1E+99),IF(AM39&gt;0,AM39,1E+99),IF(AO39&gt;0,AO39,1E+99),IF(AQ39&gt;0,AQ39,1E+99),IF(AS39&gt;0,AS39,1E+99),IF(AU39&gt;0,AU39,1E+99),IF(AW39&gt;0,AW39,1E+99),IF(AY39&gt;0,AY39,1E+99),IF(BA39&gt;0,BA39,1E+99)),IF(m=1E+99,"",m))</x:f>
        <x:v>5.83</x:v>
      </x:c>
      <x:c r="BE39" s="16" t="e">
        <x:f>IF(BD39="","",INDEX({"v1.4.20","v1.4.20","v1.4.21","v1.4.21","v1.4.23","v1.4.23","v1.4.26","v1.4.26","v1.4.26.1","v1.4.26.1","v1.4.27","v1.4.27","v1.4.29","v1.4.29","v1.4.30","v1.4.30","v1.4.31","v1.4.31","v1.4.33","v1.4.33","v1.4.35","v1.4.35.2","v1.5","v1.5.1","v1.5.1"},MATCH(BD39,CHOOSE({1,2,3,4,5,6,7,8,9,10,11,12,13,14,15,16,17,18,19,20,21,22,23,24,25},E39,G39,I39,K39,M39,O39,Q39,S39,U39,W39,Y39,AA39,AC39,AE39,AG39,AI39,AK39,AM39,AO39,AQ39,AS39,AU39,AW39,AY39,BA39),0)))</x:f>
      </x:c>
      <x:c r="BF39" s="10" t="n">
        <x:f>IFERROR((AX39-BB39)/BB39,"")</x:f>
        <x:v>1.095238095238095</x:v>
      </x:c>
      <x:c r="BG39" s="10" t="n">
        <x:f>IFERROR((AY39-BD39)/BD39,"")</x:f>
        <x:v>4.8895368782161235</x:v>
      </x:c>
    </x:row>
    <x:row r="40">
      <x:c r="A40" t="str">
        <x:v>Banner Report</x:v>
      </x:c>
      <x:c r="B40" t="str">
        <x:v>Create / Refresh All Templates</x:v>
      </x:c>
      <x:c r="C40" t="str">
        <x:v>Template refresh decision: FULL_BUILD - Template - Banner Report (template sheet did not exist; no stored signature)</x:v>
      </x:c>
      <x:c r="D40" s="8" t="n">
        <x:v>0</x:v>
      </x:c>
      <x:c r="E40" s="8" t="n">
        <x:v>26.18</x:v>
      </x:c>
      <x:c r="F40" s="8"/>
      <x:c r="G40" s="8"/>
      <x:c r="H40" s="8" t="n">
        <x:v>0</x:v>
      </x:c>
      <x:c r="I40" s="8" t="n">
        <x:v>34.676</x:v>
      </x:c>
      <x:c r="J40" s="8"/>
      <x:c r="K40" s="8"/>
      <x:c r="L40" s="8"/>
      <x:c r="M40" s="8"/>
      <x:c r="N40" s="8" t="n">
        <x:v>0</x:v>
      </x:c>
      <x:c r="O40" s="8" t="n">
        <x:v>31.949</x:v>
      </x:c>
      <x:c r="P40" s="8"/>
      <x:c r="Q40" s="8"/>
      <x:c r="R40" s="8" t="n">
        <x:v>0</x:v>
      </x:c>
      <x:c r="S40" s="8" t="n">
        <x:v>19.286</x:v>
      </x:c>
      <x:c r="T40" s="8"/>
      <x:c r="U40" s="8"/>
      <x:c r="V40" s="8" t="n">
        <x:v>0</x:v>
      </x:c>
      <x:c r="W40" s="8" t="n">
        <x:v>27.9</x:v>
      </x:c>
      <x:c r="X40" s="8"/>
      <x:c r="Y40" s="8"/>
      <x:c r="Z40" s="8" t="n">
        <x:v>0</x:v>
      </x:c>
      <x:c r="AA40" s="8" t="n">
        <x:v>36.703</x:v>
      </x:c>
      <x:c r="AB40" s="8"/>
      <x:c r="AC40" s="8"/>
      <x:c r="AD40" s="8" t="n">
        <x:v>0</x:v>
      </x:c>
      <x:c r="AE40" s="8" t="n">
        <x:v>33.858</x:v>
      </x:c>
      <x:c r="AF40" s="8" t="n">
        <x:v>0</x:v>
      </x:c>
      <x:c r="AG40" s="8" t="n">
        <x:v>38.873</x:v>
      </x:c>
      <x:c r="AH40" s="8"/>
      <x:c r="AI40" s="8"/>
      <x:c r="AJ40" s="8"/>
      <x:c r="AK40" s="8"/>
      <x:c r="AL40" s="8" t="n">
        <x:v>0</x:v>
      </x:c>
      <x:c r="AM40" s="8" t="n">
        <x:v>5.83</x:v>
      </x:c>
      <x:c r="AN40" s="8" t="n">
        <x:v>0</x:v>
      </x:c>
      <x:c r="AO40" s="8" t="n">
        <x:v>33.702</x:v>
      </x:c>
      <x:c r="AP40" s="8"/>
      <x:c r="AQ40" s="8"/>
      <x:c r="AR40" s="8" t="n">
        <x:v>0</x:v>
      </x:c>
      <x:c r="AS40" s="8" t="n">
        <x:v>38.039</x:v>
      </x:c>
      <x:c r="AT40" s="8" t="n">
        <x:v>0</x:v>
      </x:c>
      <x:c r="AU40" s="8" t="n">
        <x:v>30.102</x:v>
      </x:c>
      <x:c r="AV40" s="8" t="n">
        <x:v>0</x:v>
      </x:c>
      <x:c r="AW40" s="8" t="n">
        <x:v>30.684</x:v>
      </x:c>
      <x:c r="AX40" s="8" t="n">
        <x:v>0</x:v>
      </x:c>
      <x:c r="AY40" s="8" t="n">
        <x:v>34.336</x:v>
      </x:c>
      <x:c r="AZ40" s="8"/>
      <x:c r="BA40" s="8"/>
      <x:c r="BB40" s="8" t="str">
        <x:f>LET(m,MIN(IF(D40&gt;0,D40,1E+99),IF(F40&gt;0,F40,1E+99),IF(H40&gt;0,H40,1E+99),IF(J40&gt;0,J40,1E+99),IF(L40&gt;0,L40,1E+99),IF(N40&gt;0,N40,1E+99),IF(P40&gt;0,P40,1E+99),IF(R40&gt;0,R40,1E+99),IF(T40&gt;0,T40,1E+99),IF(V40&gt;0,V40,1E+99),IF(X40&gt;0,X40,1E+99),IF(Z40&gt;0,Z40,1E+99),IF(AB40&gt;0,AB40,1E+99),IF(AD40&gt;0,AD40,1E+99),IF(AF40&gt;0,AF40,1E+99),IF(AH40&gt;0,AH40,1E+99),IF(AJ40&gt;0,AJ40,1E+99),IF(AL40&gt;0,AL40,1E+99),IF(AN40&gt;0,AN40,1E+99),IF(AP40&gt;0,AP40,1E+99),IF(AR40&gt;0,AR40,1E+99),IF(AT40&gt;0,AT40,1E+99),IF(AV40&gt;0,AV40,1E+99),IF(AX40&gt;0,AX40,1E+99),IF(AZ40&gt;0,AZ40,1E+99)),IF(m=1E+99,"",m))</x:f>
      </x:c>
      <x:c r="BC40" s="12" t="str">
        <x:f>IF(BB40="","",INDEX({"v1.4.20","v1.4.20","v1.4.21","v1.4.21","v1.4.23","v1.4.23","v1.4.26","v1.4.26","v1.4.26.1","v1.4.26.1","v1.4.27","v1.4.27","v1.4.29","v1.4.29","v1.4.30","v1.4.30","v1.4.31","v1.4.31","v1.4.33","v1.4.33","v1.4.35","v1.4.35.2","v1.5","v1.5.1","v1.5.1"},MATCH(BB40,CHOOSE({1,2,3,4,5,6,7,8,9,10,11,12,13,14,15,16,17,18,19,20,21,22,23,24,25},D40,F40,H40,J40,L40,N40,P40,R40,T40,V40,X40,Z40,AB40,AD40,AF40,AH40,AJ40,AL40,AN40,AP40,AR40,AT40,AV40,AX40,AZ40),0)))</x:f>
      </x:c>
      <x:c r="BD40" s="14" t="n">
        <x:f>LET(m,MIN(IF(E40&gt;0,E40,1E+99),IF(G40&gt;0,G40,1E+99),IF(I40&gt;0,I40,1E+99),IF(K40&gt;0,K40,1E+99),IF(M40&gt;0,M40,1E+99),IF(O40&gt;0,O40,1E+99),IF(Q40&gt;0,Q40,1E+99),IF(S40&gt;0,S40,1E+99),IF(U40&gt;0,U40,1E+99),IF(W40&gt;0,W40,1E+99),IF(Y40&gt;0,Y40,1E+99),IF(AA40&gt;0,AA40,1E+99),IF(AC40&gt;0,AC40,1E+99),IF(AE40&gt;0,AE40,1E+99),IF(AG40&gt;0,AG40,1E+99),IF(AI40&gt;0,AI40,1E+99),IF(AK40&gt;0,AK40,1E+99),IF(AM40&gt;0,AM40,1E+99),IF(AO40&gt;0,AO40,1E+99),IF(AQ40&gt;0,AQ40,1E+99),IF(AS40&gt;0,AS40,1E+99),IF(AU40&gt;0,AU40,1E+99),IF(AW40&gt;0,AW40,1E+99),IF(AY40&gt;0,AY40,1E+99),IF(BA40&gt;0,BA40,1E+99)),IF(m=1E+99,"",m))</x:f>
        <x:v>5.83</x:v>
      </x:c>
      <x:c r="BE40" s="16" t="e">
        <x:f>IF(BD40="","",INDEX({"v1.4.20","v1.4.20","v1.4.21","v1.4.21","v1.4.23","v1.4.23","v1.4.26","v1.4.26","v1.4.26.1","v1.4.26.1","v1.4.27","v1.4.27","v1.4.29","v1.4.29","v1.4.30","v1.4.30","v1.4.31","v1.4.31","v1.4.33","v1.4.33","v1.4.35","v1.4.35.2","v1.5","v1.5.1","v1.5.1"},MATCH(BD40,CHOOSE({1,2,3,4,5,6,7,8,9,10,11,12,13,14,15,16,17,18,19,20,21,22,23,24,25},E40,G40,I40,K40,M40,O40,Q40,S40,U40,W40,Y40,AA40,AC40,AE40,AG40,AI40,AK40,AM40,AO40,AQ40,AS40,AU40,AW40,AY40,BA40),0)))</x:f>
      </x:c>
      <x:c r="BF40" s="10" t="str">
        <x:f>IFERROR((AX40-BB40)/BB40,"")</x:f>
      </x:c>
      <x:c r="BG40" s="10" t="n">
        <x:f>IFERROR((AY40-BD40)/BD40,"")</x:f>
        <x:v>4.8895368782161235</x:v>
      </x:c>
    </x:row>
    <x:row r="41">
      <x:c r="A41" t="str">
        <x:v>Banner Report</x:v>
      </x:c>
      <x:c r="B41" t="str">
        <x:v>Create / Refresh All Templates</x:v>
      </x:c>
      <x:c r="C41" t="str">
        <x:v>Full template build required: Template - Banner Report</x:v>
      </x:c>
      <x:c r="D41" s="8" t="n">
        <x:v>0</x:v>
      </x:c>
      <x:c r="E41" s="8" t="n">
        <x:v>26.18</x:v>
      </x:c>
      <x:c r="F41" s="8"/>
      <x:c r="G41" s="8"/>
      <x:c r="H41" s="8" t="n">
        <x:v>0</x:v>
      </x:c>
      <x:c r="I41" s="8" t="n">
        <x:v>34.676</x:v>
      </x:c>
      <x:c r="J41" s="8"/>
      <x:c r="K41" s="8"/>
      <x:c r="L41" s="8"/>
      <x:c r="M41" s="8"/>
      <x:c r="N41" s="8" t="n">
        <x:v>0</x:v>
      </x:c>
      <x:c r="O41" s="8" t="n">
        <x:v>31.949</x:v>
      </x:c>
      <x:c r="P41" s="8"/>
      <x:c r="Q41" s="8"/>
      <x:c r="R41" s="8" t="n">
        <x:v>0</x:v>
      </x:c>
      <x:c r="S41" s="8" t="n">
        <x:v>19.286</x:v>
      </x:c>
      <x:c r="T41" s="8"/>
      <x:c r="U41" s="8"/>
      <x:c r="V41" s="8" t="n">
        <x:v>0</x:v>
      </x:c>
      <x:c r="W41" s="8" t="n">
        <x:v>27.9</x:v>
      </x:c>
      <x:c r="X41" s="8"/>
      <x:c r="Y41" s="8"/>
      <x:c r="Z41" s="8" t="n">
        <x:v>0</x:v>
      </x:c>
      <x:c r="AA41" s="8" t="n">
        <x:v>36.703</x:v>
      </x:c>
      <x:c r="AB41" s="8"/>
      <x:c r="AC41" s="8"/>
      <x:c r="AD41" s="8" t="n">
        <x:v>0</x:v>
      </x:c>
      <x:c r="AE41" s="8" t="n">
        <x:v>33.858</x:v>
      </x:c>
      <x:c r="AF41" s="8" t="n">
        <x:v>0</x:v>
      </x:c>
      <x:c r="AG41" s="8" t="n">
        <x:v>38.873</x:v>
      </x:c>
      <x:c r="AH41" s="8"/>
      <x:c r="AI41" s="8"/>
      <x:c r="AJ41" s="8"/>
      <x:c r="AK41" s="8"/>
      <x:c r="AL41" s="8" t="n">
        <x:v>0</x:v>
      </x:c>
      <x:c r="AM41" s="8" t="n">
        <x:v>5.83</x:v>
      </x:c>
      <x:c r="AN41" s="8" t="n">
        <x:v>0</x:v>
      </x:c>
      <x:c r="AO41" s="8" t="n">
        <x:v>33.702</x:v>
      </x:c>
      <x:c r="AP41" s="8"/>
      <x:c r="AQ41" s="8"/>
      <x:c r="AR41" s="8" t="n">
        <x:v>0</x:v>
      </x:c>
      <x:c r="AS41" s="8" t="n">
        <x:v>38.039</x:v>
      </x:c>
      <x:c r="AT41" s="8" t="n">
        <x:v>0</x:v>
      </x:c>
      <x:c r="AU41" s="8" t="n">
        <x:v>30.102</x:v>
      </x:c>
      <x:c r="AV41" s="8" t="n">
        <x:v>0</x:v>
      </x:c>
      <x:c r="AW41" s="8" t="n">
        <x:v>30.684</x:v>
      </x:c>
      <x:c r="AX41" s="8" t="n">
        <x:v>0</x:v>
      </x:c>
      <x:c r="AY41" s="8" t="n">
        <x:v>34.336</x:v>
      </x:c>
      <x:c r="AZ41" s="8"/>
      <x:c r="BA41" s="8"/>
      <x:c r="BB41" s="8" t="str">
        <x:f>LET(m,MIN(IF(D41&gt;0,D41,1E+99),IF(F41&gt;0,F41,1E+99),IF(H41&gt;0,H41,1E+99),IF(J41&gt;0,J41,1E+99),IF(L41&gt;0,L41,1E+99),IF(N41&gt;0,N41,1E+99),IF(P41&gt;0,P41,1E+99),IF(R41&gt;0,R41,1E+99),IF(T41&gt;0,T41,1E+99),IF(V41&gt;0,V41,1E+99),IF(X41&gt;0,X41,1E+99),IF(Z41&gt;0,Z41,1E+99),IF(AB41&gt;0,AB41,1E+99),IF(AD41&gt;0,AD41,1E+99),IF(AF41&gt;0,AF41,1E+99),IF(AH41&gt;0,AH41,1E+99),IF(AJ41&gt;0,AJ41,1E+99),IF(AL41&gt;0,AL41,1E+99),IF(AN41&gt;0,AN41,1E+99),IF(AP41&gt;0,AP41,1E+99),IF(AR41&gt;0,AR41,1E+99),IF(AT41&gt;0,AT41,1E+99),IF(AV41&gt;0,AV41,1E+99),IF(AX41&gt;0,AX41,1E+99),IF(AZ41&gt;0,AZ41,1E+99)),IF(m=1E+99,"",m))</x:f>
      </x:c>
      <x:c r="BC41" s="12" t="str">
        <x:f>IF(BB41="","",INDEX({"v1.4.20","v1.4.20","v1.4.21","v1.4.21","v1.4.23","v1.4.23","v1.4.26","v1.4.26","v1.4.26.1","v1.4.26.1","v1.4.27","v1.4.27","v1.4.29","v1.4.29","v1.4.30","v1.4.30","v1.4.31","v1.4.31","v1.4.33","v1.4.33","v1.4.35","v1.4.35.2","v1.5","v1.5.1","v1.5.1"},MATCH(BB41,CHOOSE({1,2,3,4,5,6,7,8,9,10,11,12,13,14,15,16,17,18,19,20,21,22,23,24,25},D41,F41,H41,J41,L41,N41,P41,R41,T41,V41,X41,Z41,AB41,AD41,AF41,AH41,AJ41,AL41,AN41,AP41,AR41,AT41,AV41,AX41,AZ41),0)))</x:f>
      </x:c>
      <x:c r="BD41" s="14" t="n">
        <x:f>LET(m,MIN(IF(E41&gt;0,E41,1E+99),IF(G41&gt;0,G41,1E+99),IF(I41&gt;0,I41,1E+99),IF(K41&gt;0,K41,1E+99),IF(M41&gt;0,M41,1E+99),IF(O41&gt;0,O41,1E+99),IF(Q41&gt;0,Q41,1E+99),IF(S41&gt;0,S41,1E+99),IF(U41&gt;0,U41,1E+99),IF(W41&gt;0,W41,1E+99),IF(Y41&gt;0,Y41,1E+99),IF(AA41&gt;0,AA41,1E+99),IF(AC41&gt;0,AC41,1E+99),IF(AE41&gt;0,AE41,1E+99),IF(AG41&gt;0,AG41,1E+99),IF(AI41&gt;0,AI41,1E+99),IF(AK41&gt;0,AK41,1E+99),IF(AM41&gt;0,AM41,1E+99),IF(AO41&gt;0,AO41,1E+99),IF(AQ41&gt;0,AQ41,1E+99),IF(AS41&gt;0,AS41,1E+99),IF(AU41&gt;0,AU41,1E+99),IF(AW41&gt;0,AW41,1E+99),IF(AY41&gt;0,AY41,1E+99),IF(BA41&gt;0,BA41,1E+99)),IF(m=1E+99,"",m))</x:f>
        <x:v>5.83</x:v>
      </x:c>
      <x:c r="BE41" s="16" t="e">
        <x:f>IF(BD41="","",INDEX({"v1.4.20","v1.4.20","v1.4.21","v1.4.21","v1.4.23","v1.4.23","v1.4.26","v1.4.26","v1.4.26.1","v1.4.26.1","v1.4.27","v1.4.27","v1.4.29","v1.4.29","v1.4.30","v1.4.30","v1.4.31","v1.4.31","v1.4.33","v1.4.33","v1.4.35","v1.4.35.2","v1.5","v1.5.1","v1.5.1"},MATCH(BD41,CHOOSE({1,2,3,4,5,6,7,8,9,10,11,12,13,14,15,16,17,18,19,20,21,22,23,24,25},E41,G41,I41,K41,M41,O41,Q41,S41,U41,W41,Y41,AA41,AC41,AE41,AG41,AI41,AK41,AM41,AO41,AQ41,AS41,AU41,AW41,AY41,BA41),0)))</x:f>
      </x:c>
      <x:c r="BF41" s="10" t="str">
        <x:f>IFERROR((AX41-BB41)/BB41,"")</x:f>
      </x:c>
      <x:c r="BG41" s="10" t="n">
        <x:f>IFERROR((AY41-BD41)/BD41,"")</x:f>
        <x:v>4.8895368782161235</x:v>
      </x:c>
    </x:row>
    <x:row r="42">
      <x:c r="A42" t="str">
        <x:v>Banner Report</x:v>
      </x:c>
      <x:c r="B42" t="str">
        <x:v>Create / Refresh All Templates</x:v>
      </x:c>
      <x:c r="C42" t="str">
        <x:v>Create template fast path - clear skipped for blank sheet: Template - Banner Report</x:v>
      </x:c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 t="n">
        <x:v>0</x:v>
      </x:c>
      <x:c r="W42" s="8" t="n">
        <x:v>27.9</x:v>
      </x:c>
      <x:c r="X42" s="8"/>
      <x:c r="Y42" s="8"/>
      <x:c r="Z42" s="8"/>
      <x:c r="AA42" s="8"/>
      <x:c r="AB42" s="8"/>
      <x:c r="AC42" s="8"/>
      <x:c r="AD42" s="8" t="n">
        <x:v>0</x:v>
      </x:c>
      <x:c r="AE42" s="8" t="n">
        <x:v>33.858</x:v>
      </x:c>
      <x:c r="AF42" s="8" t="n">
        <x:v>0</x:v>
      </x:c>
      <x:c r="AG42" s="8" t="n">
        <x:v>38.873</x:v>
      </x:c>
      <x:c r="AH42" s="8"/>
      <x:c r="AI42" s="8"/>
      <x:c r="AJ42" s="8"/>
      <x:c r="AK42" s="8"/>
      <x:c r="AL42" s="8" t="n">
        <x:v>0</x:v>
      </x:c>
      <x:c r="AM42" s="8" t="n">
        <x:v>5.83</x:v>
      </x:c>
      <x:c r="AN42" s="8" t="n">
        <x:v>0</x:v>
      </x:c>
      <x:c r="AO42" s="8" t="n">
        <x:v>33.702</x:v>
      </x:c>
      <x:c r="AP42" s="8"/>
      <x:c r="AQ42" s="8"/>
      <x:c r="AR42" s="8"/>
      <x:c r="AS42" s="8"/>
      <x:c r="AT42" s="8"/>
      <x:c r="AU42" s="8"/>
      <x:c r="AV42" s="8" t="n">
        <x:v>9.65</x:v>
      </x:c>
      <x:c r="AW42" s="8" t="n">
        <x:v>40.334</x:v>
      </x:c>
      <x:c r="AX42" s="8" t="n">
        <x:v>8.815</x:v>
      </x:c>
      <x:c r="AY42" s="8" t="n">
        <x:v>43.151</x:v>
      </x:c>
      <x:c r="AZ42" s="8"/>
      <x:c r="BA42" s="8"/>
      <x:c r="BB42" s="8" t="n">
        <x:f>LET(m,MIN(IF(D42&gt;0,D42,1E+99),IF(F42&gt;0,F42,1E+99),IF(H42&gt;0,H42,1E+99),IF(J42&gt;0,J42,1E+99),IF(L42&gt;0,L42,1E+99),IF(N42&gt;0,N42,1E+99),IF(P42&gt;0,P42,1E+99),IF(R42&gt;0,R42,1E+99),IF(T42&gt;0,T42,1E+99),IF(V42&gt;0,V42,1E+99),IF(X42&gt;0,X42,1E+99),IF(Z42&gt;0,Z42,1E+99),IF(AB42&gt;0,AB42,1E+99),IF(AD42&gt;0,AD42,1E+99),IF(AF42&gt;0,AF42,1E+99),IF(AH42&gt;0,AH42,1E+99),IF(AJ42&gt;0,AJ42,1E+99),IF(AL42&gt;0,AL42,1E+99),IF(AN42&gt;0,AN42,1E+99),IF(AP42&gt;0,AP42,1E+99),IF(AR42&gt;0,AR42,1E+99),IF(AT42&gt;0,AT42,1E+99),IF(AV42&gt;0,AV42,1E+99),IF(AX42&gt;0,AX42,1E+99),IF(AZ42&gt;0,AZ42,1E+99)),IF(m=1E+99,"",m))</x:f>
        <x:v>8.815</x:v>
      </x:c>
      <x:c r="BC42" s="12" t="e">
        <x:f>IF(BB42="","",INDEX({"v1.4.20","v1.4.20","v1.4.21","v1.4.21","v1.4.23","v1.4.23","v1.4.26","v1.4.26","v1.4.26.1","v1.4.26.1","v1.4.27","v1.4.27","v1.4.29","v1.4.29","v1.4.30","v1.4.30","v1.4.31","v1.4.31","v1.4.33","v1.4.33","v1.4.35","v1.4.35.2","v1.5","v1.5.1","v1.5.1"},MATCH(BB42,CHOOSE({1,2,3,4,5,6,7,8,9,10,11,12,13,14,15,16,17,18,19,20,21,22,23,24,25},D42,F42,H42,J42,L42,N42,P42,R42,T42,V42,X42,Z42,AB42,AD42,AF42,AH42,AJ42,AL42,AN42,AP42,AR42,AT42,AV42,AX42,AZ42),0)))</x:f>
      </x:c>
      <x:c r="BD42" s="14" t="n">
        <x:f>LET(m,MIN(IF(E42&gt;0,E42,1E+99),IF(G42&gt;0,G42,1E+99),IF(I42&gt;0,I42,1E+99),IF(K42&gt;0,K42,1E+99),IF(M42&gt;0,M42,1E+99),IF(O42&gt;0,O42,1E+99),IF(Q42&gt;0,Q42,1E+99),IF(S42&gt;0,S42,1E+99),IF(U42&gt;0,U42,1E+99),IF(W42&gt;0,W42,1E+99),IF(Y42&gt;0,Y42,1E+99),IF(AA42&gt;0,AA42,1E+99),IF(AC42&gt;0,AC42,1E+99),IF(AE42&gt;0,AE42,1E+99),IF(AG42&gt;0,AG42,1E+99),IF(AI42&gt;0,AI42,1E+99),IF(AK42&gt;0,AK42,1E+99),IF(AM42&gt;0,AM42,1E+99),IF(AO42&gt;0,AO42,1E+99),IF(AQ42&gt;0,AQ42,1E+99),IF(AS42&gt;0,AS42,1E+99),IF(AU42&gt;0,AU42,1E+99),IF(AW42&gt;0,AW42,1E+99),IF(AY42&gt;0,AY42,1E+99),IF(BA42&gt;0,BA42,1E+99)),IF(m=1E+99,"",m))</x:f>
        <x:v>5.83</x:v>
      </x:c>
      <x:c r="BE42" s="16" t="e">
        <x:f>IF(BD42="","",INDEX({"v1.4.20","v1.4.20","v1.4.21","v1.4.21","v1.4.23","v1.4.23","v1.4.26","v1.4.26","v1.4.26.1","v1.4.26.1","v1.4.27","v1.4.27","v1.4.29","v1.4.29","v1.4.30","v1.4.30","v1.4.31","v1.4.31","v1.4.33","v1.4.33","v1.4.35","v1.4.35.2","v1.5","v1.5.1","v1.5.1"},MATCH(BD42,CHOOSE({1,2,3,4,5,6,7,8,9,10,11,12,13,14,15,16,17,18,19,20,21,22,23,24,25},E42,G42,I42,K42,M42,O42,Q42,S42,U42,W42,Y42,AA42,AC42,AE42,AG42,AI42,AK42,AM42,AO42,AQ42,AS42,AU42,AW42,AY42,BA42),0)))</x:f>
      </x:c>
      <x:c r="BF42" s="10" t="n">
        <x:f>IFERROR((AX42-BB42)/BB42,"")</x:f>
        <x:v>0</x:v>
      </x:c>
      <x:c r="BG42" s="10" t="n">
        <x:f>IFERROR((AY42-BD42)/BD42,"")</x:f>
        <x:v>6.401543739279589</x:v>
      </x:c>
    </x:row>
    <x:row r="43">
      <x:c r="A43" t="str">
        <x:v>Banner Report</x:v>
      </x:c>
      <x:c r="B43" t="str">
        <x:v>Create / Refresh All Templates</x:v>
      </x:c>
      <x:c r="C43" t="str">
        <x:v>Resize sheet: Template - Banner Report (500 rows x 9 cols)</x:v>
      </x:c>
      <x:c r="D43" s="8" t="n">
        <x:v>0.949</x:v>
      </x:c>
      <x:c r="E43" s="8" t="n">
        <x:v>33.287</x:v>
      </x:c>
      <x:c r="F43" s="8"/>
      <x:c r="G43" s="8"/>
      <x:c r="H43" s="8" t="n">
        <x:v>2.174</x:v>
      </x:c>
      <x:c r="I43" s="8" t="n">
        <x:v>45.973</x:v>
      </x:c>
      <x:c r="J43" s="8"/>
      <x:c r="K43" s="8"/>
      <x:c r="L43" s="8"/>
      <x:c r="M43" s="8"/>
      <x:c r="N43" s="8" t="n">
        <x:v>8.807</x:v>
      </x:c>
      <x:c r="O43" s="8" t="n">
        <x:v>40.756</x:v>
      </x:c>
      <x:c r="P43" s="8"/>
      <x:c r="Q43" s="8"/>
      <x:c r="R43" s="8" t="n">
        <x:v>0.797</x:v>
      </x:c>
      <x:c r="S43" s="8" t="n">
        <x:v>25.165</x:v>
      </x:c>
      <x:c r="T43" s="8"/>
      <x:c r="U43" s="8"/>
      <x:c r="V43" s="8"/>
      <x:c r="W43" s="8"/>
      <x:c r="X43" s="8"/>
      <x:c r="Y43" s="8"/>
      <x:c r="Z43" s="8" t="n">
        <x:v>1.482</x:v>
      </x:c>
      <x:c r="AA43" s="8" t="n">
        <x:v>47.159</x:v>
      </x:c>
      <x:c r="AB43" s="8"/>
      <x:c r="AC43" s="8"/>
      <x:c r="AD43" s="8" t="n">
        <x:v>12.2</x:v>
      </x:c>
      <x:c r="AE43" s="8" t="n">
        <x:v>46.058</x:v>
      </x:c>
      <x:c r="AF43" s="8"/>
      <x:c r="AG43" s="8"/>
      <x:c r="AH43" s="8"/>
      <x:c r="AI43" s="8"/>
      <x:c r="AJ43" s="8"/>
      <x:c r="AK43" s="8"/>
      <x:c r="AL43" s="8"/>
      <x:c r="AM43" s="8"/>
      <x:c r="AN43" s="8"/>
      <x:c r="AO43" s="8"/>
      <x:c r="AP43" s="8"/>
      <x:c r="AQ43" s="8"/>
      <x:c r="AR43" s="8" t="n">
        <x:v>2.208</x:v>
      </x:c>
      <x:c r="AS43" s="8" t="n">
        <x:v>51.342</x:v>
      </x:c>
      <x:c r="AT43" s="8" t="n">
        <x:v>0.959</x:v>
      </x:c>
      <x:c r="AU43" s="8" t="n">
        <x:v>37.983</x:v>
      </x:c>
      <x:c r="AV43" s="8" t="n">
        <x:v>0.826</x:v>
      </x:c>
      <x:c r="AW43" s="8" t="n">
        <x:v>41.16</x:v>
      </x:c>
      <x:c r="AX43" s="8" t="n">
        <x:v>0.837</x:v>
      </x:c>
      <x:c r="AY43" s="8" t="n">
        <x:v>43.988</x:v>
      </x:c>
      <x:c r="AZ43" s="8"/>
      <x:c r="BA43" s="8"/>
      <x:c r="BB43" s="8" t="n">
        <x:f>LET(m,MIN(IF(D43&gt;0,D43,1E+99),IF(F43&gt;0,F43,1E+99),IF(H43&gt;0,H43,1E+99),IF(J43&gt;0,J43,1E+99),IF(L43&gt;0,L43,1E+99),IF(N43&gt;0,N43,1E+99),IF(P43&gt;0,P43,1E+99),IF(R43&gt;0,R43,1E+99),IF(T43&gt;0,T43,1E+99),IF(V43&gt;0,V43,1E+99),IF(X43&gt;0,X43,1E+99),IF(Z43&gt;0,Z43,1E+99),IF(AB43&gt;0,AB43,1E+99),IF(AD43&gt;0,AD43,1E+99),IF(AF43&gt;0,AF43,1E+99),IF(AH43&gt;0,AH43,1E+99),IF(AJ43&gt;0,AJ43,1E+99),IF(AL43&gt;0,AL43,1E+99),IF(AN43&gt;0,AN43,1E+99),IF(AP43&gt;0,AP43,1E+99),IF(AR43&gt;0,AR43,1E+99),IF(AT43&gt;0,AT43,1E+99),IF(AV43&gt;0,AV43,1E+99),IF(AX43&gt;0,AX43,1E+99),IF(AZ43&gt;0,AZ43,1E+99)),IF(m=1E+99,"",m))</x:f>
        <x:v>0.797</x:v>
      </x:c>
      <x:c r="BC43" s="12" t="e">
        <x:f>IF(BB43="","",INDEX({"v1.4.20","v1.4.20","v1.4.21","v1.4.21","v1.4.23","v1.4.23","v1.4.26","v1.4.26","v1.4.26.1","v1.4.26.1","v1.4.27","v1.4.27","v1.4.29","v1.4.29","v1.4.30","v1.4.30","v1.4.31","v1.4.31","v1.4.33","v1.4.33","v1.4.35","v1.4.35.2","v1.5","v1.5.1","v1.5.1"},MATCH(BB43,CHOOSE({1,2,3,4,5,6,7,8,9,10,11,12,13,14,15,16,17,18,19,20,21,22,23,24,25},D43,F43,H43,J43,L43,N43,P43,R43,T43,V43,X43,Z43,AB43,AD43,AF43,AH43,AJ43,AL43,AN43,AP43,AR43,AT43,AV43,AX43,AZ43),0)))</x:f>
      </x:c>
      <x:c r="BD43" s="14" t="n">
        <x:f>LET(m,MIN(IF(E43&gt;0,E43,1E+99),IF(G43&gt;0,G43,1E+99),IF(I43&gt;0,I43,1E+99),IF(K43&gt;0,K43,1E+99),IF(M43&gt;0,M43,1E+99),IF(O43&gt;0,O43,1E+99),IF(Q43&gt;0,Q43,1E+99),IF(S43&gt;0,S43,1E+99),IF(U43&gt;0,U43,1E+99),IF(W43&gt;0,W43,1E+99),IF(Y43&gt;0,Y43,1E+99),IF(AA43&gt;0,AA43,1E+99),IF(AC43&gt;0,AC43,1E+99),IF(AE43&gt;0,AE43,1E+99),IF(AG43&gt;0,AG43,1E+99),IF(AI43&gt;0,AI43,1E+99),IF(AK43&gt;0,AK43,1E+99),IF(AM43&gt;0,AM43,1E+99),IF(AO43&gt;0,AO43,1E+99),IF(AQ43&gt;0,AQ43,1E+99),IF(AS43&gt;0,AS43,1E+99),IF(AU43&gt;0,AU43,1E+99),IF(AW43&gt;0,AW43,1E+99),IF(AY43&gt;0,AY43,1E+99),IF(BA43&gt;0,BA43,1E+99)),IF(m=1E+99,"",m))</x:f>
        <x:v>25.165</x:v>
      </x:c>
      <x:c r="BE43" s="16" t="e">
        <x:f>IF(BD43="","",INDEX({"v1.4.20","v1.4.20","v1.4.21","v1.4.21","v1.4.23","v1.4.23","v1.4.26","v1.4.26","v1.4.26.1","v1.4.26.1","v1.4.27","v1.4.27","v1.4.29","v1.4.29","v1.4.30","v1.4.30","v1.4.31","v1.4.31","v1.4.33","v1.4.33","v1.4.35","v1.4.35.2","v1.5","v1.5.1","v1.5.1"},MATCH(BD43,CHOOSE({1,2,3,4,5,6,7,8,9,10,11,12,13,14,15,16,17,18,19,20,21,22,23,24,25},E43,G43,I43,K43,M43,O43,Q43,S43,U43,W43,Y43,AA43,AC43,AE43,AG43,AI43,AK43,AM43,AO43,AQ43,AS43,AU43,AW43,AY43,BA43),0)))</x:f>
      </x:c>
      <x:c r="BF43" s="10" t="n">
        <x:f>IFERROR((AX43-BB43)/BB43,"")</x:f>
        <x:v>0.05018820577164357</x:v>
      </x:c>
      <x:c r="BG43" s="10" t="n">
        <x:f>IFERROR((AY43-BD43)/BD43,"")</x:f>
        <x:v>0.7479833101529904</x:v>
      </x:c>
    </x:row>
    <x:row r="44">
      <x:c r="A44" t="str">
        <x:v>Banner Report</x:v>
      </x:c>
      <x:c r="B44" t="str">
        <x:v>Create / Refresh All Templates</x:v>
      </x:c>
      <x:c r="C44" t="str">
        <x:v>Apply title rows: Template - Banner Report</x:v>
      </x:c>
      <x:c r="D44" s="8" t="n">
        <x:v>0.392</x:v>
      </x:c>
      <x:c r="E44" s="8" t="n">
        <x:v>33.679</x:v>
      </x:c>
      <x:c r="F44" s="8"/>
      <x:c r="G44" s="8"/>
      <x:c r="H44" s="8" t="n">
        <x:v>0.599</x:v>
      </x:c>
      <x:c r="I44" s="8" t="n">
        <x:v>46.572</x:v>
      </x:c>
      <x:c r="J44" s="8"/>
      <x:c r="K44" s="8"/>
      <x:c r="L44" s="8"/>
      <x:c r="M44" s="8"/>
      <x:c r="N44" s="8" t="n">
        <x:v>0.568</x:v>
      </x:c>
      <x:c r="O44" s="8" t="n">
        <x:v>41.324</x:v>
      </x:c>
      <x:c r="P44" s="8"/>
      <x:c r="Q44" s="8"/>
      <x:c r="R44" s="8" t="n">
        <x:v>0.458</x:v>
      </x:c>
      <x:c r="S44" s="8" t="n">
        <x:v>25.623</x:v>
      </x:c>
      <x:c r="T44" s="8"/>
      <x:c r="U44" s="8"/>
      <x:c r="V44" s="8" t="n">
        <x:v>0.488</x:v>
      </x:c>
      <x:c r="W44" s="8" t="n">
        <x:v>36.535</x:v>
      </x:c>
      <x:c r="X44" s="8"/>
      <x:c r="Y44" s="8"/>
      <x:c r="Z44" s="8" t="n">
        <x:v>0.889</x:v>
      </x:c>
      <x:c r="AA44" s="8" t="n">
        <x:v>48.048</x:v>
      </x:c>
      <x:c r="AB44" s="8"/>
      <x:c r="AC44" s="8"/>
      <x:c r="AD44" s="8" t="n">
        <x:v>0.542</x:v>
      </x:c>
      <x:c r="AE44" s="8" t="n">
        <x:v>46.6</x:v>
      </x:c>
      <x:c r="AF44" s="8" t="n">
        <x:v>0.722</x:v>
      </x:c>
      <x:c r="AG44" s="8" t="n">
        <x:v>52.429</x:v>
      </x:c>
      <x:c r="AH44" s="8"/>
      <x:c r="AI44" s="8"/>
      <x:c r="AJ44" s="8"/>
      <x:c r="AK44" s="8"/>
      <x:c r="AL44" s="8" t="n">
        <x:v>0.309</x:v>
      </x:c>
      <x:c r="AM44" s="8" t="n">
        <x:v>6.697</x:v>
      </x:c>
      <x:c r="AN44" s="8" t="n">
        <x:v>0.531</x:v>
      </x:c>
      <x:c r="AO44" s="8" t="n">
        <x:v>40.97</x:v>
      </x:c>
      <x:c r="AP44" s="8"/>
      <x:c r="AQ44" s="8"/>
      <x:c r="AR44" s="8" t="n">
        <x:v>0.714</x:v>
      </x:c>
      <x:c r="AS44" s="8" t="n">
        <x:v>52.056</x:v>
      </x:c>
      <x:c r="AT44" s="8" t="n">
        <x:v>0.523</x:v>
      </x:c>
      <x:c r="AU44" s="8" t="n">
        <x:v>38.506</x:v>
      </x:c>
      <x:c r="AV44" s="8" t="n">
        <x:v>0.653</x:v>
      </x:c>
      <x:c r="AW44" s="8" t="n">
        <x:v>41.813</x:v>
      </x:c>
      <x:c r="AX44" s="8" t="n">
        <x:v>0.701</x:v>
      </x:c>
      <x:c r="AY44" s="8" t="n">
        <x:v>44.689</x:v>
      </x:c>
      <x:c r="AZ44" s="8"/>
      <x:c r="BA44" s="8"/>
      <x:c r="BB44" s="8" t="n">
        <x:f>LET(m,MIN(IF(D44&gt;0,D44,1E+99),IF(F44&gt;0,F44,1E+99),IF(H44&gt;0,H44,1E+99),IF(J44&gt;0,J44,1E+99),IF(L44&gt;0,L44,1E+99),IF(N44&gt;0,N44,1E+99),IF(P44&gt;0,P44,1E+99),IF(R44&gt;0,R44,1E+99),IF(T44&gt;0,T44,1E+99),IF(V44&gt;0,V44,1E+99),IF(X44&gt;0,X44,1E+99),IF(Z44&gt;0,Z44,1E+99),IF(AB44&gt;0,AB44,1E+99),IF(AD44&gt;0,AD44,1E+99),IF(AF44&gt;0,AF44,1E+99),IF(AH44&gt;0,AH44,1E+99),IF(AJ44&gt;0,AJ44,1E+99),IF(AL44&gt;0,AL44,1E+99),IF(AN44&gt;0,AN44,1E+99),IF(AP44&gt;0,AP44,1E+99),IF(AR44&gt;0,AR44,1E+99),IF(AT44&gt;0,AT44,1E+99),IF(AV44&gt;0,AV44,1E+99),IF(AX44&gt;0,AX44,1E+99),IF(AZ44&gt;0,AZ44,1E+99)),IF(m=1E+99,"",m))</x:f>
        <x:v>0.309</x:v>
      </x:c>
      <x:c r="BC44" s="12" t="e">
        <x:f>IF(BB44="","",INDEX({"v1.4.20","v1.4.20","v1.4.21","v1.4.21","v1.4.23","v1.4.23","v1.4.26","v1.4.26","v1.4.26.1","v1.4.26.1","v1.4.27","v1.4.27","v1.4.29","v1.4.29","v1.4.30","v1.4.30","v1.4.31","v1.4.31","v1.4.33","v1.4.33","v1.4.35","v1.4.35.2","v1.5","v1.5.1","v1.5.1"},MATCH(BB44,CHOOSE({1,2,3,4,5,6,7,8,9,10,11,12,13,14,15,16,17,18,19,20,21,22,23,24,25},D44,F44,H44,J44,L44,N44,P44,R44,T44,V44,X44,Z44,AB44,AD44,AF44,AH44,AJ44,AL44,AN44,AP44,AR44,AT44,AV44,AX44,AZ44),0)))</x:f>
      </x:c>
      <x:c r="BD44" s="14" t="n">
        <x:f>LET(m,MIN(IF(E44&gt;0,E44,1E+99),IF(G44&gt;0,G44,1E+99),IF(I44&gt;0,I44,1E+99),IF(K44&gt;0,K44,1E+99),IF(M44&gt;0,M44,1E+99),IF(O44&gt;0,O44,1E+99),IF(Q44&gt;0,Q44,1E+99),IF(S44&gt;0,S44,1E+99),IF(U44&gt;0,U44,1E+99),IF(W44&gt;0,W44,1E+99),IF(Y44&gt;0,Y44,1E+99),IF(AA44&gt;0,AA44,1E+99),IF(AC44&gt;0,AC44,1E+99),IF(AE44&gt;0,AE44,1E+99),IF(AG44&gt;0,AG44,1E+99),IF(AI44&gt;0,AI44,1E+99),IF(AK44&gt;0,AK44,1E+99),IF(AM44&gt;0,AM44,1E+99),IF(AO44&gt;0,AO44,1E+99),IF(AQ44&gt;0,AQ44,1E+99),IF(AS44&gt;0,AS44,1E+99),IF(AU44&gt;0,AU44,1E+99),IF(AW44&gt;0,AW44,1E+99),IF(AY44&gt;0,AY44,1E+99),IF(BA44&gt;0,BA44,1E+99)),IF(m=1E+99,"",m))</x:f>
        <x:v>6.697</x:v>
      </x:c>
      <x:c r="BE44" s="16" t="e">
        <x:f>IF(BD44="","",INDEX({"v1.4.20","v1.4.20","v1.4.21","v1.4.21","v1.4.23","v1.4.23","v1.4.26","v1.4.26","v1.4.26.1","v1.4.26.1","v1.4.27","v1.4.27","v1.4.29","v1.4.29","v1.4.30","v1.4.30","v1.4.31","v1.4.31","v1.4.33","v1.4.33","v1.4.35","v1.4.35.2","v1.5","v1.5.1","v1.5.1"},MATCH(BD44,CHOOSE({1,2,3,4,5,6,7,8,9,10,11,12,13,14,15,16,17,18,19,20,21,22,23,24,25},E44,G44,I44,K44,M44,O44,Q44,S44,U44,W44,Y44,AA44,AC44,AE44,AG44,AI44,AK44,AM44,AO44,AQ44,AS44,AU44,AW44,AY44,BA44),0)))</x:f>
      </x:c>
      <x:c r="BF44" s="10" t="n">
        <x:f>IFERROR((AX44-BB44)/BB44,"")</x:f>
        <x:v>1.268608414239482</x:v>
      </x:c>
      <x:c r="BG44" s="10" t="n">
        <x:f>IFERROR((AY44-BD44)/BD44,"")</x:f>
        <x:v>5.6729879050321035</x:v>
      </x:c>
    </x:row>
    <x:row r="45">
      <x:c r="A45" t="str">
        <x:v>Banner Report</x:v>
      </x:c>
      <x:c r="B45" t="str">
        <x:v>Create / Refresh All Templates</x:v>
      </x:c>
      <x:c r="C45" t="str">
        <x:v>Apply header row: Template - Banner Report</x:v>
      </x:c>
      <x:c r="D45" s="8" t="n">
        <x:v>0.038</x:v>
      </x:c>
      <x:c r="E45" s="8" t="n">
        <x:v>33.717</x:v>
      </x:c>
      <x:c r="F45" s="8"/>
      <x:c r="G45" s="8"/>
      <x:c r="H45" s="8" t="n">
        <x:v>0.052</x:v>
      </x:c>
      <x:c r="I45" s="8" t="n">
        <x:v>46.624</x:v>
      </x:c>
      <x:c r="J45" s="8"/>
      <x:c r="K45" s="8"/>
      <x:c r="L45" s="8"/>
      <x:c r="M45" s="8"/>
      <x:c r="N45" s="8" t="n">
        <x:v>0.052</x:v>
      </x:c>
      <x:c r="O45" s="8" t="n">
        <x:v>41.376</x:v>
      </x:c>
      <x:c r="P45" s="8"/>
      <x:c r="Q45" s="8"/>
      <x:c r="R45" s="8" t="n">
        <x:v>0.096</x:v>
      </x:c>
      <x:c r="S45" s="8" t="n">
        <x:v>25.719</x:v>
      </x:c>
      <x:c r="T45" s="8"/>
      <x:c r="U45" s="8"/>
      <x:c r="V45" s="8" t="n">
        <x:v>0.052</x:v>
      </x:c>
      <x:c r="W45" s="8" t="n">
        <x:v>36.587</x:v>
      </x:c>
      <x:c r="X45" s="8"/>
      <x:c r="Y45" s="8"/>
      <x:c r="Z45" s="8" t="n">
        <x:v>0.044</x:v>
      </x:c>
      <x:c r="AA45" s="8" t="n">
        <x:v>48.092</x:v>
      </x:c>
      <x:c r="AB45" s="8"/>
      <x:c r="AC45" s="8"/>
      <x:c r="AD45" s="8" t="n">
        <x:v>0.045</x:v>
      </x:c>
      <x:c r="AE45" s="8" t="n">
        <x:v>46.645</x:v>
      </x:c>
      <x:c r="AF45" s="8" t="n">
        <x:v>0.08</x:v>
      </x:c>
      <x:c r="AG45" s="8" t="n">
        <x:v>52.509</x:v>
      </x:c>
      <x:c r="AH45" s="8"/>
      <x:c r="AI45" s="8"/>
      <x:c r="AJ45" s="8"/>
      <x:c r="AK45" s="8"/>
      <x:c r="AL45" s="8" t="n">
        <x:v>0.07</x:v>
      </x:c>
      <x:c r="AM45" s="8" t="n">
        <x:v>6.767</x:v>
      </x:c>
      <x:c r="AN45" s="8" t="n">
        <x:v>0.042</x:v>
      </x:c>
      <x:c r="AO45" s="8" t="n">
        <x:v>41.012</x:v>
      </x:c>
      <x:c r="AP45" s="8"/>
      <x:c r="AQ45" s="8"/>
      <x:c r="AR45" s="8" t="n">
        <x:v>0.127</x:v>
      </x:c>
      <x:c r="AS45" s="8" t="n">
        <x:v>52.183</x:v>
      </x:c>
      <x:c r="AT45" s="8" t="n">
        <x:v>0.084</x:v>
      </x:c>
      <x:c r="AU45" s="8" t="n">
        <x:v>38.59</x:v>
      </x:c>
      <x:c r="AV45" s="8" t="n">
        <x:v>0.034</x:v>
      </x:c>
      <x:c r="AW45" s="8" t="n">
        <x:v>41.847</x:v>
      </x:c>
      <x:c r="AX45" s="8" t="n">
        <x:v>0.058</x:v>
      </x:c>
      <x:c r="AY45" s="8" t="n">
        <x:v>44.747</x:v>
      </x:c>
      <x:c r="AZ45" s="8"/>
      <x:c r="BA45" s="8"/>
      <x:c r="BB45" s="8" t="n">
        <x:f>LET(m,MIN(IF(D45&gt;0,D45,1E+99),IF(F45&gt;0,F45,1E+99),IF(H45&gt;0,H45,1E+99),IF(J45&gt;0,J45,1E+99),IF(L45&gt;0,L45,1E+99),IF(N45&gt;0,N45,1E+99),IF(P45&gt;0,P45,1E+99),IF(R45&gt;0,R45,1E+99),IF(T45&gt;0,T45,1E+99),IF(V45&gt;0,V45,1E+99),IF(X45&gt;0,X45,1E+99),IF(Z45&gt;0,Z45,1E+99),IF(AB45&gt;0,AB45,1E+99),IF(AD45&gt;0,AD45,1E+99),IF(AF45&gt;0,AF45,1E+99),IF(AH45&gt;0,AH45,1E+99),IF(AJ45&gt;0,AJ45,1E+99),IF(AL45&gt;0,AL45,1E+99),IF(AN45&gt;0,AN45,1E+99),IF(AP45&gt;0,AP45,1E+99),IF(AR45&gt;0,AR45,1E+99),IF(AT45&gt;0,AT45,1E+99),IF(AV45&gt;0,AV45,1E+99),IF(AX45&gt;0,AX45,1E+99),IF(AZ45&gt;0,AZ45,1E+99)),IF(m=1E+99,"",m))</x:f>
        <x:v>0.034</x:v>
      </x:c>
      <x:c r="BC45" s="12" t="e">
        <x:f>IF(BB45="","",INDEX({"v1.4.20","v1.4.20","v1.4.21","v1.4.21","v1.4.23","v1.4.23","v1.4.26","v1.4.26","v1.4.26.1","v1.4.26.1","v1.4.27","v1.4.27","v1.4.29","v1.4.29","v1.4.30","v1.4.30","v1.4.31","v1.4.31","v1.4.33","v1.4.33","v1.4.35","v1.4.35.2","v1.5","v1.5.1","v1.5.1"},MATCH(BB45,CHOOSE({1,2,3,4,5,6,7,8,9,10,11,12,13,14,15,16,17,18,19,20,21,22,23,24,25},D45,F45,H45,J45,L45,N45,P45,R45,T45,V45,X45,Z45,AB45,AD45,AF45,AH45,AJ45,AL45,AN45,AP45,AR45,AT45,AV45,AX45,AZ45),0)))</x:f>
      </x:c>
      <x:c r="BD45" s="14" t="n">
        <x:f>LET(m,MIN(IF(E45&gt;0,E45,1E+99),IF(G45&gt;0,G45,1E+99),IF(I45&gt;0,I45,1E+99),IF(K45&gt;0,K45,1E+99),IF(M45&gt;0,M45,1E+99),IF(O45&gt;0,O45,1E+99),IF(Q45&gt;0,Q45,1E+99),IF(S45&gt;0,S45,1E+99),IF(U45&gt;0,U45,1E+99),IF(W45&gt;0,W45,1E+99),IF(Y45&gt;0,Y45,1E+99),IF(AA45&gt;0,AA45,1E+99),IF(AC45&gt;0,AC45,1E+99),IF(AE45&gt;0,AE45,1E+99),IF(AG45&gt;0,AG45,1E+99),IF(AI45&gt;0,AI45,1E+99),IF(AK45&gt;0,AK45,1E+99),IF(AM45&gt;0,AM45,1E+99),IF(AO45&gt;0,AO45,1E+99),IF(AQ45&gt;0,AQ45,1E+99),IF(AS45&gt;0,AS45,1E+99),IF(AU45&gt;0,AU45,1E+99),IF(AW45&gt;0,AW45,1E+99),IF(AY45&gt;0,AY45,1E+99),IF(BA45&gt;0,BA45,1E+99)),IF(m=1E+99,"",m))</x:f>
        <x:v>6.767</x:v>
      </x:c>
      <x:c r="BE45" s="16" t="e">
        <x:f>IF(BD45="","",INDEX({"v1.4.20","v1.4.20","v1.4.21","v1.4.21","v1.4.23","v1.4.23","v1.4.26","v1.4.26","v1.4.26.1","v1.4.26.1","v1.4.27","v1.4.27","v1.4.29","v1.4.29","v1.4.30","v1.4.30","v1.4.31","v1.4.31","v1.4.33","v1.4.33","v1.4.35","v1.4.35.2","v1.5","v1.5.1","v1.5.1"},MATCH(BD45,CHOOSE({1,2,3,4,5,6,7,8,9,10,11,12,13,14,15,16,17,18,19,20,21,22,23,24,25},E45,G45,I45,K45,M45,O45,Q45,S45,U45,W45,Y45,AA45,AC45,AE45,AG45,AI45,AK45,AM45,AO45,AQ45,AS45,AU45,AW45,AY45,BA45),0)))</x:f>
      </x:c>
      <x:c r="BF45" s="10" t="n">
        <x:f>IFERROR((AX45-BB45)/BB45,"")</x:f>
        <x:v>0.7058823529411764</x:v>
      </x:c>
      <x:c r="BG45" s="10" t="n">
        <x:f>IFERROR((AY45-BD45)/BD45,"")</x:f>
        <x:v>5.61253140239397</x:v>
      </x:c>
    </x:row>
    <x:row r="46">
      <x:c r="A46" t="str">
        <x:v>Banner Report</x:v>
      </x:c>
      <x:c r="B46" t="str">
        <x:v>Create / Refresh All Templates</x:v>
      </x:c>
      <x:c r="C46" t="str">
        <x:v>Apply alternating color rules: Template - Banner Report</x:v>
      </x:c>
      <x:c r="D46" s="8" t="n">
        <x:v>1.327</x:v>
      </x:c>
      <x:c r="E46" s="8" t="n">
        <x:v>35.044</x:v>
      </x:c>
      <x:c r="F46" s="8"/>
      <x:c r="G46" s="8"/>
      <x:c r="H46" s="8" t="n">
        <x:v>2.197</x:v>
      </x:c>
      <x:c r="I46" s="8" t="n">
        <x:v>48.821</x:v>
      </x:c>
      <x:c r="J46" s="8"/>
      <x:c r="K46" s="8"/>
      <x:c r="L46" s="8"/>
      <x:c r="M46" s="8"/>
      <x:c r="N46" s="8" t="n">
        <x:v>1.708</x:v>
      </x:c>
      <x:c r="O46" s="8" t="n">
        <x:v>43.084</x:v>
      </x:c>
      <x:c r="P46" s="8"/>
      <x:c r="Q46" s="8"/>
      <x:c r="R46" s="8" t="n">
        <x:v>1.536</x:v>
      </x:c>
      <x:c r="S46" s="8" t="n">
        <x:v>27.255</x:v>
      </x:c>
      <x:c r="T46" s="8"/>
      <x:c r="U46" s="8"/>
      <x:c r="V46" s="8" t="n">
        <x:v>1.507</x:v>
      </x:c>
      <x:c r="W46" s="8" t="n">
        <x:v>38.094</x:v>
      </x:c>
      <x:c r="X46" s="8"/>
      <x:c r="Y46" s="8"/>
      <x:c r="Z46" s="8" t="n">
        <x:v>2.035</x:v>
      </x:c>
      <x:c r="AA46" s="8" t="n">
        <x:v>50.127</x:v>
      </x:c>
      <x:c r="AB46" s="8"/>
      <x:c r="AC46" s="8"/>
      <x:c r="AD46" s="8" t="n">
        <x:v>2.298</x:v>
      </x:c>
      <x:c r="AE46" s="8" t="n">
        <x:v>48.943</x:v>
      </x:c>
      <x:c r="AF46" s="8" t="n">
        <x:v>2.205</x:v>
      </x:c>
      <x:c r="AG46" s="8" t="n">
        <x:v>54.714</x:v>
      </x:c>
      <x:c r="AH46" s="8"/>
      <x:c r="AI46" s="8"/>
      <x:c r="AJ46" s="8"/>
      <x:c r="AK46" s="8"/>
      <x:c r="AL46" s="8" t="n">
        <x:v>1.002</x:v>
      </x:c>
      <x:c r="AM46" s="8" t="n">
        <x:v>7.769</x:v>
      </x:c>
      <x:c r="AN46" s="8" t="n">
        <x:v>1.683</x:v>
      </x:c>
      <x:c r="AO46" s="8" t="n">
        <x:v>42.695</x:v>
      </x:c>
      <x:c r="AP46" s="8"/>
      <x:c r="AQ46" s="8"/>
      <x:c r="AR46" s="8" t="n">
        <x:v>2.173</x:v>
      </x:c>
      <x:c r="AS46" s="8" t="n">
        <x:v>54.356</x:v>
      </x:c>
      <x:c r="AT46" s="8" t="n">
        <x:v>1.555</x:v>
      </x:c>
      <x:c r="AU46" s="8" t="n">
        <x:v>40.145</x:v>
      </x:c>
      <x:c r="AV46" s="8" t="n">
        <x:v>1.862</x:v>
      </x:c>
      <x:c r="AW46" s="8" t="n">
        <x:v>43.709</x:v>
      </x:c>
      <x:c r="AX46" s="8" t="n">
        <x:v>1.974</x:v>
      </x:c>
      <x:c r="AY46" s="8" t="n">
        <x:v>46.721</x:v>
      </x:c>
      <x:c r="AZ46" s="8"/>
      <x:c r="BA46" s="8"/>
      <x:c r="BB46" s="8" t="n">
        <x:f>LET(m,MIN(IF(D46&gt;0,D46,1E+99),IF(F46&gt;0,F46,1E+99),IF(H46&gt;0,H46,1E+99),IF(J46&gt;0,J46,1E+99),IF(L46&gt;0,L46,1E+99),IF(N46&gt;0,N46,1E+99),IF(P46&gt;0,P46,1E+99),IF(R46&gt;0,R46,1E+99),IF(T46&gt;0,T46,1E+99),IF(V46&gt;0,V46,1E+99),IF(X46&gt;0,X46,1E+99),IF(Z46&gt;0,Z46,1E+99),IF(AB46&gt;0,AB46,1E+99),IF(AD46&gt;0,AD46,1E+99),IF(AF46&gt;0,AF46,1E+99),IF(AH46&gt;0,AH46,1E+99),IF(AJ46&gt;0,AJ46,1E+99),IF(AL46&gt;0,AL46,1E+99),IF(AN46&gt;0,AN46,1E+99),IF(AP46&gt;0,AP46,1E+99),IF(AR46&gt;0,AR46,1E+99),IF(AT46&gt;0,AT46,1E+99),IF(AV46&gt;0,AV46,1E+99),IF(AX46&gt;0,AX46,1E+99),IF(AZ46&gt;0,AZ46,1E+99)),IF(m=1E+99,"",m))</x:f>
        <x:v>1.002</x:v>
      </x:c>
      <x:c r="BC46" s="12" t="e">
        <x:f>IF(BB46="","",INDEX({"v1.4.20","v1.4.20","v1.4.21","v1.4.21","v1.4.23","v1.4.23","v1.4.26","v1.4.26","v1.4.26.1","v1.4.26.1","v1.4.27","v1.4.27","v1.4.29","v1.4.29","v1.4.30","v1.4.30","v1.4.31","v1.4.31","v1.4.33","v1.4.33","v1.4.35","v1.4.35.2","v1.5","v1.5.1","v1.5.1"},MATCH(BB46,CHOOSE({1,2,3,4,5,6,7,8,9,10,11,12,13,14,15,16,17,18,19,20,21,22,23,24,25},D46,F46,H46,J46,L46,N46,P46,R46,T46,V46,X46,Z46,AB46,AD46,AF46,AH46,AJ46,AL46,AN46,AP46,AR46,AT46,AV46,AX46,AZ46),0)))</x:f>
      </x:c>
      <x:c r="BD46" s="14" t="n">
        <x:f>LET(m,MIN(IF(E46&gt;0,E46,1E+99),IF(G46&gt;0,G46,1E+99),IF(I46&gt;0,I46,1E+99),IF(K46&gt;0,K46,1E+99),IF(M46&gt;0,M46,1E+99),IF(O46&gt;0,O46,1E+99),IF(Q46&gt;0,Q46,1E+99),IF(S46&gt;0,S46,1E+99),IF(U46&gt;0,U46,1E+99),IF(W46&gt;0,W46,1E+99),IF(Y46&gt;0,Y46,1E+99),IF(AA46&gt;0,AA46,1E+99),IF(AC46&gt;0,AC46,1E+99),IF(AE46&gt;0,AE46,1E+99),IF(AG46&gt;0,AG46,1E+99),IF(AI46&gt;0,AI46,1E+99),IF(AK46&gt;0,AK46,1E+99),IF(AM46&gt;0,AM46,1E+99),IF(AO46&gt;0,AO46,1E+99),IF(AQ46&gt;0,AQ46,1E+99),IF(AS46&gt;0,AS46,1E+99),IF(AU46&gt;0,AU46,1E+99),IF(AW46&gt;0,AW46,1E+99),IF(AY46&gt;0,AY46,1E+99),IF(BA46&gt;0,BA46,1E+99)),IF(m=1E+99,"",m))</x:f>
        <x:v>7.769</x:v>
      </x:c>
      <x:c r="BE46" s="16" t="e">
        <x:f>IF(BD46="","",INDEX({"v1.4.20","v1.4.20","v1.4.21","v1.4.21","v1.4.23","v1.4.23","v1.4.26","v1.4.26","v1.4.26.1","v1.4.26.1","v1.4.27","v1.4.27","v1.4.29","v1.4.29","v1.4.30","v1.4.30","v1.4.31","v1.4.31","v1.4.33","v1.4.33","v1.4.35","v1.4.35.2","v1.5","v1.5.1","v1.5.1"},MATCH(BD46,CHOOSE({1,2,3,4,5,6,7,8,9,10,11,12,13,14,15,16,17,18,19,20,21,22,23,24,25},E46,G46,I46,K46,M46,O46,Q46,S46,U46,W46,Y46,AA46,AC46,AE46,AG46,AI46,AK46,AM46,AO46,AQ46,AS46,AU46,AW46,AY46,BA46),0)))</x:f>
      </x:c>
      <x:c r="BF46" s="10" t="n">
        <x:f>IFERROR((AX46-BB46)/BB46,"")</x:f>
        <x:v>0.9700598802395209</x:v>
      </x:c>
      <x:c r="BG46" s="10" t="n">
        <x:f>IFERROR((AY46-BD46)/BD46,"")</x:f>
        <x:v>5.013772686317415</x:v>
      </x:c>
    </x:row>
    <x:row r="47">
      <x:c r="A47" t="str">
        <x:v>Banner Report</x:v>
      </x:c>
      <x:c r="B47" t="str">
        <x:v>Create / Refresh All Templates</x:v>
      </x:c>
      <x:c r="C47" t="str">
        <x:v>Apply data row base style: Template - Banner Report</x:v>
      </x:c>
      <x:c r="D47" s="8" t="n">
        <x:v>0</x:v>
      </x:c>
      <x:c r="E47" s="8" t="n">
        <x:v>35.044</x:v>
      </x:c>
      <x:c r="F47" s="8"/>
      <x:c r="G47" s="8"/>
      <x:c r="H47" s="8" t="n">
        <x:v>0</x:v>
      </x:c>
      <x:c r="I47" s="8" t="n">
        <x:v>48.821</x:v>
      </x:c>
      <x:c r="J47" s="8"/>
      <x:c r="K47" s="8"/>
      <x:c r="L47" s="8"/>
      <x:c r="M47" s="8"/>
      <x:c r="N47" s="8" t="n">
        <x:v>0</x:v>
      </x:c>
      <x:c r="O47" s="8" t="n">
        <x:v>43.084</x:v>
      </x:c>
      <x:c r="P47" s="8"/>
      <x:c r="Q47" s="8"/>
      <x:c r="R47" s="8" t="n">
        <x:v>0</x:v>
      </x:c>
      <x:c r="S47" s="8" t="n">
        <x:v>27.255</x:v>
      </x:c>
      <x:c r="T47" s="8"/>
      <x:c r="U47" s="8"/>
      <x:c r="V47" s="8" t="n">
        <x:v>0</x:v>
      </x:c>
      <x:c r="W47" s="8" t="n">
        <x:v>38.094</x:v>
      </x:c>
      <x:c r="X47" s="8"/>
      <x:c r="Y47" s="8"/>
      <x:c r="Z47" s="8" t="n">
        <x:v>0</x:v>
      </x:c>
      <x:c r="AA47" s="8" t="n">
        <x:v>50.127</x:v>
      </x:c>
      <x:c r="AB47" s="8"/>
      <x:c r="AC47" s="8"/>
      <x:c r="AD47" s="8" t="n">
        <x:v>0</x:v>
      </x:c>
      <x:c r="AE47" s="8" t="n">
        <x:v>48.943</x:v>
      </x:c>
      <x:c r="AF47" s="8" t="n">
        <x:v>0</x:v>
      </x:c>
      <x:c r="AG47" s="8" t="n">
        <x:v>54.714</x:v>
      </x:c>
      <x:c r="AH47" s="8"/>
      <x:c r="AI47" s="8"/>
      <x:c r="AJ47" s="8"/>
      <x:c r="AK47" s="8"/>
      <x:c r="AL47" s="8" t="n">
        <x:v>0</x:v>
      </x:c>
      <x:c r="AM47" s="8" t="n">
        <x:v>7.769</x:v>
      </x:c>
      <x:c r="AN47" s="8" t="n">
        <x:v>0</x:v>
      </x:c>
      <x:c r="AO47" s="8" t="n">
        <x:v>42.695</x:v>
      </x:c>
      <x:c r="AP47" s="8"/>
      <x:c r="AQ47" s="8"/>
      <x:c r="AR47" s="8" t="n">
        <x:v>0</x:v>
      </x:c>
      <x:c r="AS47" s="8" t="n">
        <x:v>54.356</x:v>
      </x:c>
      <x:c r="AT47" s="8" t="n">
        <x:v>0</x:v>
      </x:c>
      <x:c r="AU47" s="8" t="n">
        <x:v>40.145</x:v>
      </x:c>
      <x:c r="AV47" s="8" t="n">
        <x:v>0</x:v>
      </x:c>
      <x:c r="AW47" s="8" t="n">
        <x:v>43.709</x:v>
      </x:c>
      <x:c r="AX47" s="8" t="n">
        <x:v>0</x:v>
      </x:c>
      <x:c r="AY47" s="8" t="n">
        <x:v>46.721</x:v>
      </x:c>
      <x:c r="AZ47" s="8"/>
      <x:c r="BA47" s="8"/>
      <x:c r="BB47" s="8" t="str">
        <x:f>LET(m,MIN(IF(D47&gt;0,D47,1E+99),IF(F47&gt;0,F47,1E+99),IF(H47&gt;0,H47,1E+99),IF(J47&gt;0,J47,1E+99),IF(L47&gt;0,L47,1E+99),IF(N47&gt;0,N47,1E+99),IF(P47&gt;0,P47,1E+99),IF(R47&gt;0,R47,1E+99),IF(T47&gt;0,T47,1E+99),IF(V47&gt;0,V47,1E+99),IF(X47&gt;0,X47,1E+99),IF(Z47&gt;0,Z47,1E+99),IF(AB47&gt;0,AB47,1E+99),IF(AD47&gt;0,AD47,1E+99),IF(AF47&gt;0,AF47,1E+99),IF(AH47&gt;0,AH47,1E+99),IF(AJ47&gt;0,AJ47,1E+99),IF(AL47&gt;0,AL47,1E+99),IF(AN47&gt;0,AN47,1E+99),IF(AP47&gt;0,AP47,1E+99),IF(AR47&gt;0,AR47,1E+99),IF(AT47&gt;0,AT47,1E+99),IF(AV47&gt;0,AV47,1E+99),IF(AX47&gt;0,AX47,1E+99),IF(AZ47&gt;0,AZ47,1E+99)),IF(m=1E+99,"",m))</x:f>
      </x:c>
      <x:c r="BC47" s="12" t="str">
        <x:f>IF(BB47="","",INDEX({"v1.4.20","v1.4.20","v1.4.21","v1.4.21","v1.4.23","v1.4.23","v1.4.26","v1.4.26","v1.4.26.1","v1.4.26.1","v1.4.27","v1.4.27","v1.4.29","v1.4.29","v1.4.30","v1.4.30","v1.4.31","v1.4.31","v1.4.33","v1.4.33","v1.4.35","v1.4.35.2","v1.5","v1.5.1","v1.5.1"},MATCH(BB47,CHOOSE({1,2,3,4,5,6,7,8,9,10,11,12,13,14,15,16,17,18,19,20,21,22,23,24,25},D47,F47,H47,J47,L47,N47,P47,R47,T47,V47,X47,Z47,AB47,AD47,AF47,AH47,AJ47,AL47,AN47,AP47,AR47,AT47,AV47,AX47,AZ47),0)))</x:f>
      </x:c>
      <x:c r="BD47" s="14" t="n">
        <x:f>LET(m,MIN(IF(E47&gt;0,E47,1E+99),IF(G47&gt;0,G47,1E+99),IF(I47&gt;0,I47,1E+99),IF(K47&gt;0,K47,1E+99),IF(M47&gt;0,M47,1E+99),IF(O47&gt;0,O47,1E+99),IF(Q47&gt;0,Q47,1E+99),IF(S47&gt;0,S47,1E+99),IF(U47&gt;0,U47,1E+99),IF(W47&gt;0,W47,1E+99),IF(Y47&gt;0,Y47,1E+99),IF(AA47&gt;0,AA47,1E+99),IF(AC47&gt;0,AC47,1E+99),IF(AE47&gt;0,AE47,1E+99),IF(AG47&gt;0,AG47,1E+99),IF(AI47&gt;0,AI47,1E+99),IF(AK47&gt;0,AK47,1E+99),IF(AM47&gt;0,AM47,1E+99),IF(AO47&gt;0,AO47,1E+99),IF(AQ47&gt;0,AQ47,1E+99),IF(AS47&gt;0,AS47,1E+99),IF(AU47&gt;0,AU47,1E+99),IF(AW47&gt;0,AW47,1E+99),IF(AY47&gt;0,AY47,1E+99),IF(BA47&gt;0,BA47,1E+99)),IF(m=1E+99,"",m))</x:f>
        <x:v>7.769</x:v>
      </x:c>
      <x:c r="BE47" s="16" t="e">
        <x:f>IF(BD47="","",INDEX({"v1.4.20","v1.4.20","v1.4.21","v1.4.21","v1.4.23","v1.4.23","v1.4.26","v1.4.26","v1.4.26.1","v1.4.26.1","v1.4.27","v1.4.27","v1.4.29","v1.4.29","v1.4.30","v1.4.30","v1.4.31","v1.4.31","v1.4.33","v1.4.33","v1.4.35","v1.4.35.2","v1.5","v1.5.1","v1.5.1"},MATCH(BD47,CHOOSE({1,2,3,4,5,6,7,8,9,10,11,12,13,14,15,16,17,18,19,20,21,22,23,24,25},E47,G47,I47,K47,M47,O47,Q47,S47,U47,W47,Y47,AA47,AC47,AE47,AG47,AI47,AK47,AM47,AO47,AQ47,AS47,AU47,AW47,AY47,BA47),0)))</x:f>
      </x:c>
      <x:c r="BF47" s="10" t="str">
        <x:f>IFERROR((AX47-BB47)/BB47,"")</x:f>
      </x:c>
      <x:c r="BG47" s="10" t="n">
        <x:f>IFERROR((AY47-BD47)/BD47,"")</x:f>
        <x:v>5.013772686317415</x:v>
      </x:c>
    </x:row>
    <x:row r="48">
      <x:c r="A48" t="str">
        <x:v>Banner Report</x:v>
      </x:c>
      <x:c r="B48" t="str">
        <x:v>Create / Refresh All Templates</x:v>
      </x:c>
      <x:c r="C48" t="str">
        <x:v>Apply column widths: Template - Banner Report</x:v>
      </x:c>
      <x:c r="D48" s="8" t="n">
        <x:v>0.341</x:v>
      </x:c>
      <x:c r="E48" s="8" t="n">
        <x:v>35.385</x:v>
      </x:c>
      <x:c r="F48" s="8"/>
      <x:c r="G48" s="8"/>
      <x:c r="H48" s="8" t="n">
        <x:v>0.782</x:v>
      </x:c>
      <x:c r="I48" s="8" t="n">
        <x:v>49.603</x:v>
      </x:c>
      <x:c r="J48" s="8"/>
      <x:c r="K48" s="8"/>
      <x:c r="L48" s="8"/>
      <x:c r="M48" s="8"/>
      <x:c r="N48" s="8" t="n">
        <x:v>0.495</x:v>
      </x:c>
      <x:c r="O48" s="8" t="n">
        <x:v>43.579</x:v>
      </x:c>
      <x:c r="P48" s="8"/>
      <x:c r="Q48" s="8"/>
      <x:c r="R48" s="8" t="n">
        <x:v>0.101</x:v>
      </x:c>
      <x:c r="S48" s="8" t="n">
        <x:v>27.356</x:v>
      </x:c>
      <x:c r="T48" s="8"/>
      <x:c r="U48" s="8"/>
      <x:c r="V48" s="8" t="n">
        <x:v>0.429</x:v>
      </x:c>
      <x:c r="W48" s="8" t="n">
        <x:v>38.523</x:v>
      </x:c>
      <x:c r="X48" s="8"/>
      <x:c r="Y48" s="8"/>
      <x:c r="Z48" s="8" t="n">
        <x:v>0.585</x:v>
      </x:c>
      <x:c r="AA48" s="8" t="n">
        <x:v>50.712</x:v>
      </x:c>
      <x:c r="AB48" s="8"/>
      <x:c r="AC48" s="8"/>
      <x:c r="AD48" s="8" t="n">
        <x:v>0.57</x:v>
      </x:c>
      <x:c r="AE48" s="8" t="n">
        <x:v>49.513</x:v>
      </x:c>
      <x:c r="AF48" s="8" t="n">
        <x:v>0.688</x:v>
      </x:c>
      <x:c r="AG48" s="8" t="n">
        <x:v>55.402</x:v>
      </x:c>
      <x:c r="AH48" s="8"/>
      <x:c r="AI48" s="8"/>
      <x:c r="AJ48" s="8"/>
      <x:c r="AK48" s="8"/>
      <x:c r="AL48" s="8" t="n">
        <x:v>0.256</x:v>
      </x:c>
      <x:c r="AM48" s="8" t="n">
        <x:v>8.025</x:v>
      </x:c>
      <x:c r="AN48" s="8" t="n">
        <x:v>0.413</x:v>
      </x:c>
      <x:c r="AO48" s="8" t="n">
        <x:v>43.108</x:v>
      </x:c>
      <x:c r="AP48" s="8"/>
      <x:c r="AQ48" s="8"/>
      <x:c r="AR48" s="8" t="n">
        <x:v>0.704</x:v>
      </x:c>
      <x:c r="AS48" s="8" t="n">
        <x:v>55.06</x:v>
      </x:c>
      <x:c r="AT48" s="8" t="n">
        <x:v>0.418</x:v>
      </x:c>
      <x:c r="AU48" s="8" t="n">
        <x:v>40.563</x:v>
      </x:c>
      <x:c r="AV48" s="8" t="n">
        <x:v>0.562</x:v>
      </x:c>
      <x:c r="AW48" s="8" t="n">
        <x:v>44.271</x:v>
      </x:c>
      <x:c r="AX48" s="8" t="n">
        <x:v>0.607</x:v>
      </x:c>
      <x:c r="AY48" s="8" t="n">
        <x:v>47.328</x:v>
      </x:c>
      <x:c r="AZ48" s="8"/>
      <x:c r="BA48" s="8"/>
      <x:c r="BB48" s="8" t="n">
        <x:f>LET(m,MIN(IF(D48&gt;0,D48,1E+99),IF(F48&gt;0,F48,1E+99),IF(H48&gt;0,H48,1E+99),IF(J48&gt;0,J48,1E+99),IF(L48&gt;0,L48,1E+99),IF(N48&gt;0,N48,1E+99),IF(P48&gt;0,P48,1E+99),IF(R48&gt;0,R48,1E+99),IF(T48&gt;0,T48,1E+99),IF(V48&gt;0,V48,1E+99),IF(X48&gt;0,X48,1E+99),IF(Z48&gt;0,Z48,1E+99),IF(AB48&gt;0,AB48,1E+99),IF(AD48&gt;0,AD48,1E+99),IF(AF48&gt;0,AF48,1E+99),IF(AH48&gt;0,AH48,1E+99),IF(AJ48&gt;0,AJ48,1E+99),IF(AL48&gt;0,AL48,1E+99),IF(AN48&gt;0,AN48,1E+99),IF(AP48&gt;0,AP48,1E+99),IF(AR48&gt;0,AR48,1E+99),IF(AT48&gt;0,AT48,1E+99),IF(AV48&gt;0,AV48,1E+99),IF(AX48&gt;0,AX48,1E+99),IF(AZ48&gt;0,AZ48,1E+99)),IF(m=1E+99,"",m))</x:f>
        <x:v>0.101</x:v>
      </x:c>
      <x:c r="BC48" s="12" t="e">
        <x:f>IF(BB48="","",INDEX({"v1.4.20","v1.4.20","v1.4.21","v1.4.21","v1.4.23","v1.4.23","v1.4.26","v1.4.26","v1.4.26.1","v1.4.26.1","v1.4.27","v1.4.27","v1.4.29","v1.4.29","v1.4.30","v1.4.30","v1.4.31","v1.4.31","v1.4.33","v1.4.33","v1.4.35","v1.4.35.2","v1.5","v1.5.1","v1.5.1"},MATCH(BB48,CHOOSE({1,2,3,4,5,6,7,8,9,10,11,12,13,14,15,16,17,18,19,20,21,22,23,24,25},D48,F48,H48,J48,L48,N48,P48,R48,T48,V48,X48,Z48,AB48,AD48,AF48,AH48,AJ48,AL48,AN48,AP48,AR48,AT48,AV48,AX48,AZ48),0)))</x:f>
      </x:c>
      <x:c r="BD48" s="14" t="n">
        <x:f>LET(m,MIN(IF(E48&gt;0,E48,1E+99),IF(G48&gt;0,G48,1E+99),IF(I48&gt;0,I48,1E+99),IF(K48&gt;0,K48,1E+99),IF(M48&gt;0,M48,1E+99),IF(O48&gt;0,O48,1E+99),IF(Q48&gt;0,Q48,1E+99),IF(S48&gt;0,S48,1E+99),IF(U48&gt;0,U48,1E+99),IF(W48&gt;0,W48,1E+99),IF(Y48&gt;0,Y48,1E+99),IF(AA48&gt;0,AA48,1E+99),IF(AC48&gt;0,AC48,1E+99),IF(AE48&gt;0,AE48,1E+99),IF(AG48&gt;0,AG48,1E+99),IF(AI48&gt;0,AI48,1E+99),IF(AK48&gt;0,AK48,1E+99),IF(AM48&gt;0,AM48,1E+99),IF(AO48&gt;0,AO48,1E+99),IF(AQ48&gt;0,AQ48,1E+99),IF(AS48&gt;0,AS48,1E+99),IF(AU48&gt;0,AU48,1E+99),IF(AW48&gt;0,AW48,1E+99),IF(AY48&gt;0,AY48,1E+99),IF(BA48&gt;0,BA48,1E+99)),IF(m=1E+99,"",m))</x:f>
        <x:v>8.025</x:v>
      </x:c>
      <x:c r="BE48" s="16" t="e">
        <x:f>IF(BD48="","",INDEX({"v1.4.20","v1.4.20","v1.4.21","v1.4.21","v1.4.23","v1.4.23","v1.4.26","v1.4.26","v1.4.26.1","v1.4.26.1","v1.4.27","v1.4.27","v1.4.29","v1.4.29","v1.4.30","v1.4.30","v1.4.31","v1.4.31","v1.4.33","v1.4.33","v1.4.35","v1.4.35.2","v1.5","v1.5.1","v1.5.1"},MATCH(BD48,CHOOSE({1,2,3,4,5,6,7,8,9,10,11,12,13,14,15,16,17,18,19,20,21,22,23,24,25},E48,G48,I48,K48,M48,O48,Q48,S48,U48,W48,Y48,AA48,AC48,AE48,AG48,AI48,AK48,AM48,AO48,AQ48,AS48,AU48,AW48,AY48,BA48),0)))</x:f>
      </x:c>
      <x:c r="BF48" s="10" t="n">
        <x:f>IFERROR((AX48-BB48)/BB48,"")</x:f>
        <x:v>5.00990099009901</x:v>
      </x:c>
      <x:c r="BG48" s="10" t="n">
        <x:f>IFERROR((AY48-BD48)/BD48,"")</x:f>
        <x:v>4.8975700934579445</x:v>
      </x:c>
    </x:row>
    <x:row r="49">
      <x:c r="A49" t="str">
        <x:v>Banner Report</x:v>
      </x:c>
      <x:c r="B49" t="str">
        <x:v>Create / Refresh All Templates</x:v>
      </x:c>
      <x:c r="C49" t="str">
        <x:v>Apply date/number formats: Template - Banner Report</x:v>
      </x:c>
      <x:c r="D49" s="8" t="n">
        <x:v>0</x:v>
      </x:c>
      <x:c r="E49" s="8" t="n">
        <x:v>35.385</x:v>
      </x:c>
      <x:c r="F49" s="8"/>
      <x:c r="G49" s="8"/>
      <x:c r="H49" s="8" t="n">
        <x:v>0</x:v>
      </x:c>
      <x:c r="I49" s="8" t="n">
        <x:v>49.603</x:v>
      </x:c>
      <x:c r="J49" s="8"/>
      <x:c r="K49" s="8"/>
      <x:c r="L49" s="8"/>
      <x:c r="M49" s="8"/>
      <x:c r="N49" s="8" t="n">
        <x:v>0</x:v>
      </x:c>
      <x:c r="O49" s="8" t="n">
        <x:v>43.579</x:v>
      </x:c>
      <x:c r="P49" s="8"/>
      <x:c r="Q49" s="8"/>
      <x:c r="R49" s="8" t="n">
        <x:v>0</x:v>
      </x:c>
      <x:c r="S49" s="8" t="n">
        <x:v>27.356</x:v>
      </x:c>
      <x:c r="T49" s="8"/>
      <x:c r="U49" s="8"/>
      <x:c r="V49" s="8" t="n">
        <x:v>0</x:v>
      </x:c>
      <x:c r="W49" s="8" t="n">
        <x:v>38.523</x:v>
      </x:c>
      <x:c r="X49" s="8"/>
      <x:c r="Y49" s="8"/>
      <x:c r="Z49" s="8" t="n">
        <x:v>0</x:v>
      </x:c>
      <x:c r="AA49" s="8" t="n">
        <x:v>50.712</x:v>
      </x:c>
      <x:c r="AB49" s="8"/>
      <x:c r="AC49" s="8"/>
      <x:c r="AD49" s="8" t="n">
        <x:v>0</x:v>
      </x:c>
      <x:c r="AE49" s="8" t="n">
        <x:v>49.513</x:v>
      </x:c>
      <x:c r="AF49" s="8" t="n">
        <x:v>0</x:v>
      </x:c>
      <x:c r="AG49" s="8" t="n">
        <x:v>55.402</x:v>
      </x:c>
      <x:c r="AH49" s="8"/>
      <x:c r="AI49" s="8"/>
      <x:c r="AJ49" s="8"/>
      <x:c r="AK49" s="8"/>
      <x:c r="AL49" s="8" t="n">
        <x:v>0</x:v>
      </x:c>
      <x:c r="AM49" s="8" t="n">
        <x:v>8.025</x:v>
      </x:c>
      <x:c r="AN49" s="8" t="n">
        <x:v>0</x:v>
      </x:c>
      <x:c r="AO49" s="8" t="n">
        <x:v>43.108</x:v>
      </x:c>
      <x:c r="AP49" s="8"/>
      <x:c r="AQ49" s="8"/>
      <x:c r="AR49" s="8" t="n">
        <x:v>0</x:v>
      </x:c>
      <x:c r="AS49" s="8" t="n">
        <x:v>55.06</x:v>
      </x:c>
      <x:c r="AT49" s="8" t="n">
        <x:v>0</x:v>
      </x:c>
      <x:c r="AU49" s="8" t="n">
        <x:v>40.563</x:v>
      </x:c>
      <x:c r="AV49" s="8" t="n">
        <x:v>0</x:v>
      </x:c>
      <x:c r="AW49" s="8" t="n">
        <x:v>44.271</x:v>
      </x:c>
      <x:c r="AX49" s="8" t="n">
        <x:v>0</x:v>
      </x:c>
      <x:c r="AY49" s="8" t="n">
        <x:v>47.328</x:v>
      </x:c>
      <x:c r="AZ49" s="8"/>
      <x:c r="BA49" s="8"/>
      <x:c r="BB49" s="8" t="str">
        <x:f>LET(m,MIN(IF(D49&gt;0,D49,1E+99),IF(F49&gt;0,F49,1E+99),IF(H49&gt;0,H49,1E+99),IF(J49&gt;0,J49,1E+99),IF(L49&gt;0,L49,1E+99),IF(N49&gt;0,N49,1E+99),IF(P49&gt;0,P49,1E+99),IF(R49&gt;0,R49,1E+99),IF(T49&gt;0,T49,1E+99),IF(V49&gt;0,V49,1E+99),IF(X49&gt;0,X49,1E+99),IF(Z49&gt;0,Z49,1E+99),IF(AB49&gt;0,AB49,1E+99),IF(AD49&gt;0,AD49,1E+99),IF(AF49&gt;0,AF49,1E+99),IF(AH49&gt;0,AH49,1E+99),IF(AJ49&gt;0,AJ49,1E+99),IF(AL49&gt;0,AL49,1E+99),IF(AN49&gt;0,AN49,1E+99),IF(AP49&gt;0,AP49,1E+99),IF(AR49&gt;0,AR49,1E+99),IF(AT49&gt;0,AT49,1E+99),IF(AV49&gt;0,AV49,1E+99),IF(AX49&gt;0,AX49,1E+99),IF(AZ49&gt;0,AZ49,1E+99)),IF(m=1E+99,"",m))</x:f>
      </x:c>
      <x:c r="BC49" s="12" t="str">
        <x:f>IF(BB49="","",INDEX({"v1.4.20","v1.4.20","v1.4.21","v1.4.21","v1.4.23","v1.4.23","v1.4.26","v1.4.26","v1.4.26.1","v1.4.26.1","v1.4.27","v1.4.27","v1.4.29","v1.4.29","v1.4.30","v1.4.30","v1.4.31","v1.4.31","v1.4.33","v1.4.33","v1.4.35","v1.4.35.2","v1.5","v1.5.1","v1.5.1"},MATCH(BB49,CHOOSE({1,2,3,4,5,6,7,8,9,10,11,12,13,14,15,16,17,18,19,20,21,22,23,24,25},D49,F49,H49,J49,L49,N49,P49,R49,T49,V49,X49,Z49,AB49,AD49,AF49,AH49,AJ49,AL49,AN49,AP49,AR49,AT49,AV49,AX49,AZ49),0)))</x:f>
      </x:c>
      <x:c r="BD49" s="14" t="n">
        <x:f>LET(m,MIN(IF(E49&gt;0,E49,1E+99),IF(G49&gt;0,G49,1E+99),IF(I49&gt;0,I49,1E+99),IF(K49&gt;0,K49,1E+99),IF(M49&gt;0,M49,1E+99),IF(O49&gt;0,O49,1E+99),IF(Q49&gt;0,Q49,1E+99),IF(S49&gt;0,S49,1E+99),IF(U49&gt;0,U49,1E+99),IF(W49&gt;0,W49,1E+99),IF(Y49&gt;0,Y49,1E+99),IF(AA49&gt;0,AA49,1E+99),IF(AC49&gt;0,AC49,1E+99),IF(AE49&gt;0,AE49,1E+99),IF(AG49&gt;0,AG49,1E+99),IF(AI49&gt;0,AI49,1E+99),IF(AK49&gt;0,AK49,1E+99),IF(AM49&gt;0,AM49,1E+99),IF(AO49&gt;0,AO49,1E+99),IF(AQ49&gt;0,AQ49,1E+99),IF(AS49&gt;0,AS49,1E+99),IF(AU49&gt;0,AU49,1E+99),IF(AW49&gt;0,AW49,1E+99),IF(AY49&gt;0,AY49,1E+99),IF(BA49&gt;0,BA49,1E+99)),IF(m=1E+99,"",m))</x:f>
        <x:v>8.025</x:v>
      </x:c>
      <x:c r="BE49" s="16" t="e">
        <x:f>IF(BD49="","",INDEX({"v1.4.20","v1.4.20","v1.4.21","v1.4.21","v1.4.23","v1.4.23","v1.4.26","v1.4.26","v1.4.26.1","v1.4.26.1","v1.4.27","v1.4.27","v1.4.29","v1.4.29","v1.4.30","v1.4.30","v1.4.31","v1.4.31","v1.4.33","v1.4.33","v1.4.35","v1.4.35.2","v1.5","v1.5.1","v1.5.1"},MATCH(BD49,CHOOSE({1,2,3,4,5,6,7,8,9,10,11,12,13,14,15,16,17,18,19,20,21,22,23,24,25},E49,G49,I49,K49,M49,O49,Q49,S49,U49,W49,Y49,AA49,AC49,AE49,AG49,AI49,AK49,AM49,AO49,AQ49,AS49,AU49,AW49,AY49,BA49),0)))</x:f>
      </x:c>
      <x:c r="BF49" s="10" t="str">
        <x:f>IFERROR((AX49-BB49)/BB49,"")</x:f>
      </x:c>
      <x:c r="BG49" s="10" t="n">
        <x:f>IFERROR((AY49-BD49)/BD49,"")</x:f>
        <x:v>4.8975700934579445</x:v>
      </x:c>
    </x:row>
    <x:row r="50">
      <x:c r="A50" t="str">
        <x:v>Banner Report</x:v>
      </x:c>
      <x:c r="B50" t="str">
        <x:v>Create / Refresh All Templates</x:v>
      </x:c>
      <x:c r="C50" t="str">
        <x:v>Apply hidden/show column settings: Template - Banner Report</x:v>
      </x:c>
      <x:c r="D50" s="8" t="n">
        <x:v>0.001</x:v>
      </x:c>
      <x:c r="E50" s="8" t="n">
        <x:v>35.386</x:v>
      </x:c>
      <x:c r="F50" s="8"/>
      <x:c r="G50" s="8"/>
      <x:c r="H50" s="8" t="n">
        <x:v>0.01</x:v>
      </x:c>
      <x:c r="I50" s="8" t="n">
        <x:v>49.613</x:v>
      </x:c>
      <x:c r="J50" s="8"/>
      <x:c r="K50" s="8"/>
      <x:c r="L50" s="8"/>
      <x:c r="M50" s="8"/>
      <x:c r="N50" s="8" t="n">
        <x:v>0.002</x:v>
      </x:c>
      <x:c r="O50" s="8" t="n">
        <x:v>43.581</x:v>
      </x:c>
      <x:c r="P50" s="8"/>
      <x:c r="Q50" s="8"/>
      <x:c r="R50" s="8" t="n">
        <x:v>0.001</x:v>
      </x:c>
      <x:c r="S50" s="8" t="n">
        <x:v>27.357</x:v>
      </x:c>
      <x:c r="T50" s="8"/>
      <x:c r="U50" s="8"/>
      <x:c r="V50" s="8" t="n">
        <x:v>0.001</x:v>
      </x:c>
      <x:c r="W50" s="8" t="n">
        <x:v>38.524</x:v>
      </x:c>
      <x:c r="X50" s="8"/>
      <x:c r="Y50" s="8"/>
      <x:c r="Z50" s="8" t="n">
        <x:v>0.001</x:v>
      </x:c>
      <x:c r="AA50" s="8" t="n">
        <x:v>50.713</x:v>
      </x:c>
      <x:c r="AB50" s="8"/>
      <x:c r="AC50" s="8"/>
      <x:c r="AD50" s="8" t="n">
        <x:v>0.001</x:v>
      </x:c>
      <x:c r="AE50" s="8" t="n">
        <x:v>49.514</x:v>
      </x:c>
      <x:c r="AF50" s="8" t="n">
        <x:v>0.001</x:v>
      </x:c>
      <x:c r="AG50" s="8" t="n">
        <x:v>55.403</x:v>
      </x:c>
      <x:c r="AH50" s="8"/>
      <x:c r="AI50" s="8"/>
      <x:c r="AJ50" s="8"/>
      <x:c r="AK50" s="8"/>
      <x:c r="AL50" s="8" t="n">
        <x:v>0.001</x:v>
      </x:c>
      <x:c r="AM50" s="8" t="n">
        <x:v>8.026</x:v>
      </x:c>
      <x:c r="AN50" s="8" t="n">
        <x:v>0.001</x:v>
      </x:c>
      <x:c r="AO50" s="8" t="n">
        <x:v>43.109</x:v>
      </x:c>
      <x:c r="AP50" s="8"/>
      <x:c r="AQ50" s="8"/>
      <x:c r="AR50" s="8" t="n">
        <x:v>0.021</x:v>
      </x:c>
      <x:c r="AS50" s="8" t="n">
        <x:v>55.081</x:v>
      </x:c>
      <x:c r="AT50" s="8" t="n">
        <x:v>0.001</x:v>
      </x:c>
      <x:c r="AU50" s="8" t="n">
        <x:v>40.564</x:v>
      </x:c>
      <x:c r="AV50" s="8" t="n">
        <x:v>0</x:v>
      </x:c>
      <x:c r="AW50" s="8" t="n">
        <x:v>44.271</x:v>
      </x:c>
      <x:c r="AX50" s="8" t="n">
        <x:v>0.001</x:v>
      </x:c>
      <x:c r="AY50" s="8" t="n">
        <x:v>47.329</x:v>
      </x:c>
      <x:c r="AZ50" s="8"/>
      <x:c r="BA50" s="8"/>
      <x:c r="BB50" s="8" t="n">
        <x:f>LET(m,MIN(IF(D50&gt;0,D50,1E+99),IF(F50&gt;0,F50,1E+99),IF(H50&gt;0,H50,1E+99),IF(J50&gt;0,J50,1E+99),IF(L50&gt;0,L50,1E+99),IF(N50&gt;0,N50,1E+99),IF(P50&gt;0,P50,1E+99),IF(R50&gt;0,R50,1E+99),IF(T50&gt;0,T50,1E+99),IF(V50&gt;0,V50,1E+99),IF(X50&gt;0,X50,1E+99),IF(Z50&gt;0,Z50,1E+99),IF(AB50&gt;0,AB50,1E+99),IF(AD50&gt;0,AD50,1E+99),IF(AF50&gt;0,AF50,1E+99),IF(AH50&gt;0,AH50,1E+99),IF(AJ50&gt;0,AJ50,1E+99),IF(AL50&gt;0,AL50,1E+99),IF(AN50&gt;0,AN50,1E+99),IF(AP50&gt;0,AP50,1E+99),IF(AR50&gt;0,AR50,1E+99),IF(AT50&gt;0,AT50,1E+99),IF(AV50&gt;0,AV50,1E+99),IF(AX50&gt;0,AX50,1E+99),IF(AZ50&gt;0,AZ50,1E+99)),IF(m=1E+99,"",m))</x:f>
        <x:v>0.001</x:v>
      </x:c>
      <x:c r="BC50" s="12" t="str">
        <x:f>IF(BB50="","",INDEX({"v1.4.20","v1.4.20","v1.4.21","v1.4.21","v1.4.23","v1.4.23","v1.4.26","v1.4.26","v1.4.26.1","v1.4.26.1","v1.4.27","v1.4.27","v1.4.29","v1.4.29","v1.4.30","v1.4.30","v1.4.31","v1.4.31","v1.4.33","v1.4.33","v1.4.35","v1.4.35.2","v1.5","v1.5.1","v1.5.1"},MATCH(BB50,CHOOSE({1,2,3,4,5,6,7,8,9,10,11,12,13,14,15,16,17,18,19,20,21,22,23,24,25},D50,F50,H50,J50,L50,N50,P50,R50,T50,V50,X50,Z50,AB50,AD50,AF50,AH50,AJ50,AL50,AN50,AP50,AR50,AT50,AV50,AX50,AZ50),0)))</x:f>
        <x:v>v1.4.20</x:v>
      </x:c>
      <x:c r="BD50" s="14" t="n">
        <x:f>LET(m,MIN(IF(E50&gt;0,E50,1E+99),IF(G50&gt;0,G50,1E+99),IF(I50&gt;0,I50,1E+99),IF(K50&gt;0,K50,1E+99),IF(M50&gt;0,M50,1E+99),IF(O50&gt;0,O50,1E+99),IF(Q50&gt;0,Q50,1E+99),IF(S50&gt;0,S50,1E+99),IF(U50&gt;0,U50,1E+99),IF(W50&gt;0,W50,1E+99),IF(Y50&gt;0,Y50,1E+99),IF(AA50&gt;0,AA50,1E+99),IF(AC50&gt;0,AC50,1E+99),IF(AE50&gt;0,AE50,1E+99),IF(AG50&gt;0,AG50,1E+99),IF(AI50&gt;0,AI50,1E+99),IF(AK50&gt;0,AK50,1E+99),IF(AM50&gt;0,AM50,1E+99),IF(AO50&gt;0,AO50,1E+99),IF(AQ50&gt;0,AQ50,1E+99),IF(AS50&gt;0,AS50,1E+99),IF(AU50&gt;0,AU50,1E+99),IF(AW50&gt;0,AW50,1E+99),IF(AY50&gt;0,AY50,1E+99),IF(BA50&gt;0,BA50,1E+99)),IF(m=1E+99,"",m))</x:f>
        <x:v>8.026</x:v>
      </x:c>
      <x:c r="BE50" s="16" t="e">
        <x:f>IF(BD50="","",INDEX({"v1.4.20","v1.4.20","v1.4.21","v1.4.21","v1.4.23","v1.4.23","v1.4.26","v1.4.26","v1.4.26.1","v1.4.26.1","v1.4.27","v1.4.27","v1.4.29","v1.4.29","v1.4.30","v1.4.30","v1.4.31","v1.4.31","v1.4.33","v1.4.33","v1.4.35","v1.4.35.2","v1.5","v1.5.1","v1.5.1"},MATCH(BD50,CHOOSE({1,2,3,4,5,6,7,8,9,10,11,12,13,14,15,16,17,18,19,20,21,22,23,24,25},E50,G50,I50,K50,M50,O50,Q50,S50,U50,W50,Y50,AA50,AC50,AE50,AG50,AI50,AK50,AM50,AO50,AQ50,AS50,AU50,AW50,AY50,BA50),0)))</x:f>
      </x:c>
      <x:c r="BF50" s="10" t="n">
        <x:f>IFERROR((AX50-BB50)/BB50,"")</x:f>
        <x:v>0</x:v>
      </x:c>
      <x:c r="BG50" s="10" t="n">
        <x:f>IFERROR((AY50-BD50)/BD50,"")</x:f>
        <x:v>4.896959880388736</x:v>
      </x:c>
    </x:row>
    <x:row r="51">
      <x:c r="A51" t="str">
        <x:v>Banner Report</x:v>
      </x:c>
      <x:c r="B51" t="str">
        <x:v>Create / Refresh All Templates</x:v>
      </x:c>
      <x:c r="C51" t="str">
        <x:v>No existing filter to remove: Template - Banner Report</x:v>
      </x:c>
      <x:c r="D51" s="8" t="n">
        <x:v>0.454</x:v>
      </x:c>
      <x:c r="E51" s="8" t="n">
        <x:v>35.84</x:v>
      </x:c>
      <x:c r="F51" s="8"/>
      <x:c r="G51" s="8"/>
      <x:c r="H51" s="8" t="n">
        <x:v>0.665</x:v>
      </x:c>
      <x:c r="I51" s="8" t="n">
        <x:v>50.278</x:v>
      </x:c>
      <x:c r="J51" s="8"/>
      <x:c r="K51" s="8"/>
      <x:c r="L51" s="8"/>
      <x:c r="M51" s="8"/>
      <x:c r="N51" s="8"/>
      <x:c r="O51" s="8"/>
      <x:c r="P51" s="8"/>
      <x:c r="Q51" s="8"/>
      <x:c r="R51" s="8" t="n">
        <x:v>0.677</x:v>
      </x:c>
      <x:c r="S51" s="8" t="n">
        <x:v>28.034</x:v>
      </x:c>
      <x:c r="T51" s="8"/>
      <x:c r="U51" s="8"/>
      <x:c r="V51" s="8" t="n">
        <x:v>0.545</x:v>
      </x:c>
      <x:c r="W51" s="8" t="n">
        <x:v>39.069</x:v>
      </x:c>
      <x:c r="X51" s="8"/>
      <x:c r="Y51" s="8"/>
      <x:c r="Z51" s="8" t="n">
        <x:v>0.701</x:v>
      </x:c>
      <x:c r="AA51" s="8" t="n">
        <x:v>51.414</x:v>
      </x:c>
      <x:c r="AB51" s="8"/>
      <x:c r="AC51" s="8"/>
      <x:c r="AD51" s="8" t="n">
        <x:v>1.05</x:v>
      </x:c>
      <x:c r="AE51" s="8" t="n">
        <x:v>50.564</x:v>
      </x:c>
      <x:c r="AF51" s="8" t="n">
        <x:v>0.134</x:v>
      </x:c>
      <x:c r="AG51" s="8" t="n">
        <x:v>55.537</x:v>
      </x:c>
      <x:c r="AH51" s="8"/>
      <x:c r="AI51" s="8"/>
      <x:c r="AJ51" s="8"/>
      <x:c r="AK51" s="8"/>
      <x:c r="AL51" s="8" t="n">
        <x:v>0.921</x:v>
      </x:c>
      <x:c r="AM51" s="8" t="n">
        <x:v>8.947</x:v>
      </x:c>
      <x:c r="AN51" s="8" t="n">
        <x:v>0.491</x:v>
      </x:c>
      <x:c r="AO51" s="8" t="n">
        <x:v>43.6</x:v>
      </x:c>
      <x:c r="AP51" s="8"/>
      <x:c r="AQ51" s="8"/>
      <x:c r="AR51" s="8" t="n">
        <x:v>0.787</x:v>
      </x:c>
      <x:c r="AS51" s="8" t="n">
        <x:v>55.868</x:v>
      </x:c>
      <x:c r="AT51" s="8" t="n">
        <x:v>0.61</x:v>
      </x:c>
      <x:c r="AU51" s="8" t="n">
        <x:v>41.174</x:v>
      </x:c>
      <x:c r="AV51" s="8" t="n">
        <x:v>0.694</x:v>
      </x:c>
      <x:c r="AW51" s="8" t="n">
        <x:v>44.965</x:v>
      </x:c>
      <x:c r="AX51" s="8" t="n">
        <x:v>0.767</x:v>
      </x:c>
      <x:c r="AY51" s="8" t="n">
        <x:v>48.096</x:v>
      </x:c>
      <x:c r="AZ51" s="8"/>
      <x:c r="BA51" s="8"/>
      <x:c r="BB51" s="8" t="n">
        <x:f>LET(m,MIN(IF(D51&gt;0,D51,1E+99),IF(F51&gt;0,F51,1E+99),IF(H51&gt;0,H51,1E+99),IF(J51&gt;0,J51,1E+99),IF(L51&gt;0,L51,1E+99),IF(N51&gt;0,N51,1E+99),IF(P51&gt;0,P51,1E+99),IF(R51&gt;0,R51,1E+99),IF(T51&gt;0,T51,1E+99),IF(V51&gt;0,V51,1E+99),IF(X51&gt;0,X51,1E+99),IF(Z51&gt;0,Z51,1E+99),IF(AB51&gt;0,AB51,1E+99),IF(AD51&gt;0,AD51,1E+99),IF(AF51&gt;0,AF51,1E+99),IF(AH51&gt;0,AH51,1E+99),IF(AJ51&gt;0,AJ51,1E+99),IF(AL51&gt;0,AL51,1E+99),IF(AN51&gt;0,AN51,1E+99),IF(AP51&gt;0,AP51,1E+99),IF(AR51&gt;0,AR51,1E+99),IF(AT51&gt;0,AT51,1E+99),IF(AV51&gt;0,AV51,1E+99),IF(AX51&gt;0,AX51,1E+99),IF(AZ51&gt;0,AZ51,1E+99)),IF(m=1E+99,"",m))</x:f>
        <x:v>0.134</x:v>
      </x:c>
      <x:c r="BC51" s="12" t="e">
        <x:f>IF(BB51="","",INDEX({"v1.4.20","v1.4.20","v1.4.21","v1.4.21","v1.4.23","v1.4.23","v1.4.26","v1.4.26","v1.4.26.1","v1.4.26.1","v1.4.27","v1.4.27","v1.4.29","v1.4.29","v1.4.30","v1.4.30","v1.4.31","v1.4.31","v1.4.33","v1.4.33","v1.4.35","v1.4.35.2","v1.5","v1.5.1","v1.5.1"},MATCH(BB51,CHOOSE({1,2,3,4,5,6,7,8,9,10,11,12,13,14,15,16,17,18,19,20,21,22,23,24,25},D51,F51,H51,J51,L51,N51,P51,R51,T51,V51,X51,Z51,AB51,AD51,AF51,AH51,AJ51,AL51,AN51,AP51,AR51,AT51,AV51,AX51,AZ51),0)))</x:f>
      </x:c>
      <x:c r="BD51" s="14" t="n">
        <x:f>LET(m,MIN(IF(E51&gt;0,E51,1E+99),IF(G51&gt;0,G51,1E+99),IF(I51&gt;0,I51,1E+99),IF(K51&gt;0,K51,1E+99),IF(M51&gt;0,M51,1E+99),IF(O51&gt;0,O51,1E+99),IF(Q51&gt;0,Q51,1E+99),IF(S51&gt;0,S51,1E+99),IF(U51&gt;0,U51,1E+99),IF(W51&gt;0,W51,1E+99),IF(Y51&gt;0,Y51,1E+99),IF(AA51&gt;0,AA51,1E+99),IF(AC51&gt;0,AC51,1E+99),IF(AE51&gt;0,AE51,1E+99),IF(AG51&gt;0,AG51,1E+99),IF(AI51&gt;0,AI51,1E+99),IF(AK51&gt;0,AK51,1E+99),IF(AM51&gt;0,AM51,1E+99),IF(AO51&gt;0,AO51,1E+99),IF(AQ51&gt;0,AQ51,1E+99),IF(AS51&gt;0,AS51,1E+99),IF(AU51&gt;0,AU51,1E+99),IF(AW51&gt;0,AW51,1E+99),IF(AY51&gt;0,AY51,1E+99),IF(BA51&gt;0,BA51,1E+99)),IF(m=1E+99,"",m))</x:f>
        <x:v>8.947</x:v>
      </x:c>
      <x:c r="BE51" s="16" t="e">
        <x:f>IF(BD51="","",INDEX({"v1.4.20","v1.4.20","v1.4.21","v1.4.21","v1.4.23","v1.4.23","v1.4.26","v1.4.26","v1.4.26.1","v1.4.26.1","v1.4.27","v1.4.27","v1.4.29","v1.4.29","v1.4.30","v1.4.30","v1.4.31","v1.4.31","v1.4.33","v1.4.33","v1.4.35","v1.4.35.2","v1.5","v1.5.1","v1.5.1"},MATCH(BD51,CHOOSE({1,2,3,4,5,6,7,8,9,10,11,12,13,14,15,16,17,18,19,20,21,22,23,24,25},E51,G51,I51,K51,M51,O51,Q51,S51,U51,W51,Y51,AA51,AC51,AE51,AG51,AI51,AK51,AM51,AO51,AQ51,AS51,AU51,AW51,AY51,BA51),0)))</x:f>
      </x:c>
      <x:c r="BF51" s="10" t="n">
        <x:f>IFERROR((AX51-BB51)/BB51,"")</x:f>
        <x:v>4.723880597014925</x:v>
      </x:c>
      <x:c r="BG51" s="10" t="n">
        <x:f>IFERROR((AY51-BD51)/BD51,"")</x:f>
        <x:v>4.37565664468537</x:v>
      </x:c>
    </x:row>
    <x:row r="52">
      <x:c r="A52" t="str">
        <x:v>Banner Report</x:v>
      </x:c>
      <x:c r="B52" t="str">
        <x:v>Create / Refresh All Templates</x:v>
      </x:c>
      <x:c r="C52" t="str">
        <x:v>Create filter: Template - Banner Report</x:v>
      </x:c>
      <x:c r="D52" s="8" t="n">
        <x:v>1.111</x:v>
      </x:c>
      <x:c r="E52" s="8" t="n">
        <x:v>36.951</x:v>
      </x:c>
      <x:c r="F52" s="8"/>
      <x:c r="G52" s="8"/>
      <x:c r="H52" s="8" t="n">
        <x:v>1.547</x:v>
      </x:c>
      <x:c r="I52" s="8" t="n">
        <x:v>51.825</x:v>
      </x:c>
      <x:c r="J52" s="8"/>
      <x:c r="K52" s="8"/>
      <x:c r="L52" s="8"/>
      <x:c r="M52" s="8"/>
      <x:c r="N52" s="8" t="n">
        <x:v>2.148</x:v>
      </x:c>
      <x:c r="O52" s="8" t="n">
        <x:v>45.729</x:v>
      </x:c>
      <x:c r="P52" s="8"/>
      <x:c r="Q52" s="8"/>
      <x:c r="R52" s="8" t="n">
        <x:v>1.03</x:v>
      </x:c>
      <x:c r="S52" s="8" t="n">
        <x:v>29.064</x:v>
      </x:c>
      <x:c r="T52" s="8"/>
      <x:c r="U52" s="8"/>
      <x:c r="V52" s="8" t="n">
        <x:v>1.855</x:v>
      </x:c>
      <x:c r="W52" s="8" t="n">
        <x:v>40.924</x:v>
      </x:c>
      <x:c r="X52" s="8"/>
      <x:c r="Y52" s="8"/>
      <x:c r="Z52" s="8" t="n">
        <x:v>1.867</x:v>
      </x:c>
      <x:c r="AA52" s="8" t="n">
        <x:v>53.281</x:v>
      </x:c>
      <x:c r="AB52" s="8"/>
      <x:c r="AC52" s="8"/>
      <x:c r="AD52" s="8" t="n">
        <x:v>2.222</x:v>
      </x:c>
      <x:c r="AE52" s="8" t="n">
        <x:v>52.786</x:v>
      </x:c>
      <x:c r="AF52" s="8" t="n">
        <x:v>2.59</x:v>
      </x:c>
      <x:c r="AG52" s="8" t="n">
        <x:v>58.127</x:v>
      </x:c>
      <x:c r="AH52" s="8"/>
      <x:c r="AI52" s="8"/>
      <x:c r="AJ52" s="8"/>
      <x:c r="AK52" s="8"/>
      <x:c r="AL52" s="8" t="n">
        <x:v>0.688</x:v>
      </x:c>
      <x:c r="AM52" s="8" t="n">
        <x:v>9.635</x:v>
      </x:c>
      <x:c r="AN52" s="8" t="n">
        <x:v>1.325</x:v>
      </x:c>
      <x:c r="AO52" s="8" t="n">
        <x:v>44.925</x:v>
      </x:c>
      <x:c r="AP52" s="8"/>
      <x:c r="AQ52" s="8"/>
      <x:c r="AR52" s="8" t="n">
        <x:v>1.939</x:v>
      </x:c>
      <x:c r="AS52" s="8" t="n">
        <x:v>57.807</x:v>
      </x:c>
      <x:c r="AT52" s="8" t="n">
        <x:v>1.734</x:v>
      </x:c>
      <x:c r="AU52" s="8" t="n">
        <x:v>42.908</x:v>
      </x:c>
      <x:c r="AV52" s="8" t="n">
        <x:v>1.776</x:v>
      </x:c>
      <x:c r="AW52" s="8" t="n">
        <x:v>46.741</x:v>
      </x:c>
      <x:c r="AX52" s="8" t="n">
        <x:v>2.055</x:v>
      </x:c>
      <x:c r="AY52" s="8" t="n">
        <x:v>50.151</x:v>
      </x:c>
      <x:c r="AZ52" s="8"/>
      <x:c r="BA52" s="8"/>
      <x:c r="BB52" s="8" t="n">
        <x:f>LET(m,MIN(IF(D52&gt;0,D52,1E+99),IF(F52&gt;0,F52,1E+99),IF(H52&gt;0,H52,1E+99),IF(J52&gt;0,J52,1E+99),IF(L52&gt;0,L52,1E+99),IF(N52&gt;0,N52,1E+99),IF(P52&gt;0,P52,1E+99),IF(R52&gt;0,R52,1E+99),IF(T52&gt;0,T52,1E+99),IF(V52&gt;0,V52,1E+99),IF(X52&gt;0,X52,1E+99),IF(Z52&gt;0,Z52,1E+99),IF(AB52&gt;0,AB52,1E+99),IF(AD52&gt;0,AD52,1E+99),IF(AF52&gt;0,AF52,1E+99),IF(AH52&gt;0,AH52,1E+99),IF(AJ52&gt;0,AJ52,1E+99),IF(AL52&gt;0,AL52,1E+99),IF(AN52&gt;0,AN52,1E+99),IF(AP52&gt;0,AP52,1E+99),IF(AR52&gt;0,AR52,1E+99),IF(AT52&gt;0,AT52,1E+99),IF(AV52&gt;0,AV52,1E+99),IF(AX52&gt;0,AX52,1E+99),IF(AZ52&gt;0,AZ52,1E+99)),IF(m=1E+99,"",m))</x:f>
        <x:v>0.688</x:v>
      </x:c>
      <x:c r="BC52" s="12" t="e">
        <x:f>IF(BB52="","",INDEX({"v1.4.20","v1.4.20","v1.4.21","v1.4.21","v1.4.23","v1.4.23","v1.4.26","v1.4.26","v1.4.26.1","v1.4.26.1","v1.4.27","v1.4.27","v1.4.29","v1.4.29","v1.4.30","v1.4.30","v1.4.31","v1.4.31","v1.4.33","v1.4.33","v1.4.35","v1.4.35.2","v1.5","v1.5.1","v1.5.1"},MATCH(BB52,CHOOSE({1,2,3,4,5,6,7,8,9,10,11,12,13,14,15,16,17,18,19,20,21,22,23,24,25},D52,F52,H52,J52,L52,N52,P52,R52,T52,V52,X52,Z52,AB52,AD52,AF52,AH52,AJ52,AL52,AN52,AP52,AR52,AT52,AV52,AX52,AZ52),0)))</x:f>
      </x:c>
      <x:c r="BD52" s="14" t="n">
        <x:f>LET(m,MIN(IF(E52&gt;0,E52,1E+99),IF(G52&gt;0,G52,1E+99),IF(I52&gt;0,I52,1E+99),IF(K52&gt;0,K52,1E+99),IF(M52&gt;0,M52,1E+99),IF(O52&gt;0,O52,1E+99),IF(Q52&gt;0,Q52,1E+99),IF(S52&gt;0,S52,1E+99),IF(U52&gt;0,U52,1E+99),IF(W52&gt;0,W52,1E+99),IF(Y52&gt;0,Y52,1E+99),IF(AA52&gt;0,AA52,1E+99),IF(AC52&gt;0,AC52,1E+99),IF(AE52&gt;0,AE52,1E+99),IF(AG52&gt;0,AG52,1E+99),IF(AI52&gt;0,AI52,1E+99),IF(AK52&gt;0,AK52,1E+99),IF(AM52&gt;0,AM52,1E+99),IF(AO52&gt;0,AO52,1E+99),IF(AQ52&gt;0,AQ52,1E+99),IF(AS52&gt;0,AS52,1E+99),IF(AU52&gt;0,AU52,1E+99),IF(AW52&gt;0,AW52,1E+99),IF(AY52&gt;0,AY52,1E+99),IF(BA52&gt;0,BA52,1E+99)),IF(m=1E+99,"",m))</x:f>
        <x:v>9.635</x:v>
      </x:c>
      <x:c r="BE52" s="16" t="e">
        <x:f>IF(BD52="","",INDEX({"v1.4.20","v1.4.20","v1.4.21","v1.4.21","v1.4.23","v1.4.23","v1.4.26","v1.4.26","v1.4.26.1","v1.4.26.1","v1.4.27","v1.4.27","v1.4.29","v1.4.29","v1.4.30","v1.4.30","v1.4.31","v1.4.31","v1.4.33","v1.4.33","v1.4.35","v1.4.35.2","v1.5","v1.5.1","v1.5.1"},MATCH(BD52,CHOOSE({1,2,3,4,5,6,7,8,9,10,11,12,13,14,15,16,17,18,19,20,21,22,23,24,25},E52,G52,I52,K52,M52,O52,Q52,S52,U52,W52,Y52,AA52,AC52,AE52,AG52,AI52,AK52,AM52,AO52,AQ52,AS52,AU52,AW52,AY52,BA52),0)))</x:f>
      </x:c>
      <x:c r="BF52" s="10" t="n">
        <x:f>IFERROR((AX52-BB52)/BB52,"")</x:f>
        <x:v>1.9869186046511633</x:v>
      </x:c>
      <x:c r="BG52" s="10" t="n">
        <x:f>IFERROR((AY52-BD52)/BD52,"")</x:f>
        <x:v>4.205085625324339</x:v>
      </x:c>
    </x:row>
    <x:row r="53">
      <x:c r="A53" t="str">
        <x:v>Banner Report</x:v>
      </x:c>
      <x:c r="B53" t="str">
        <x:v>Create / Refresh All Templates</x:v>
      </x:c>
      <x:c r="C53" t="str">
        <x:v>Apply row heights skipped for template: Template - Banner Report</x:v>
      </x:c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  <x:c r="AA53" s="8"/>
      <x:c r="AB53" s="8"/>
      <x:c r="AC53" s="8"/>
      <x:c r="AD53" s="8"/>
      <x:c r="AE53" s="8"/>
      <x:c r="AF53" s="8"/>
      <x:c r="AG53" s="8"/>
      <x:c r="AH53" s="8"/>
      <x:c r="AI53" s="8"/>
      <x:c r="AJ53" s="8"/>
      <x:c r="AK53" s="8"/>
      <x:c r="AL53" s="8"/>
      <x:c r="AM53" s="8"/>
      <x:c r="AN53" s="8"/>
      <x:c r="AO53" s="8"/>
      <x:c r="AP53" s="8"/>
      <x:c r="AQ53" s="8"/>
      <x:c r="AR53" s="8"/>
      <x:c r="AS53" s="8"/>
      <x:c r="AT53" s="8"/>
      <x:c r="AU53" s="8"/>
      <x:c r="AV53" s="8" t="n">
        <x:v>0</x:v>
      </x:c>
      <x:c r="AW53" s="8" t="n">
        <x:v>46.741</x:v>
      </x:c>
      <x:c r="AX53" s="8" t="n">
        <x:v>0</x:v>
      </x:c>
      <x:c r="AY53" s="8" t="n">
        <x:v>50.151</x:v>
      </x:c>
      <x:c r="AZ53" s="8"/>
      <x:c r="BA53" s="8"/>
      <x:c r="BB53" s="8" t="str">
        <x:f>LET(m,MIN(IF(D53&gt;0,D53,1E+99),IF(F53&gt;0,F53,1E+99),IF(H53&gt;0,H53,1E+99),IF(J53&gt;0,J53,1E+99),IF(L53&gt;0,L53,1E+99),IF(N53&gt;0,N53,1E+99),IF(P53&gt;0,P53,1E+99),IF(R53&gt;0,R53,1E+99),IF(T53&gt;0,T53,1E+99),IF(V53&gt;0,V53,1E+99),IF(X53&gt;0,X53,1E+99),IF(Z53&gt;0,Z53,1E+99),IF(AB53&gt;0,AB53,1E+99),IF(AD53&gt;0,AD53,1E+99),IF(AF53&gt;0,AF53,1E+99),IF(AH53&gt;0,AH53,1E+99),IF(AJ53&gt;0,AJ53,1E+99),IF(AL53&gt;0,AL53,1E+99),IF(AN53&gt;0,AN53,1E+99),IF(AP53&gt;0,AP53,1E+99),IF(AR53&gt;0,AR53,1E+99),IF(AT53&gt;0,AT53,1E+99),IF(AV53&gt;0,AV53,1E+99),IF(AX53&gt;0,AX53,1E+99),IF(AZ53&gt;0,AZ53,1E+99)),IF(m=1E+99,"",m))</x:f>
      </x:c>
      <x:c r="BC53" s="12" t="str">
        <x:f>IF(BB53="","",INDEX({"v1.4.20","v1.4.20","v1.4.21","v1.4.21","v1.4.23","v1.4.23","v1.4.26","v1.4.26","v1.4.26.1","v1.4.26.1","v1.4.27","v1.4.27","v1.4.29","v1.4.29","v1.4.30","v1.4.30","v1.4.31","v1.4.31","v1.4.33","v1.4.33","v1.4.35","v1.4.35.2","v1.5","v1.5.1","v1.5.1"},MATCH(BB53,CHOOSE({1,2,3,4,5,6,7,8,9,10,11,12,13,14,15,16,17,18,19,20,21,22,23,24,25},D53,F53,H53,J53,L53,N53,P53,R53,T53,V53,X53,Z53,AB53,AD53,AF53,AH53,AJ53,AL53,AN53,AP53,AR53,AT53,AV53,AX53,AZ53),0)))</x:f>
      </x:c>
      <x:c r="BD53" s="14" t="n">
        <x:f>LET(m,MIN(IF(E53&gt;0,E53,1E+99),IF(G53&gt;0,G53,1E+99),IF(I53&gt;0,I53,1E+99),IF(K53&gt;0,K53,1E+99),IF(M53&gt;0,M53,1E+99),IF(O53&gt;0,O53,1E+99),IF(Q53&gt;0,Q53,1E+99),IF(S53&gt;0,S53,1E+99),IF(U53&gt;0,U53,1E+99),IF(W53&gt;0,W53,1E+99),IF(Y53&gt;0,Y53,1E+99),IF(AA53&gt;0,AA53,1E+99),IF(AC53&gt;0,AC53,1E+99),IF(AE53&gt;0,AE53,1E+99),IF(AG53&gt;0,AG53,1E+99),IF(AI53&gt;0,AI53,1E+99),IF(AK53&gt;0,AK53,1E+99),IF(AM53&gt;0,AM53,1E+99),IF(AO53&gt;0,AO53,1E+99),IF(AQ53&gt;0,AQ53,1E+99),IF(AS53&gt;0,AS53,1E+99),IF(AU53&gt;0,AU53,1E+99),IF(AW53&gt;0,AW53,1E+99),IF(AY53&gt;0,AY53,1E+99),IF(BA53&gt;0,BA53,1E+99)),IF(m=1E+99,"",m))</x:f>
        <x:v>46.741</x:v>
      </x:c>
      <x:c r="BE53" s="16" t="e">
        <x:f>IF(BD53="","",INDEX({"v1.4.20","v1.4.20","v1.4.21","v1.4.21","v1.4.23","v1.4.23","v1.4.26","v1.4.26","v1.4.26.1","v1.4.26.1","v1.4.27","v1.4.27","v1.4.29","v1.4.29","v1.4.30","v1.4.30","v1.4.31","v1.4.31","v1.4.33","v1.4.33","v1.4.35","v1.4.35.2","v1.5","v1.5.1","v1.5.1"},MATCH(BD53,CHOOSE({1,2,3,4,5,6,7,8,9,10,11,12,13,14,15,16,17,18,19,20,21,22,23,24,25},E53,G53,I53,K53,M53,O53,Q53,S53,U53,W53,Y53,AA53,AC53,AE53,AG53,AI53,AK53,AM53,AO53,AQ53,AS53,AU53,AW53,AY53,BA53),0)))</x:f>
      </x:c>
      <x:c r="BF53" s="10" t="str">
        <x:f>IFERROR((AX53-BB53)/BB53,"")</x:f>
      </x:c>
      <x:c r="BG53" s="10" t="n">
        <x:f>IFERROR((AY53-BD53)/BD53,"")</x:f>
        <x:v>0.07295522132603076</x:v>
      </x:c>
    </x:row>
    <x:row r="54">
      <x:c r="A54" t="str">
        <x:v>Banner Report</x:v>
      </x:c>
      <x:c r="B54" t="str">
        <x:v>Create / Refresh All Templates</x:v>
      </x:c>
      <x:c r="C54" t="str">
        <x:v>Apply full template formatting: Template - Banner Report</x:v>
      </x:c>
      <x:c r="D54" s="8" t="n">
        <x:v>0</x:v>
      </x:c>
      <x:c r="E54" s="8" t="n">
        <x:v>36.963</x:v>
      </x:c>
      <x:c r="F54" s="8"/>
      <x:c r="G54" s="8"/>
      <x:c r="H54" s="8" t="n">
        <x:v>0</x:v>
      </x:c>
      <x:c r="I54" s="8" t="n">
        <x:v>51.858</x:v>
      </x:c>
      <x:c r="J54" s="8"/>
      <x:c r="K54" s="8"/>
      <x:c r="L54" s="8"/>
      <x:c r="M54" s="8"/>
      <x:c r="N54" s="8"/>
      <x:c r="O54" s="8"/>
      <x:c r="P54" s="8"/>
      <x:c r="Q54" s="8"/>
      <x:c r="R54" s="8" t="n">
        <x:v>0</x:v>
      </x:c>
      <x:c r="S54" s="8" t="n">
        <x:v>29.07</x:v>
      </x:c>
      <x:c r="T54" s="8"/>
      <x:c r="U54" s="8"/>
      <x:c r="V54" s="8" t="n">
        <x:v>0</x:v>
      </x:c>
      <x:c r="W54" s="8" t="n">
        <x:v>41.809</x:v>
      </x:c>
      <x:c r="X54" s="8"/>
      <x:c r="Y54" s="8"/>
      <x:c r="Z54" s="8" t="n">
        <x:v>0</x:v>
      </x:c>
      <x:c r="AA54" s="8" t="n">
        <x:v>53.287</x:v>
      </x:c>
      <x:c r="AB54" s="8"/>
      <x:c r="AC54" s="8"/>
      <x:c r="AD54" s="8" t="n">
        <x:v>0</x:v>
      </x:c>
      <x:c r="AE54" s="8" t="n">
        <x:v>54.018</x:v>
      </x:c>
      <x:c r="AF54" s="8" t="n">
        <x:v>0</x:v>
      </x:c>
      <x:c r="AG54" s="8" t="n">
        <x:v>58.847</x:v>
      </x:c>
      <x:c r="AH54" s="8"/>
      <x:c r="AI54" s="8"/>
      <x:c r="AJ54" s="8"/>
      <x:c r="AK54" s="8"/>
      <x:c r="AL54" s="8" t="n">
        <x:v>0</x:v>
      </x:c>
      <x:c r="AM54" s="8" t="n">
        <x:v>10.098</x:v>
      </x:c>
      <x:c r="AN54" s="8" t="n">
        <x:v>0</x:v>
      </x:c>
      <x:c r="AO54" s="8" t="n">
        <x:v>45.83</x:v>
      </x:c>
      <x:c r="AP54" s="8"/>
      <x:c r="AQ54" s="8"/>
      <x:c r="AR54" s="8" t="n">
        <x:v>0</x:v>
      </x:c>
      <x:c r="AS54" s="8" t="n">
        <x:v>57.826</x:v>
      </x:c>
      <x:c r="AT54" s="8" t="n">
        <x:v>0</x:v>
      </x:c>
      <x:c r="AU54" s="8" t="n">
        <x:v>42.921</x:v>
      </x:c>
      <x:c r="AV54" s="8" t="n">
        <x:v>0</x:v>
      </x:c>
      <x:c r="AW54" s="8" t="n">
        <x:v>46.741</x:v>
      </x:c>
      <x:c r="AX54" s="8" t="n">
        <x:v>0</x:v>
      </x:c>
      <x:c r="AY54" s="8" t="n">
        <x:v>50.151</x:v>
      </x:c>
      <x:c r="AZ54" s="8"/>
      <x:c r="BA54" s="8"/>
      <x:c r="BB54" s="8" t="str">
        <x:f>LET(m,MIN(IF(D54&gt;0,D54,1E+99),IF(F54&gt;0,F54,1E+99),IF(H54&gt;0,H54,1E+99),IF(J54&gt;0,J54,1E+99),IF(L54&gt;0,L54,1E+99),IF(N54&gt;0,N54,1E+99),IF(P54&gt;0,P54,1E+99),IF(R54&gt;0,R54,1E+99),IF(T54&gt;0,T54,1E+99),IF(V54&gt;0,V54,1E+99),IF(X54&gt;0,X54,1E+99),IF(Z54&gt;0,Z54,1E+99),IF(AB54&gt;0,AB54,1E+99),IF(AD54&gt;0,AD54,1E+99),IF(AF54&gt;0,AF54,1E+99),IF(AH54&gt;0,AH54,1E+99),IF(AJ54&gt;0,AJ54,1E+99),IF(AL54&gt;0,AL54,1E+99),IF(AN54&gt;0,AN54,1E+99),IF(AP54&gt;0,AP54,1E+99),IF(AR54&gt;0,AR54,1E+99),IF(AT54&gt;0,AT54,1E+99),IF(AV54&gt;0,AV54,1E+99),IF(AX54&gt;0,AX54,1E+99),IF(AZ54&gt;0,AZ54,1E+99)),IF(m=1E+99,"",m))</x:f>
      </x:c>
      <x:c r="BC54" s="12" t="str">
        <x:f>IF(BB54="","",INDEX({"v1.4.20","v1.4.20","v1.4.21","v1.4.21","v1.4.23","v1.4.23","v1.4.26","v1.4.26","v1.4.26.1","v1.4.26.1","v1.4.27","v1.4.27","v1.4.29","v1.4.29","v1.4.30","v1.4.30","v1.4.31","v1.4.31","v1.4.33","v1.4.33","v1.4.35","v1.4.35.2","v1.5","v1.5.1","v1.5.1"},MATCH(BB54,CHOOSE({1,2,3,4,5,6,7,8,9,10,11,12,13,14,15,16,17,18,19,20,21,22,23,24,25},D54,F54,H54,J54,L54,N54,P54,R54,T54,V54,X54,Z54,AB54,AD54,AF54,AH54,AJ54,AL54,AN54,AP54,AR54,AT54,AV54,AX54,AZ54),0)))</x:f>
      </x:c>
      <x:c r="BD54" s="14" t="n">
        <x:f>LET(m,MIN(IF(E54&gt;0,E54,1E+99),IF(G54&gt;0,G54,1E+99),IF(I54&gt;0,I54,1E+99),IF(K54&gt;0,K54,1E+99),IF(M54&gt;0,M54,1E+99),IF(O54&gt;0,O54,1E+99),IF(Q54&gt;0,Q54,1E+99),IF(S54&gt;0,S54,1E+99),IF(U54&gt;0,U54,1E+99),IF(W54&gt;0,W54,1E+99),IF(Y54&gt;0,Y54,1E+99),IF(AA54&gt;0,AA54,1E+99),IF(AC54&gt;0,AC54,1E+99),IF(AE54&gt;0,AE54,1E+99),IF(AG54&gt;0,AG54,1E+99),IF(AI54&gt;0,AI54,1E+99),IF(AK54&gt;0,AK54,1E+99),IF(AM54&gt;0,AM54,1E+99),IF(AO54&gt;0,AO54,1E+99),IF(AQ54&gt;0,AQ54,1E+99),IF(AS54&gt;0,AS54,1E+99),IF(AU54&gt;0,AU54,1E+99),IF(AW54&gt;0,AW54,1E+99),IF(AY54&gt;0,AY54,1E+99),IF(BA54&gt;0,BA54,1E+99)),IF(m=1E+99,"",m))</x:f>
        <x:v>10.098</x:v>
      </x:c>
      <x:c r="BE54" s="16" t="e">
        <x:f>IF(BD54="","",INDEX({"v1.4.20","v1.4.20","v1.4.21","v1.4.21","v1.4.23","v1.4.23","v1.4.26","v1.4.26","v1.4.26.1","v1.4.26.1","v1.4.27","v1.4.27","v1.4.29","v1.4.29","v1.4.30","v1.4.30","v1.4.31","v1.4.31","v1.4.33","v1.4.33","v1.4.35","v1.4.35.2","v1.5","v1.5.1","v1.5.1"},MATCH(BD54,CHOOSE({1,2,3,4,5,6,7,8,9,10,11,12,13,14,15,16,17,18,19,20,21,22,23,24,25},E54,G54,I54,K54,M54,O54,Q54,S54,U54,W54,Y54,AA54,AC54,AE54,AG54,AI54,AK54,AM54,AO54,AQ54,AS54,AU54,AW54,AY54,BA54),0)))</x:f>
      </x:c>
      <x:c r="BF54" s="10" t="str">
        <x:f>IFERROR((AX54-BB54)/BB54,"")</x:f>
      </x:c>
      <x:c r="BG54" s="10" t="n">
        <x:f>IFERROR((AY54-BD54)/BD54,"")</x:f>
        <x:v>3.9664289958407606</x:v>
      </x:c>
    </x:row>
    <x:row r="55">
      <x:c r="A55" t="str">
        <x:v>Banner Report</x:v>
      </x:c>
      <x:c r="B55" t="str">
        <x:v>Create / Refresh All Templates</x:v>
      </x:c>
      <x:c r="C55" t="str">
        <x:v>Write metadata/signature: Template - Banner Report</x:v>
      </x:c>
      <x:c r="D55" s="8" t="n">
        <x:v>0.078</x:v>
      </x:c>
      <x:c r="E55" s="8" t="n">
        <x:v>37.041</x:v>
      </x:c>
      <x:c r="F55" s="8"/>
      <x:c r="G55" s="8"/>
      <x:c r="H55" s="8" t="n">
        <x:v>0.085</x:v>
      </x:c>
      <x:c r="I55" s="8" t="n">
        <x:v>51.943</x:v>
      </x:c>
      <x:c r="J55" s="8"/>
      <x:c r="K55" s="8"/>
      <x:c r="L55" s="8"/>
      <x:c r="M55" s="8"/>
      <x:c r="N55" s="8" t="n">
        <x:v>0.122</x:v>
      </x:c>
      <x:c r="O55" s="8" t="n">
        <x:v>45.865</x:v>
      </x:c>
      <x:c r="P55" s="8"/>
      <x:c r="Q55" s="8"/>
      <x:c r="R55" s="8" t="n">
        <x:v>0.07</x:v>
      </x:c>
      <x:c r="S55" s="8" t="n">
        <x:v>29.14</x:v>
      </x:c>
      <x:c r="T55" s="8"/>
      <x:c r="U55" s="8"/>
      <x:c r="V55" s="8" t="n">
        <x:v>0.203</x:v>
      </x:c>
      <x:c r="W55" s="8" t="n">
        <x:v>42.012</x:v>
      </x:c>
      <x:c r="X55" s="8"/>
      <x:c r="Y55" s="8"/>
      <x:c r="Z55" s="8" t="n">
        <x:v>0.179</x:v>
      </x:c>
      <x:c r="AA55" s="8" t="n">
        <x:v>53.466</x:v>
      </x:c>
      <x:c r="AB55" s="8"/>
      <x:c r="AC55" s="8"/>
      <x:c r="AD55" s="8" t="n">
        <x:v>0.116</x:v>
      </x:c>
      <x:c r="AE55" s="8" t="n">
        <x:v>54.134</x:v>
      </x:c>
      <x:c r="AF55" s="8" t="n">
        <x:v>0.165</x:v>
      </x:c>
      <x:c r="AG55" s="8" t="n">
        <x:v>59.012</x:v>
      </x:c>
      <x:c r="AH55" s="8"/>
      <x:c r="AI55" s="8"/>
      <x:c r="AJ55" s="8"/>
      <x:c r="AK55" s="8"/>
      <x:c r="AL55" s="8" t="n">
        <x:v>0.126</x:v>
      </x:c>
      <x:c r="AM55" s="8" t="n">
        <x:v>10.224</x:v>
      </x:c>
      <x:c r="AN55" s="8" t="n">
        <x:v>0.139</x:v>
      </x:c>
      <x:c r="AO55" s="8" t="n">
        <x:v>45.969</x:v>
      </x:c>
      <x:c r="AP55" s="8"/>
      <x:c r="AQ55" s="8"/>
      <x:c r="AR55" s="8" t="n">
        <x:v>0.199</x:v>
      </x:c>
      <x:c r="AS55" s="8" t="n">
        <x:v>58.025</x:v>
      </x:c>
      <x:c r="AT55" s="8" t="n">
        <x:v>0.076</x:v>
      </x:c>
      <x:c r="AU55" s="8" t="n">
        <x:v>42.997</x:v>
      </x:c>
      <x:c r="AV55" s="8" t="n">
        <x:v>0.141</x:v>
      </x:c>
      <x:c r="AW55" s="8" t="n">
        <x:v>46.882</x:v>
      </x:c>
      <x:c r="AX55" s="8" t="n">
        <x:v>0.07</x:v>
      </x:c>
      <x:c r="AY55" s="8" t="n">
        <x:v>50.221</x:v>
      </x:c>
      <x:c r="AZ55" s="8"/>
      <x:c r="BA55" s="8"/>
      <x:c r="BB55" s="8" t="n">
        <x:f>LET(m,MIN(IF(D55&gt;0,D55,1E+99),IF(F55&gt;0,F55,1E+99),IF(H55&gt;0,H55,1E+99),IF(J55&gt;0,J55,1E+99),IF(L55&gt;0,L55,1E+99),IF(N55&gt;0,N55,1E+99),IF(P55&gt;0,P55,1E+99),IF(R55&gt;0,R55,1E+99),IF(T55&gt;0,T55,1E+99),IF(V55&gt;0,V55,1E+99),IF(X55&gt;0,X55,1E+99),IF(Z55&gt;0,Z55,1E+99),IF(AB55&gt;0,AB55,1E+99),IF(AD55&gt;0,AD55,1E+99),IF(AF55&gt;0,AF55,1E+99),IF(AH55&gt;0,AH55,1E+99),IF(AJ55&gt;0,AJ55,1E+99),IF(AL55&gt;0,AL55,1E+99),IF(AN55&gt;0,AN55,1E+99),IF(AP55&gt;0,AP55,1E+99),IF(AR55&gt;0,AR55,1E+99),IF(AT55&gt;0,AT55,1E+99),IF(AV55&gt;0,AV55,1E+99),IF(AX55&gt;0,AX55,1E+99),IF(AZ55&gt;0,AZ55,1E+99)),IF(m=1E+99,"",m))</x:f>
        <x:v>0.07</x:v>
      </x:c>
      <x:c r="BC55" s="12" t="e">
        <x:f>IF(BB55="","",INDEX({"v1.4.20","v1.4.20","v1.4.21","v1.4.21","v1.4.23","v1.4.23","v1.4.26","v1.4.26","v1.4.26.1","v1.4.26.1","v1.4.27","v1.4.27","v1.4.29","v1.4.29","v1.4.30","v1.4.30","v1.4.31","v1.4.31","v1.4.33","v1.4.33","v1.4.35","v1.4.35.2","v1.5","v1.5.1","v1.5.1"},MATCH(BB55,CHOOSE({1,2,3,4,5,6,7,8,9,10,11,12,13,14,15,16,17,18,19,20,21,22,23,24,25},D55,F55,H55,J55,L55,N55,P55,R55,T55,V55,X55,Z55,AB55,AD55,AF55,AH55,AJ55,AL55,AN55,AP55,AR55,AT55,AV55,AX55,AZ55),0)))</x:f>
      </x:c>
      <x:c r="BD55" s="14" t="n">
        <x:f>LET(m,MIN(IF(E55&gt;0,E55,1E+99),IF(G55&gt;0,G55,1E+99),IF(I55&gt;0,I55,1E+99),IF(K55&gt;0,K55,1E+99),IF(M55&gt;0,M55,1E+99),IF(O55&gt;0,O55,1E+99),IF(Q55&gt;0,Q55,1E+99),IF(S55&gt;0,S55,1E+99),IF(U55&gt;0,U55,1E+99),IF(W55&gt;0,W55,1E+99),IF(Y55&gt;0,Y55,1E+99),IF(AA55&gt;0,AA55,1E+99),IF(AC55&gt;0,AC55,1E+99),IF(AE55&gt;0,AE55,1E+99),IF(AG55&gt;0,AG55,1E+99),IF(AI55&gt;0,AI55,1E+99),IF(AK55&gt;0,AK55,1E+99),IF(AM55&gt;0,AM55,1E+99),IF(AO55&gt;0,AO55,1E+99),IF(AQ55&gt;0,AQ55,1E+99),IF(AS55&gt;0,AS55,1E+99),IF(AU55&gt;0,AU55,1E+99),IF(AW55&gt;0,AW55,1E+99),IF(AY55&gt;0,AY55,1E+99),IF(BA55&gt;0,BA55,1E+99)),IF(m=1E+99,"",m))</x:f>
        <x:v>10.224</x:v>
      </x:c>
      <x:c r="BE55" s="16" t="e">
        <x:f>IF(BD55="","",INDEX({"v1.4.20","v1.4.20","v1.4.21","v1.4.21","v1.4.23","v1.4.23","v1.4.26","v1.4.26","v1.4.26.1","v1.4.26.1","v1.4.27","v1.4.27","v1.4.29","v1.4.29","v1.4.30","v1.4.30","v1.4.31","v1.4.31","v1.4.33","v1.4.33","v1.4.35","v1.4.35.2","v1.5","v1.5.1","v1.5.1"},MATCH(BD55,CHOOSE({1,2,3,4,5,6,7,8,9,10,11,12,13,14,15,16,17,18,19,20,21,22,23,24,25},E55,G55,I55,K55,M55,O55,Q55,S55,U55,W55,Y55,AA55,AC55,AE55,AG55,AI55,AK55,AM55,AO55,AQ55,AS55,AU55,AW55,AY55,BA55),0)))</x:f>
      </x:c>
      <x:c r="BF55" s="10" t="n">
        <x:f>IFERROR((AX55-BB55)/BB55,"")</x:f>
        <x:v>0</x:v>
      </x:c>
      <x:c r="BG55" s="10" t="n">
        <x:f>IFERROR((AY55-BD55)/BD55,"")</x:f>
        <x:v>3.912069640062598</x:v>
      </x:c>
    </x:row>
    <x:row r="56">
      <x:c r="A56" t="str">
        <x:v>Banner Report</x:v>
      </x:c>
      <x:c r="B56" t="str">
        <x:v>Create / Refresh All Templates</x:v>
      </x:c>
      <x:c r="C56" t="str">
        <x:v>Ensure frozen rows: Template - Banner Report</x:v>
      </x:c>
      <x:c r="D56" s="8" t="n">
        <x:v>0.757</x:v>
      </x:c>
      <x:c r="E56" s="8" t="n">
        <x:v>37.798</x:v>
      </x:c>
      <x:c r="F56" s="8"/>
      <x:c r="G56" s="8"/>
      <x:c r="H56" s="8" t="n">
        <x:v>1.134</x:v>
      </x:c>
      <x:c r="I56" s="8" t="n">
        <x:v>53.077</x:v>
      </x:c>
      <x:c r="J56" s="8"/>
      <x:c r="K56" s="8"/>
      <x:c r="L56" s="8"/>
      <x:c r="M56" s="8"/>
      <x:c r="N56" s="8" t="n">
        <x:v>1.09</x:v>
      </x:c>
      <x:c r="O56" s="8" t="n">
        <x:v>46.955</x:v>
      </x:c>
      <x:c r="P56" s="8"/>
      <x:c r="Q56" s="8"/>
      <x:c r="R56" s="8" t="n">
        <x:v>0.78</x:v>
      </x:c>
      <x:c r="S56" s="8" t="n">
        <x:v>29.92</x:v>
      </x:c>
      <x:c r="T56" s="8"/>
      <x:c r="U56" s="8"/>
      <x:c r="V56" s="8" t="n">
        <x:v>0.133</x:v>
      </x:c>
      <x:c r="W56" s="8" t="n">
        <x:v>42.145</x:v>
      </x:c>
      <x:c r="X56" s="8"/>
      <x:c r="Y56" s="8"/>
      <x:c r="Z56" s="8" t="n">
        <x:v>1.355</x:v>
      </x:c>
      <x:c r="AA56" s="8" t="n">
        <x:v>54.821</x:v>
      </x:c>
      <x:c r="AB56" s="8"/>
      <x:c r="AC56" s="8"/>
      <x:c r="AD56" s="8" t="n">
        <x:v>0.299</x:v>
      </x:c>
      <x:c r="AE56" s="8" t="n">
        <x:v>54.433</x:v>
      </x:c>
      <x:c r="AF56" s="8" t="n">
        <x:v>0.29</x:v>
      </x:c>
      <x:c r="AG56" s="8" t="n">
        <x:v>59.302</x:v>
      </x:c>
      <x:c r="AH56" s="8"/>
      <x:c r="AI56" s="8"/>
      <x:c r="AJ56" s="8"/>
      <x:c r="AK56" s="8"/>
      <x:c r="AL56" s="8" t="n">
        <x:v>0.105</x:v>
      </x:c>
      <x:c r="AM56" s="8" t="n">
        <x:v>10.329</x:v>
      </x:c>
      <x:c r="AN56" s="8" t="n">
        <x:v>0.137</x:v>
      </x:c>
      <x:c r="AO56" s="8" t="n">
        <x:v>46.106</x:v>
      </x:c>
      <x:c r="AP56" s="8"/>
      <x:c r="AQ56" s="8"/>
      <x:c r="AR56" s="8" t="n">
        <x:v>1.598</x:v>
      </x:c>
      <x:c r="AS56" s="8" t="n">
        <x:v>59.623</x:v>
      </x:c>
      <x:c r="AT56" s="8" t="n">
        <x:v>0.965</x:v>
      </x:c>
      <x:c r="AU56" s="8" t="n">
        <x:v>43.962</x:v>
      </x:c>
      <x:c r="AV56" s="8" t="n">
        <x:v>1.239</x:v>
      </x:c>
      <x:c r="AW56" s="8" t="n">
        <x:v>48.121</x:v>
      </x:c>
      <x:c r="AX56" s="8" t="n">
        <x:v>1.244</x:v>
      </x:c>
      <x:c r="AY56" s="8" t="n">
        <x:v>51.465</x:v>
      </x:c>
      <x:c r="AZ56" s="8"/>
      <x:c r="BA56" s="8"/>
      <x:c r="BB56" s="8" t="n">
        <x:f>LET(m,MIN(IF(D56&gt;0,D56,1E+99),IF(F56&gt;0,F56,1E+99),IF(H56&gt;0,H56,1E+99),IF(J56&gt;0,J56,1E+99),IF(L56&gt;0,L56,1E+99),IF(N56&gt;0,N56,1E+99),IF(P56&gt;0,P56,1E+99),IF(R56&gt;0,R56,1E+99),IF(T56&gt;0,T56,1E+99),IF(V56&gt;0,V56,1E+99),IF(X56&gt;0,X56,1E+99),IF(Z56&gt;0,Z56,1E+99),IF(AB56&gt;0,AB56,1E+99),IF(AD56&gt;0,AD56,1E+99),IF(AF56&gt;0,AF56,1E+99),IF(AH56&gt;0,AH56,1E+99),IF(AJ56&gt;0,AJ56,1E+99),IF(AL56&gt;0,AL56,1E+99),IF(AN56&gt;0,AN56,1E+99),IF(AP56&gt;0,AP56,1E+99),IF(AR56&gt;0,AR56,1E+99),IF(AT56&gt;0,AT56,1E+99),IF(AV56&gt;0,AV56,1E+99),IF(AX56&gt;0,AX56,1E+99),IF(AZ56&gt;0,AZ56,1E+99)),IF(m=1E+99,"",m))</x:f>
        <x:v>0.105</x:v>
      </x:c>
      <x:c r="BC56" s="12" t="e">
        <x:f>IF(BB56="","",INDEX({"v1.4.20","v1.4.20","v1.4.21","v1.4.21","v1.4.23","v1.4.23","v1.4.26","v1.4.26","v1.4.26.1","v1.4.26.1","v1.4.27","v1.4.27","v1.4.29","v1.4.29","v1.4.30","v1.4.30","v1.4.31","v1.4.31","v1.4.33","v1.4.33","v1.4.35","v1.4.35.2","v1.5","v1.5.1","v1.5.1"},MATCH(BB56,CHOOSE({1,2,3,4,5,6,7,8,9,10,11,12,13,14,15,16,17,18,19,20,21,22,23,24,25},D56,F56,H56,J56,L56,N56,P56,R56,T56,V56,X56,Z56,AB56,AD56,AF56,AH56,AJ56,AL56,AN56,AP56,AR56,AT56,AV56,AX56,AZ56),0)))</x:f>
      </x:c>
      <x:c r="BD56" s="14" t="n">
        <x:f>LET(m,MIN(IF(E56&gt;0,E56,1E+99),IF(G56&gt;0,G56,1E+99),IF(I56&gt;0,I56,1E+99),IF(K56&gt;0,K56,1E+99),IF(M56&gt;0,M56,1E+99),IF(O56&gt;0,O56,1E+99),IF(Q56&gt;0,Q56,1E+99),IF(S56&gt;0,S56,1E+99),IF(U56&gt;0,U56,1E+99),IF(W56&gt;0,W56,1E+99),IF(Y56&gt;0,Y56,1E+99),IF(AA56&gt;0,AA56,1E+99),IF(AC56&gt;0,AC56,1E+99),IF(AE56&gt;0,AE56,1E+99),IF(AG56&gt;0,AG56,1E+99),IF(AI56&gt;0,AI56,1E+99),IF(AK56&gt;0,AK56,1E+99),IF(AM56&gt;0,AM56,1E+99),IF(AO56&gt;0,AO56,1E+99),IF(AQ56&gt;0,AQ56,1E+99),IF(AS56&gt;0,AS56,1E+99),IF(AU56&gt;0,AU56,1E+99),IF(AW56&gt;0,AW56,1E+99),IF(AY56&gt;0,AY56,1E+99),IF(BA56&gt;0,BA56,1E+99)),IF(m=1E+99,"",m))</x:f>
        <x:v>10.329</x:v>
      </x:c>
      <x:c r="BE56" s="16" t="e">
        <x:f>IF(BD56="","",INDEX({"v1.4.20","v1.4.20","v1.4.21","v1.4.21","v1.4.23","v1.4.23","v1.4.26","v1.4.26","v1.4.26.1","v1.4.26.1","v1.4.27","v1.4.27","v1.4.29","v1.4.29","v1.4.30","v1.4.30","v1.4.31","v1.4.31","v1.4.33","v1.4.33","v1.4.35","v1.4.35.2","v1.5","v1.5.1","v1.5.1"},MATCH(BD56,CHOOSE({1,2,3,4,5,6,7,8,9,10,11,12,13,14,15,16,17,18,19,20,21,22,23,24,25},E56,G56,I56,K56,M56,O56,Q56,S56,U56,W56,Y56,AA56,AC56,AE56,AG56,AI56,AK56,AM56,AO56,AQ56,AS56,AU56,AW56,AY56,BA56),0)))</x:f>
      </x:c>
      <x:c r="BF56" s="10" t="n">
        <x:f>IFERROR((AX56-BB56)/BB56,"")</x:f>
        <x:v>10.847619047619048</x:v>
      </x:c>
      <x:c r="BG56" s="10" t="n">
        <x:f>IFERROR((AY56-BD56)/BD56,"")</x:f>
        <x:v>3.982573337205925</x:v>
      </x:c>
    </x:row>
    <x:row r="57">
      <x:c r="A57" t="str">
        <x:v>Banner Report</x:v>
      </x:c>
      <x:c r="B57" t="str">
        <x:v>Create / Refresh All Templates</x:v>
      </x:c>
      <x:c r="C57" t="str">
        <x:v>Ensure frozen columns: Template - Banner Report</x:v>
      </x:c>
      <x:c r="D57" s="8" t="n">
        <x:v>0.485</x:v>
      </x:c>
      <x:c r="E57" s="8" t="n">
        <x:v>38.283</x:v>
      </x:c>
      <x:c r="F57" s="8"/>
      <x:c r="G57" s="8"/>
      <x:c r="H57" s="8" t="n">
        <x:v>0.573</x:v>
      </x:c>
      <x:c r="I57" s="8" t="n">
        <x:v>53.65</x:v>
      </x:c>
      <x:c r="J57" s="8"/>
      <x:c r="K57" s="8"/>
      <x:c r="L57" s="8"/>
      <x:c r="M57" s="8"/>
      <x:c r="N57" s="8" t="n">
        <x:v>0.583</x:v>
      </x:c>
      <x:c r="O57" s="8" t="n">
        <x:v>47.538</x:v>
      </x:c>
      <x:c r="P57" s="8"/>
      <x:c r="Q57" s="8"/>
      <x:c r="R57" s="8" t="n">
        <x:v>0.424</x:v>
      </x:c>
      <x:c r="S57" s="8" t="n">
        <x:v>30.344</x:v>
      </x:c>
      <x:c r="T57" s="8"/>
      <x:c r="U57" s="8"/>
      <x:c r="V57" s="8" t="n">
        <x:v>0.535</x:v>
      </x:c>
      <x:c r="W57" s="8" t="n">
        <x:v>42.68</x:v>
      </x:c>
      <x:c r="X57" s="8"/>
      <x:c r="Y57" s="8"/>
      <x:c r="Z57" s="8" t="n">
        <x:v>0.838</x:v>
      </x:c>
      <x:c r="AA57" s="8" t="n">
        <x:v>55.659</x:v>
      </x:c>
      <x:c r="AB57" s="8"/>
      <x:c r="AC57" s="8"/>
      <x:c r="AD57" s="8" t="n">
        <x:v>0.915</x:v>
      </x:c>
      <x:c r="AE57" s="8" t="n">
        <x:v>55.348</x:v>
      </x:c>
      <x:c r="AF57" s="8" t="n">
        <x:v>0.683</x:v>
      </x:c>
      <x:c r="AG57" s="8" t="n">
        <x:v>59.985</x:v>
      </x:c>
      <x:c r="AH57" s="8"/>
      <x:c r="AI57" s="8"/>
      <x:c r="AJ57" s="8"/>
      <x:c r="AK57" s="8"/>
      <x:c r="AL57" s="8" t="n">
        <x:v>0.447</x:v>
      </x:c>
      <x:c r="AM57" s="8" t="n">
        <x:v>10.776</x:v>
      </x:c>
      <x:c r="AN57" s="8" t="n">
        <x:v>0.544</x:v>
      </x:c>
      <x:c r="AO57" s="8" t="n">
        <x:v>46.65</x:v>
      </x:c>
      <x:c r="AP57" s="8"/>
      <x:c r="AQ57" s="8"/>
      <x:c r="AR57" s="8" t="n">
        <x:v>0.806</x:v>
      </x:c>
      <x:c r="AS57" s="8" t="n">
        <x:v>60.429</x:v>
      </x:c>
      <x:c r="AT57" s="8" t="n">
        <x:v>0.51</x:v>
      </x:c>
      <x:c r="AU57" s="8" t="n">
        <x:v>44.472</x:v>
      </x:c>
      <x:c r="AV57" s="8" t="n">
        <x:v>0.758</x:v>
      </x:c>
      <x:c r="AW57" s="8" t="n">
        <x:v>48.879</x:v>
      </x:c>
      <x:c r="AX57" s="8" t="n">
        <x:v>0.765</x:v>
      </x:c>
      <x:c r="AY57" s="8" t="n">
        <x:v>52.23</x:v>
      </x:c>
      <x:c r="AZ57" s="8"/>
      <x:c r="BA57" s="8"/>
      <x:c r="BB57" s="8" t="n">
        <x:f>LET(m,MIN(IF(D57&gt;0,D57,1E+99),IF(F57&gt;0,F57,1E+99),IF(H57&gt;0,H57,1E+99),IF(J57&gt;0,J57,1E+99),IF(L57&gt;0,L57,1E+99),IF(N57&gt;0,N57,1E+99),IF(P57&gt;0,P57,1E+99),IF(R57&gt;0,R57,1E+99),IF(T57&gt;0,T57,1E+99),IF(V57&gt;0,V57,1E+99),IF(X57&gt;0,X57,1E+99),IF(Z57&gt;0,Z57,1E+99),IF(AB57&gt;0,AB57,1E+99),IF(AD57&gt;0,AD57,1E+99),IF(AF57&gt;0,AF57,1E+99),IF(AH57&gt;0,AH57,1E+99),IF(AJ57&gt;0,AJ57,1E+99),IF(AL57&gt;0,AL57,1E+99),IF(AN57&gt;0,AN57,1E+99),IF(AP57&gt;0,AP57,1E+99),IF(AR57&gt;0,AR57,1E+99),IF(AT57&gt;0,AT57,1E+99),IF(AV57&gt;0,AV57,1E+99),IF(AX57&gt;0,AX57,1E+99),IF(AZ57&gt;0,AZ57,1E+99)),IF(m=1E+99,"",m))</x:f>
        <x:v>0.424</x:v>
      </x:c>
      <x:c r="BC57" s="12" t="e">
        <x:f>IF(BB57="","",INDEX({"v1.4.20","v1.4.20","v1.4.21","v1.4.21","v1.4.23","v1.4.23","v1.4.26","v1.4.26","v1.4.26.1","v1.4.26.1","v1.4.27","v1.4.27","v1.4.29","v1.4.29","v1.4.30","v1.4.30","v1.4.31","v1.4.31","v1.4.33","v1.4.33","v1.4.35","v1.4.35.2","v1.5","v1.5.1","v1.5.1"},MATCH(BB57,CHOOSE({1,2,3,4,5,6,7,8,9,10,11,12,13,14,15,16,17,18,19,20,21,22,23,24,25},D57,F57,H57,J57,L57,N57,P57,R57,T57,V57,X57,Z57,AB57,AD57,AF57,AH57,AJ57,AL57,AN57,AP57,AR57,AT57,AV57,AX57,AZ57),0)))</x:f>
      </x:c>
      <x:c r="BD57" s="14" t="n">
        <x:f>LET(m,MIN(IF(E57&gt;0,E57,1E+99),IF(G57&gt;0,G57,1E+99),IF(I57&gt;0,I57,1E+99),IF(K57&gt;0,K57,1E+99),IF(M57&gt;0,M57,1E+99),IF(O57&gt;0,O57,1E+99),IF(Q57&gt;0,Q57,1E+99),IF(S57&gt;0,S57,1E+99),IF(U57&gt;0,U57,1E+99),IF(W57&gt;0,W57,1E+99),IF(Y57&gt;0,Y57,1E+99),IF(AA57&gt;0,AA57,1E+99),IF(AC57&gt;0,AC57,1E+99),IF(AE57&gt;0,AE57,1E+99),IF(AG57&gt;0,AG57,1E+99),IF(AI57&gt;0,AI57,1E+99),IF(AK57&gt;0,AK57,1E+99),IF(AM57&gt;0,AM57,1E+99),IF(AO57&gt;0,AO57,1E+99),IF(AQ57&gt;0,AQ57,1E+99),IF(AS57&gt;0,AS57,1E+99),IF(AU57&gt;0,AU57,1E+99),IF(AW57&gt;0,AW57,1E+99),IF(AY57&gt;0,AY57,1E+99),IF(BA57&gt;0,BA57,1E+99)),IF(m=1E+99,"",m))</x:f>
        <x:v>10.776</x:v>
      </x:c>
      <x:c r="BE57" s="16" t="e">
        <x:f>IF(BD57="","",INDEX({"v1.4.20","v1.4.20","v1.4.21","v1.4.21","v1.4.23","v1.4.23","v1.4.26","v1.4.26","v1.4.26.1","v1.4.26.1","v1.4.27","v1.4.27","v1.4.29","v1.4.29","v1.4.30","v1.4.30","v1.4.31","v1.4.31","v1.4.33","v1.4.33","v1.4.35","v1.4.35.2","v1.5","v1.5.1","v1.5.1"},MATCH(BD57,CHOOSE({1,2,3,4,5,6,7,8,9,10,11,12,13,14,15,16,17,18,19,20,21,22,23,24,25},E57,G57,I57,K57,M57,O57,Q57,S57,U57,W57,Y57,AA57,AC57,AE57,AG57,AI57,AK57,AM57,AO57,AQ57,AS57,AU57,AW57,AY57,BA57),0)))</x:f>
      </x:c>
      <x:c r="BF57" s="10" t="n">
        <x:f>IFERROR((AX57-BB57)/BB57,"")</x:f>
        <x:v>0.804245283018868</x:v>
      </x:c>
      <x:c r="BG57" s="10" t="n">
        <x:f>IFERROR((AY57-BD57)/BD57,"")</x:f>
        <x:v>3.8468819599109128</x:v>
      </x:c>
    </x:row>
    <x:row r="58">
      <x:c r="A58" t="str">
        <x:v>Banner Report</x:v>
      </x:c>
      <x:c r="B58" t="str">
        <x:v>Create / Refresh All Templates</x:v>
      </x:c>
      <x:c r="C58" t="str">
        <x:v>Ensure tab color: Template - Banner Report</x:v>
      </x:c>
      <x:c r="D58" s="8" t="n">
        <x:v>0.472</x:v>
      </x:c>
      <x:c r="E58" s="8" t="n">
        <x:v>38.755</x:v>
      </x:c>
      <x:c r="F58" s="8"/>
      <x:c r="G58" s="8"/>
      <x:c r="H58" s="8" t="n">
        <x:v>0.558</x:v>
      </x:c>
      <x:c r="I58" s="8" t="n">
        <x:v>54.208</x:v>
      </x:c>
      <x:c r="J58" s="8"/>
      <x:c r="K58" s="8"/>
      <x:c r="L58" s="8"/>
      <x:c r="M58" s="8"/>
      <x:c r="N58" s="8" t="n">
        <x:v>0.748</x:v>
      </x:c>
      <x:c r="O58" s="8" t="n">
        <x:v>48.286</x:v>
      </x:c>
      <x:c r="P58" s="8"/>
      <x:c r="Q58" s="8"/>
      <x:c r="R58" s="8" t="n">
        <x:v>0.523</x:v>
      </x:c>
      <x:c r="S58" s="8" t="n">
        <x:v>30.867</x:v>
      </x:c>
      <x:c r="T58" s="8"/>
      <x:c r="U58" s="8"/>
      <x:c r="V58" s="8" t="n">
        <x:v>0.553</x:v>
      </x:c>
      <x:c r="W58" s="8" t="n">
        <x:v>43.233</x:v>
      </x:c>
      <x:c r="X58" s="8"/>
      <x:c r="Y58" s="8"/>
      <x:c r="Z58" s="8" t="n">
        <x:v>0.929</x:v>
      </x:c>
      <x:c r="AA58" s="8" t="n">
        <x:v>56.588</x:v>
      </x:c>
      <x:c r="AB58" s="8"/>
      <x:c r="AC58" s="8"/>
      <x:c r="AD58" s="8" t="n">
        <x:v>0.633</x:v>
      </x:c>
      <x:c r="AE58" s="8" t="n">
        <x:v>55.981</x:v>
      </x:c>
      <x:c r="AF58" s="8" t="n">
        <x:v>0.846</x:v>
      </x:c>
      <x:c r="AG58" s="8" t="n">
        <x:v>60.831</x:v>
      </x:c>
      <x:c r="AH58" s="8"/>
      <x:c r="AI58" s="8"/>
      <x:c r="AJ58" s="8"/>
      <x:c r="AK58" s="8"/>
      <x:c r="AL58" s="8" t="n">
        <x:v>0.314</x:v>
      </x:c>
      <x:c r="AM58" s="8" t="n">
        <x:v>11.09</x:v>
      </x:c>
      <x:c r="AN58" s="8" t="n">
        <x:v>0.598</x:v>
      </x:c>
      <x:c r="AO58" s="8" t="n">
        <x:v>47.248</x:v>
      </x:c>
      <x:c r="AP58" s="8"/>
      <x:c r="AQ58" s="8"/>
      <x:c r="AR58" s="8" t="n">
        <x:v>0.729</x:v>
      </x:c>
      <x:c r="AS58" s="8" t="n">
        <x:v>61.158</x:v>
      </x:c>
      <x:c r="AT58" s="8" t="n">
        <x:v>0.522</x:v>
      </x:c>
      <x:c r="AU58" s="8" t="n">
        <x:v>44.994</x:v>
      </x:c>
      <x:c r="AV58" s="8" t="n">
        <x:v>0.714</x:v>
      </x:c>
      <x:c r="AW58" s="8" t="n">
        <x:v>49.593</x:v>
      </x:c>
      <x:c r="AX58" s="8" t="n">
        <x:v>0.745</x:v>
      </x:c>
      <x:c r="AY58" s="8" t="n">
        <x:v>52.975</x:v>
      </x:c>
      <x:c r="AZ58" s="8"/>
      <x:c r="BA58" s="8"/>
      <x:c r="BB58" s="8" t="n">
        <x:f>LET(m,MIN(IF(D58&gt;0,D58,1E+99),IF(F58&gt;0,F58,1E+99),IF(H58&gt;0,H58,1E+99),IF(J58&gt;0,J58,1E+99),IF(L58&gt;0,L58,1E+99),IF(N58&gt;0,N58,1E+99),IF(P58&gt;0,P58,1E+99),IF(R58&gt;0,R58,1E+99),IF(T58&gt;0,T58,1E+99),IF(V58&gt;0,V58,1E+99),IF(X58&gt;0,X58,1E+99),IF(Z58&gt;0,Z58,1E+99),IF(AB58&gt;0,AB58,1E+99),IF(AD58&gt;0,AD58,1E+99),IF(AF58&gt;0,AF58,1E+99),IF(AH58&gt;0,AH58,1E+99),IF(AJ58&gt;0,AJ58,1E+99),IF(AL58&gt;0,AL58,1E+99),IF(AN58&gt;0,AN58,1E+99),IF(AP58&gt;0,AP58,1E+99),IF(AR58&gt;0,AR58,1E+99),IF(AT58&gt;0,AT58,1E+99),IF(AV58&gt;0,AV58,1E+99),IF(AX58&gt;0,AX58,1E+99),IF(AZ58&gt;0,AZ58,1E+99)),IF(m=1E+99,"",m))</x:f>
        <x:v>0.314</x:v>
      </x:c>
      <x:c r="BC58" s="12" t="e">
        <x:f>IF(BB58="","",INDEX({"v1.4.20","v1.4.20","v1.4.21","v1.4.21","v1.4.23","v1.4.23","v1.4.26","v1.4.26","v1.4.26.1","v1.4.26.1","v1.4.27","v1.4.27","v1.4.29","v1.4.29","v1.4.30","v1.4.30","v1.4.31","v1.4.31","v1.4.33","v1.4.33","v1.4.35","v1.4.35.2","v1.5","v1.5.1","v1.5.1"},MATCH(BB58,CHOOSE({1,2,3,4,5,6,7,8,9,10,11,12,13,14,15,16,17,18,19,20,21,22,23,24,25},D58,F58,H58,J58,L58,N58,P58,R58,T58,V58,X58,Z58,AB58,AD58,AF58,AH58,AJ58,AL58,AN58,AP58,AR58,AT58,AV58,AX58,AZ58),0)))</x:f>
      </x:c>
      <x:c r="BD58" s="14" t="n">
        <x:f>LET(m,MIN(IF(E58&gt;0,E58,1E+99),IF(G58&gt;0,G58,1E+99),IF(I58&gt;0,I58,1E+99),IF(K58&gt;0,K58,1E+99),IF(M58&gt;0,M58,1E+99),IF(O58&gt;0,O58,1E+99),IF(Q58&gt;0,Q58,1E+99),IF(S58&gt;0,S58,1E+99),IF(U58&gt;0,U58,1E+99),IF(W58&gt;0,W58,1E+99),IF(Y58&gt;0,Y58,1E+99),IF(AA58&gt;0,AA58,1E+99),IF(AC58&gt;0,AC58,1E+99),IF(AE58&gt;0,AE58,1E+99),IF(AG58&gt;0,AG58,1E+99),IF(AI58&gt;0,AI58,1E+99),IF(AK58&gt;0,AK58,1E+99),IF(AM58&gt;0,AM58,1E+99),IF(AO58&gt;0,AO58,1E+99),IF(AQ58&gt;0,AQ58,1E+99),IF(AS58&gt;0,AS58,1E+99),IF(AU58&gt;0,AU58,1E+99),IF(AW58&gt;0,AW58,1E+99),IF(AY58&gt;0,AY58,1E+99),IF(BA58&gt;0,BA58,1E+99)),IF(m=1E+99,"",m))</x:f>
        <x:v>11.09</x:v>
      </x:c>
      <x:c r="BE58" s="16" t="e">
        <x:f>IF(BD58="","",INDEX({"v1.4.20","v1.4.20","v1.4.21","v1.4.21","v1.4.23","v1.4.23","v1.4.26","v1.4.26","v1.4.26.1","v1.4.26.1","v1.4.27","v1.4.27","v1.4.29","v1.4.29","v1.4.30","v1.4.30","v1.4.31","v1.4.31","v1.4.33","v1.4.33","v1.4.35","v1.4.35.2","v1.5","v1.5.1","v1.5.1"},MATCH(BD58,CHOOSE({1,2,3,4,5,6,7,8,9,10,11,12,13,14,15,16,17,18,19,20,21,22,23,24,25},E58,G58,I58,K58,M58,O58,Q58,S58,U58,W58,Y58,AA58,AC58,AE58,AG58,AI58,AK58,AM58,AO58,AQ58,AS58,AU58,AW58,AY58,BA58),0)))</x:f>
      </x:c>
      <x:c r="BF58" s="10" t="n">
        <x:f>IFERROR((AX58-BB58)/BB58,"")</x:f>
        <x:v>1.372611464968153</x:v>
      </x:c>
      <x:c r="BG58" s="10" t="n">
        <x:f>IFERROR((AY58-BD58)/BD58,"")</x:f>
        <x:v>3.7768259693417496</x:v>
      </x:c>
    </x:row>
    <x:row r="59">
      <x:c r="A59" t="str">
        <x:v>Banner Report</x:v>
      </x:c>
      <x:c r="B59" t="str">
        <x:v>Create / Refresh All Templates</x:v>
      </x:c>
      <x:c r="C59" t="str">
        <x:v>Final date/number format enforcement: Template - Banner Report</x:v>
      </x:c>
      <x:c r="D59" s="8" t="n">
        <x:v>0.088</x:v>
      </x:c>
      <x:c r="E59" s="8" t="n">
        <x:v>38.843</x:v>
      </x:c>
      <x:c r="F59" s="8"/>
      <x:c r="G59" s="8"/>
      <x:c r="H59" s="8" t="n">
        <x:v>0.057</x:v>
      </x:c>
      <x:c r="I59" s="8" t="n">
        <x:v>54.265</x:v>
      </x:c>
      <x:c r="J59" s="8"/>
      <x:c r="K59" s="8"/>
      <x:c r="L59" s="8"/>
      <x:c r="M59" s="8"/>
      <x:c r="N59" s="8" t="n">
        <x:v>0.058</x:v>
      </x:c>
      <x:c r="O59" s="8" t="n">
        <x:v>48.344</x:v>
      </x:c>
      <x:c r="P59" s="8"/>
      <x:c r="Q59" s="8"/>
      <x:c r="R59" s="8" t="n">
        <x:v>0.051</x:v>
      </x:c>
      <x:c r="S59" s="8" t="n">
        <x:v>30.918</x:v>
      </x:c>
      <x:c r="T59" s="8"/>
      <x:c r="U59" s="8"/>
      <x:c r="V59" s="8" t="n">
        <x:v>0.1</x:v>
      </x:c>
      <x:c r="W59" s="8" t="n">
        <x:v>43.333</x:v>
      </x:c>
      <x:c r="X59" s="8"/>
      <x:c r="Y59" s="8"/>
      <x:c r="Z59" s="8" t="n">
        <x:v>0.095</x:v>
      </x:c>
      <x:c r="AA59" s="8" t="n">
        <x:v>56.683</x:v>
      </x:c>
      <x:c r="AB59" s="8"/>
      <x:c r="AC59" s="8"/>
      <x:c r="AD59" s="8" t="n">
        <x:v>0.065</x:v>
      </x:c>
      <x:c r="AE59" s="8" t="n">
        <x:v>56.046</x:v>
      </x:c>
      <x:c r="AF59" s="8" t="n">
        <x:v>0.041</x:v>
      </x:c>
      <x:c r="AG59" s="8" t="n">
        <x:v>60.872</x:v>
      </x:c>
      <x:c r="AH59" s="8"/>
      <x:c r="AI59" s="8"/>
      <x:c r="AJ59" s="8"/>
      <x:c r="AK59" s="8"/>
      <x:c r="AL59" s="8" t="n">
        <x:v>0.063</x:v>
      </x:c>
      <x:c r="AM59" s="8" t="n">
        <x:v>11.153</x:v>
      </x:c>
      <x:c r="AN59" s="8" t="n">
        <x:v>0.089</x:v>
      </x:c>
      <x:c r="AO59" s="8" t="n">
        <x:v>47.337</x:v>
      </x:c>
      <x:c r="AP59" s="8"/>
      <x:c r="AQ59" s="8"/>
      <x:c r="AR59" s="8" t="n">
        <x:v>0.103</x:v>
      </x:c>
      <x:c r="AS59" s="8" t="n">
        <x:v>61.261</x:v>
      </x:c>
      <x:c r="AT59" s="8" t="n">
        <x:v>0.068</x:v>
      </x:c>
      <x:c r="AU59" s="8" t="n">
        <x:v>45.062</x:v>
      </x:c>
      <x:c r="AV59" s="8" t="n">
        <x:v>0.071</x:v>
      </x:c>
      <x:c r="AW59" s="8" t="n">
        <x:v>49.664</x:v>
      </x:c>
      <x:c r="AX59" s="8" t="n">
        <x:v>0.2</x:v>
      </x:c>
      <x:c r="AY59" s="8" t="n">
        <x:v>53.175</x:v>
      </x:c>
      <x:c r="AZ59" s="8"/>
      <x:c r="BA59" s="8"/>
      <x:c r="BB59" s="8" t="n">
        <x:f>LET(m,MIN(IF(D59&gt;0,D59,1E+99),IF(F59&gt;0,F59,1E+99),IF(H59&gt;0,H59,1E+99),IF(J59&gt;0,J59,1E+99),IF(L59&gt;0,L59,1E+99),IF(N59&gt;0,N59,1E+99),IF(P59&gt;0,P59,1E+99),IF(R59&gt;0,R59,1E+99),IF(T59&gt;0,T59,1E+99),IF(V59&gt;0,V59,1E+99),IF(X59&gt;0,X59,1E+99),IF(Z59&gt;0,Z59,1E+99),IF(AB59&gt;0,AB59,1E+99),IF(AD59&gt;0,AD59,1E+99),IF(AF59&gt;0,AF59,1E+99),IF(AH59&gt;0,AH59,1E+99),IF(AJ59&gt;0,AJ59,1E+99),IF(AL59&gt;0,AL59,1E+99),IF(AN59&gt;0,AN59,1E+99),IF(AP59&gt;0,AP59,1E+99),IF(AR59&gt;0,AR59,1E+99),IF(AT59&gt;0,AT59,1E+99),IF(AV59&gt;0,AV59,1E+99),IF(AX59&gt;0,AX59,1E+99),IF(AZ59&gt;0,AZ59,1E+99)),IF(m=1E+99,"",m))</x:f>
        <x:v>0.041</x:v>
      </x:c>
      <x:c r="BC59" s="12" t="e">
        <x:f>IF(BB59="","",INDEX({"v1.4.20","v1.4.20","v1.4.21","v1.4.21","v1.4.23","v1.4.23","v1.4.26","v1.4.26","v1.4.26.1","v1.4.26.1","v1.4.27","v1.4.27","v1.4.29","v1.4.29","v1.4.30","v1.4.30","v1.4.31","v1.4.31","v1.4.33","v1.4.33","v1.4.35","v1.4.35.2","v1.5","v1.5.1","v1.5.1"},MATCH(BB59,CHOOSE({1,2,3,4,5,6,7,8,9,10,11,12,13,14,15,16,17,18,19,20,21,22,23,24,25},D59,F59,H59,J59,L59,N59,P59,R59,T59,V59,X59,Z59,AB59,AD59,AF59,AH59,AJ59,AL59,AN59,AP59,AR59,AT59,AV59,AX59,AZ59),0)))</x:f>
      </x:c>
      <x:c r="BD59" s="14" t="n">
        <x:f>LET(m,MIN(IF(E59&gt;0,E59,1E+99),IF(G59&gt;0,G59,1E+99),IF(I59&gt;0,I59,1E+99),IF(K59&gt;0,K59,1E+99),IF(M59&gt;0,M59,1E+99),IF(O59&gt;0,O59,1E+99),IF(Q59&gt;0,Q59,1E+99),IF(S59&gt;0,S59,1E+99),IF(U59&gt;0,U59,1E+99),IF(W59&gt;0,W59,1E+99),IF(Y59&gt;0,Y59,1E+99),IF(AA59&gt;0,AA59,1E+99),IF(AC59&gt;0,AC59,1E+99),IF(AE59&gt;0,AE59,1E+99),IF(AG59&gt;0,AG59,1E+99),IF(AI59&gt;0,AI59,1E+99),IF(AK59&gt;0,AK59,1E+99),IF(AM59&gt;0,AM59,1E+99),IF(AO59&gt;0,AO59,1E+99),IF(AQ59&gt;0,AQ59,1E+99),IF(AS59&gt;0,AS59,1E+99),IF(AU59&gt;0,AU59,1E+99),IF(AW59&gt;0,AW59,1E+99),IF(AY59&gt;0,AY59,1E+99),IF(BA59&gt;0,BA59,1E+99)),IF(m=1E+99,"",m))</x:f>
        <x:v>11.153</x:v>
      </x:c>
      <x:c r="BE59" s="16" t="e">
        <x:f>IF(BD59="","",INDEX({"v1.4.20","v1.4.20","v1.4.21","v1.4.21","v1.4.23","v1.4.23","v1.4.26","v1.4.26","v1.4.26.1","v1.4.26.1","v1.4.27","v1.4.27","v1.4.29","v1.4.29","v1.4.30","v1.4.30","v1.4.31","v1.4.31","v1.4.33","v1.4.33","v1.4.35","v1.4.35.2","v1.5","v1.5.1","v1.5.1"},MATCH(BD59,CHOOSE({1,2,3,4,5,6,7,8,9,10,11,12,13,14,15,16,17,18,19,20,21,22,23,24,25},E59,G59,I59,K59,M59,O59,Q59,S59,U59,W59,Y59,AA59,AC59,AE59,AG59,AI59,AK59,AM59,AO59,AQ59,AS59,AU59,AW59,AY59,BA59),0)))</x:f>
      </x:c>
      <x:c r="BF59" s="10" t="n">
        <x:f>IFERROR((AX59-BB59)/BB59,"")</x:f>
        <x:v>3.8780487804878048</x:v>
      </x:c>
      <x:c r="BG59" s="10" t="n">
        <x:f>IFERROR((AY59-BD59)/BD59,"")</x:f>
        <x:v>3.7677754864162107</x:v>
      </x:c>
    </x:row>
    <x:row r="60">
      <x:c r="A60" t="str">
        <x:v>Banner Report</x:v>
      </x:c>
      <x:c r="B60" t="str">
        <x:v>Create / Refresh All Templates</x:v>
      </x:c>
      <x:c r="C60" t="str">
        <x:v>Hide template: Template - Banner Report</x:v>
      </x:c>
      <x:c r="D60" s="8" t="n">
        <x:v>1.166</x:v>
      </x:c>
      <x:c r="E60" s="8" t="n">
        <x:v>40.009</x:v>
      </x:c>
      <x:c r="F60" s="8"/>
      <x:c r="G60" s="8"/>
      <x:c r="H60" s="8" t="n">
        <x:v>1.474</x:v>
      </x:c>
      <x:c r="I60" s="8" t="n">
        <x:v>55.739</x:v>
      </x:c>
      <x:c r="J60" s="8"/>
      <x:c r="K60" s="8"/>
      <x:c r="L60" s="8"/>
      <x:c r="M60" s="8"/>
      <x:c r="N60" s="8" t="n">
        <x:v>1.814</x:v>
      </x:c>
      <x:c r="O60" s="8" t="n">
        <x:v>50.158</x:v>
      </x:c>
      <x:c r="P60" s="8"/>
      <x:c r="Q60" s="8"/>
      <x:c r="R60" s="8" t="n">
        <x:v>0.979</x:v>
      </x:c>
      <x:c r="S60" s="8" t="n">
        <x:v>31.897</x:v>
      </x:c>
      <x:c r="T60" s="8"/>
      <x:c r="U60" s="8"/>
      <x:c r="V60" s="8" t="n">
        <x:v>1.178</x:v>
      </x:c>
      <x:c r="W60" s="8" t="n">
        <x:v>44.511</x:v>
      </x:c>
      <x:c r="X60" s="8"/>
      <x:c r="Y60" s="8"/>
      <x:c r="Z60" s="8" t="n">
        <x:v>1.876</x:v>
      </x:c>
      <x:c r="AA60" s="8" t="n">
        <x:v>58.559</x:v>
      </x:c>
      <x:c r="AB60" s="8"/>
      <x:c r="AC60" s="8"/>
      <x:c r="AD60" s="8" t="n">
        <x:v>2.222</x:v>
      </x:c>
      <x:c r="AE60" s="8" t="n">
        <x:v>58.268</x:v>
      </x:c>
      <x:c r="AF60" s="8" t="n">
        <x:v>1.951</x:v>
      </x:c>
      <x:c r="AG60" s="8" t="n">
        <x:v>62.823</x:v>
      </x:c>
      <x:c r="AH60" s="8"/>
      <x:c r="AI60" s="8"/>
      <x:c r="AJ60" s="8"/>
      <x:c r="AK60" s="8"/>
      <x:c r="AL60" s="8" t="n">
        <x:v>0.705</x:v>
      </x:c>
      <x:c r="AM60" s="8" t="n">
        <x:v>11.858</x:v>
      </x:c>
      <x:c r="AN60" s="8" t="n">
        <x:v>1.622</x:v>
      </x:c>
      <x:c r="AO60" s="8" t="n">
        <x:v>48.959</x:v>
      </x:c>
      <x:c r="AP60" s="8"/>
      <x:c r="AQ60" s="8"/>
      <x:c r="AR60" s="8" t="n">
        <x:v>2.316</x:v>
      </x:c>
      <x:c r="AS60" s="8" t="n">
        <x:v>63.577</x:v>
      </x:c>
      <x:c r="AT60" s="8" t="n">
        <x:v>1.258</x:v>
      </x:c>
      <x:c r="AU60" s="8" t="n">
        <x:v>46.32</x:v>
      </x:c>
      <x:c r="AV60" s="8" t="n">
        <x:v>1.803</x:v>
      </x:c>
      <x:c r="AW60" s="8" t="n">
        <x:v>51.467</x:v>
      </x:c>
      <x:c r="AX60" s="8" t="n">
        <x:v>1.841</x:v>
      </x:c>
      <x:c r="AY60" s="8" t="n">
        <x:v>55.016</x:v>
      </x:c>
      <x:c r="AZ60" s="8"/>
      <x:c r="BA60" s="8"/>
      <x:c r="BB60" s="8" t="n">
        <x:f>LET(m,MIN(IF(D60&gt;0,D60,1E+99),IF(F60&gt;0,F60,1E+99),IF(H60&gt;0,H60,1E+99),IF(J60&gt;0,J60,1E+99),IF(L60&gt;0,L60,1E+99),IF(N60&gt;0,N60,1E+99),IF(P60&gt;0,P60,1E+99),IF(R60&gt;0,R60,1E+99),IF(T60&gt;0,T60,1E+99),IF(V60&gt;0,V60,1E+99),IF(X60&gt;0,X60,1E+99),IF(Z60&gt;0,Z60,1E+99),IF(AB60&gt;0,AB60,1E+99),IF(AD60&gt;0,AD60,1E+99),IF(AF60&gt;0,AF60,1E+99),IF(AH60&gt;0,AH60,1E+99),IF(AJ60&gt;0,AJ60,1E+99),IF(AL60&gt;0,AL60,1E+99),IF(AN60&gt;0,AN60,1E+99),IF(AP60&gt;0,AP60,1E+99),IF(AR60&gt;0,AR60,1E+99),IF(AT60&gt;0,AT60,1E+99),IF(AV60&gt;0,AV60,1E+99),IF(AX60&gt;0,AX60,1E+99),IF(AZ60&gt;0,AZ60,1E+99)),IF(m=1E+99,"",m))</x:f>
        <x:v>0.705</x:v>
      </x:c>
      <x:c r="BC60" s="12" t="e">
        <x:f>IF(BB60="","",INDEX({"v1.4.20","v1.4.20","v1.4.21","v1.4.21","v1.4.23","v1.4.23","v1.4.26","v1.4.26","v1.4.26.1","v1.4.26.1","v1.4.27","v1.4.27","v1.4.29","v1.4.29","v1.4.30","v1.4.30","v1.4.31","v1.4.31","v1.4.33","v1.4.33","v1.4.35","v1.4.35.2","v1.5","v1.5.1","v1.5.1"},MATCH(BB60,CHOOSE({1,2,3,4,5,6,7,8,9,10,11,12,13,14,15,16,17,18,19,20,21,22,23,24,25},D60,F60,H60,J60,L60,N60,P60,R60,T60,V60,X60,Z60,AB60,AD60,AF60,AH60,AJ60,AL60,AN60,AP60,AR60,AT60,AV60,AX60,AZ60),0)))</x:f>
      </x:c>
      <x:c r="BD60" s="14" t="n">
        <x:f>LET(m,MIN(IF(E60&gt;0,E60,1E+99),IF(G60&gt;0,G60,1E+99),IF(I60&gt;0,I60,1E+99),IF(K60&gt;0,K60,1E+99),IF(M60&gt;0,M60,1E+99),IF(O60&gt;0,O60,1E+99),IF(Q60&gt;0,Q60,1E+99),IF(S60&gt;0,S60,1E+99),IF(U60&gt;0,U60,1E+99),IF(W60&gt;0,W60,1E+99),IF(Y60&gt;0,Y60,1E+99),IF(AA60&gt;0,AA60,1E+99),IF(AC60&gt;0,AC60,1E+99),IF(AE60&gt;0,AE60,1E+99),IF(AG60&gt;0,AG60,1E+99),IF(AI60&gt;0,AI60,1E+99),IF(AK60&gt;0,AK60,1E+99),IF(AM60&gt;0,AM60,1E+99),IF(AO60&gt;0,AO60,1E+99),IF(AQ60&gt;0,AQ60,1E+99),IF(AS60&gt;0,AS60,1E+99),IF(AU60&gt;0,AU60,1E+99),IF(AW60&gt;0,AW60,1E+99),IF(AY60&gt;0,AY60,1E+99),IF(BA60&gt;0,BA60,1E+99)),IF(m=1E+99,"",m))</x:f>
        <x:v>11.858</x:v>
      </x:c>
      <x:c r="BE60" s="16" t="e">
        <x:f>IF(BD60="","",INDEX({"v1.4.20","v1.4.20","v1.4.21","v1.4.21","v1.4.23","v1.4.23","v1.4.26","v1.4.26","v1.4.26.1","v1.4.26.1","v1.4.27","v1.4.27","v1.4.29","v1.4.29","v1.4.30","v1.4.30","v1.4.31","v1.4.31","v1.4.33","v1.4.33","v1.4.35","v1.4.35.2","v1.5","v1.5.1","v1.5.1"},MATCH(BD60,CHOOSE({1,2,3,4,5,6,7,8,9,10,11,12,13,14,15,16,17,18,19,20,21,22,23,24,25},E60,G60,I60,K60,M60,O60,Q60,S60,U60,W60,Y60,AA60,AC60,AE60,AG60,AI60,AK60,AM60,AO60,AQ60,AS60,AU60,AW60,AY60,BA60),0)))</x:f>
      </x:c>
      <x:c r="BF60" s="10" t="n">
        <x:f>IFERROR((AX60-BB60)/BB60,"")</x:f>
        <x:v>1.6113475177304968</x:v>
      </x:c>
      <x:c r="BG60" s="10" t="n">
        <x:f>IFERROR((AY60-BD60)/BD60,"")</x:f>
        <x:v>3.6395682239838085</x:v>
      </x:c>
    </x:row>
    <x:row r="61">
      <x:c r="A61" t="str">
        <x:v>Banner Report</x:v>
      </x:c>
      <x:c r="B61" t="str">
        <x:v>Create / Refresh All Templates</x:v>
      </x:c>
      <x:c r="C61" t="str">
        <x:v>Complete full template build: Template - Banner Report</x:v>
      </x:c>
      <x:c r="D61" s="8" t="n">
        <x:v>0</x:v>
      </x:c>
      <x:c r="E61" s="8" t="n">
        <x:v>40.009</x:v>
      </x:c>
      <x:c r="F61" s="8"/>
      <x:c r="G61" s="8"/>
      <x:c r="H61" s="8" t="n">
        <x:v>0</x:v>
      </x:c>
      <x:c r="I61" s="8" t="n">
        <x:v>55.739</x:v>
      </x:c>
      <x:c r="J61" s="8"/>
      <x:c r="K61" s="8"/>
      <x:c r="L61" s="8"/>
      <x:c r="M61" s="8"/>
      <x:c r="N61" s="8" t="n">
        <x:v>0</x:v>
      </x:c>
      <x:c r="O61" s="8" t="n">
        <x:v>50.158</x:v>
      </x:c>
      <x:c r="P61" s="8"/>
      <x:c r="Q61" s="8"/>
      <x:c r="R61" s="8" t="n">
        <x:v>0</x:v>
      </x:c>
      <x:c r="S61" s="8" t="n">
        <x:v>31.897</x:v>
      </x:c>
      <x:c r="T61" s="8"/>
      <x:c r="U61" s="8"/>
      <x:c r="V61" s="8" t="n">
        <x:v>0</x:v>
      </x:c>
      <x:c r="W61" s="8" t="n">
        <x:v>44.511</x:v>
      </x:c>
      <x:c r="X61" s="8"/>
      <x:c r="Y61" s="8"/>
      <x:c r="Z61" s="8" t="n">
        <x:v>0</x:v>
      </x:c>
      <x:c r="AA61" s="8" t="n">
        <x:v>58.559</x:v>
      </x:c>
      <x:c r="AB61" s="8"/>
      <x:c r="AC61" s="8"/>
      <x:c r="AD61" s="8" t="n">
        <x:v>0</x:v>
      </x:c>
      <x:c r="AE61" s="8" t="n">
        <x:v>58.268</x:v>
      </x:c>
      <x:c r="AF61" s="8" t="n">
        <x:v>0</x:v>
      </x:c>
      <x:c r="AG61" s="8" t="n">
        <x:v>62.823</x:v>
      </x:c>
      <x:c r="AH61" s="8"/>
      <x:c r="AI61" s="8"/>
      <x:c r="AJ61" s="8"/>
      <x:c r="AK61" s="8"/>
      <x:c r="AL61" s="8" t="n">
        <x:v>0</x:v>
      </x:c>
      <x:c r="AM61" s="8" t="n">
        <x:v>11.858</x:v>
      </x:c>
      <x:c r="AN61" s="8" t="n">
        <x:v>0</x:v>
      </x:c>
      <x:c r="AO61" s="8" t="n">
        <x:v>48.959</x:v>
      </x:c>
      <x:c r="AP61" s="8"/>
      <x:c r="AQ61" s="8"/>
      <x:c r="AR61" s="8" t="n">
        <x:v>0</x:v>
      </x:c>
      <x:c r="AS61" s="8" t="n">
        <x:v>63.577</x:v>
      </x:c>
      <x:c r="AT61" s="8" t="n">
        <x:v>0</x:v>
      </x:c>
      <x:c r="AU61" s="8" t="n">
        <x:v>46.32</x:v>
      </x:c>
      <x:c r="AV61" s="8" t="n">
        <x:v>0</x:v>
      </x:c>
      <x:c r="AW61" s="8" t="n">
        <x:v>51.467</x:v>
      </x:c>
      <x:c r="AX61" s="8" t="n">
        <x:v>0</x:v>
      </x:c>
      <x:c r="AY61" s="8" t="n">
        <x:v>55.016</x:v>
      </x:c>
      <x:c r="AZ61" s="8"/>
      <x:c r="BA61" s="8"/>
      <x:c r="BB61" s="8" t="str">
        <x:f>LET(m,MIN(IF(D61&gt;0,D61,1E+99),IF(F61&gt;0,F61,1E+99),IF(H61&gt;0,H61,1E+99),IF(J61&gt;0,J61,1E+99),IF(L61&gt;0,L61,1E+99),IF(N61&gt;0,N61,1E+99),IF(P61&gt;0,P61,1E+99),IF(R61&gt;0,R61,1E+99),IF(T61&gt;0,T61,1E+99),IF(V61&gt;0,V61,1E+99),IF(X61&gt;0,X61,1E+99),IF(Z61&gt;0,Z61,1E+99),IF(AB61&gt;0,AB61,1E+99),IF(AD61&gt;0,AD61,1E+99),IF(AF61&gt;0,AF61,1E+99),IF(AH61&gt;0,AH61,1E+99),IF(AJ61&gt;0,AJ61,1E+99),IF(AL61&gt;0,AL61,1E+99),IF(AN61&gt;0,AN61,1E+99),IF(AP61&gt;0,AP61,1E+99),IF(AR61&gt;0,AR61,1E+99),IF(AT61&gt;0,AT61,1E+99),IF(AV61&gt;0,AV61,1E+99),IF(AX61&gt;0,AX61,1E+99),IF(AZ61&gt;0,AZ61,1E+99)),IF(m=1E+99,"",m))</x:f>
      </x:c>
      <x:c r="BC61" s="12" t="str">
        <x:f>IF(BB61="","",INDEX({"v1.4.20","v1.4.20","v1.4.21","v1.4.21","v1.4.23","v1.4.23","v1.4.26","v1.4.26","v1.4.26.1","v1.4.26.1","v1.4.27","v1.4.27","v1.4.29","v1.4.29","v1.4.30","v1.4.30","v1.4.31","v1.4.31","v1.4.33","v1.4.33","v1.4.35","v1.4.35.2","v1.5","v1.5.1","v1.5.1"},MATCH(BB61,CHOOSE({1,2,3,4,5,6,7,8,9,10,11,12,13,14,15,16,17,18,19,20,21,22,23,24,25},D61,F61,H61,J61,L61,N61,P61,R61,T61,V61,X61,Z61,AB61,AD61,AF61,AH61,AJ61,AL61,AN61,AP61,AR61,AT61,AV61,AX61,AZ61),0)))</x:f>
      </x:c>
      <x:c r="BD61" s="14" t="n">
        <x:f>LET(m,MIN(IF(E61&gt;0,E61,1E+99),IF(G61&gt;0,G61,1E+99),IF(I61&gt;0,I61,1E+99),IF(K61&gt;0,K61,1E+99),IF(M61&gt;0,M61,1E+99),IF(O61&gt;0,O61,1E+99),IF(Q61&gt;0,Q61,1E+99),IF(S61&gt;0,S61,1E+99),IF(U61&gt;0,U61,1E+99),IF(W61&gt;0,W61,1E+99),IF(Y61&gt;0,Y61,1E+99),IF(AA61&gt;0,AA61,1E+99),IF(AC61&gt;0,AC61,1E+99),IF(AE61&gt;0,AE61,1E+99),IF(AG61&gt;0,AG61,1E+99),IF(AI61&gt;0,AI61,1E+99),IF(AK61&gt;0,AK61,1E+99),IF(AM61&gt;0,AM61,1E+99),IF(AO61&gt;0,AO61,1E+99),IF(AQ61&gt;0,AQ61,1E+99),IF(AS61&gt;0,AS61,1E+99),IF(AU61&gt;0,AU61,1E+99),IF(AW61&gt;0,AW61,1E+99),IF(AY61&gt;0,AY61,1E+99),IF(BA61&gt;0,BA61,1E+99)),IF(m=1E+99,"",m))</x:f>
        <x:v>11.858</x:v>
      </x:c>
      <x:c r="BE61" s="16" t="e">
        <x:f>IF(BD61="","",INDEX({"v1.4.20","v1.4.20","v1.4.21","v1.4.21","v1.4.23","v1.4.23","v1.4.26","v1.4.26","v1.4.26.1","v1.4.26.1","v1.4.27","v1.4.27","v1.4.29","v1.4.29","v1.4.30","v1.4.30","v1.4.31","v1.4.31","v1.4.33","v1.4.33","v1.4.35","v1.4.35.2","v1.5","v1.5.1","v1.5.1"},MATCH(BD61,CHOOSE({1,2,3,4,5,6,7,8,9,10,11,12,13,14,15,16,17,18,19,20,21,22,23,24,25},E61,G61,I61,K61,M61,O61,Q61,S61,U61,W61,Y61,AA61,AC61,AE61,AG61,AI61,AK61,AM61,AO61,AQ61,AS61,AU61,AW61,AY61,BA61),0)))</x:f>
      </x:c>
      <x:c r="BF61" s="10" t="str">
        <x:f>IFERROR((AX61-BB61)/BB61,"")</x:f>
      </x:c>
      <x:c r="BG61" s="10" t="n">
        <x:f>IFERROR((AY61-BD61)/BD61,"")</x:f>
        <x:v>3.6395682239838085</x:v>
      </x:c>
    </x:row>
    <x:row r="62">
      <x:c r="A62" t="str">
        <x:v>Banner Report</x:v>
      </x:c>
      <x:c r="B62" t="str">
        <x:v>Create / Refresh All Templates</x:v>
      </x:c>
      <x:c r="C62" t="str">
        <x:v>Apply row heights: Template - Banner Report</x:v>
      </x:c>
      <x:c r="D62" s="8" t="n">
        <x:v>0.012</x:v>
      </x:c>
      <x:c r="E62" s="8" t="n">
        <x:v>36.963</x:v>
      </x:c>
      <x:c r="F62" s="8"/>
      <x:c r="G62" s="8"/>
      <x:c r="H62" s="8" t="n">
        <x:v>0.033</x:v>
      </x:c>
      <x:c r="I62" s="8" t="n">
        <x:v>51.858</x:v>
      </x:c>
      <x:c r="J62" s="8"/>
      <x:c r="K62" s="8"/>
      <x:c r="L62" s="8"/>
      <x:c r="M62" s="8"/>
      <x:c r="N62" s="8" t="n">
        <x:v>0.014</x:v>
      </x:c>
      <x:c r="O62" s="8" t="n">
        <x:v>45.743</x:v>
      </x:c>
      <x:c r="P62" s="8"/>
      <x:c r="Q62" s="8"/>
      <x:c r="R62" s="8" t="n">
        <x:v>0.006</x:v>
      </x:c>
      <x:c r="S62" s="8" t="n">
        <x:v>29.07</x:v>
      </x:c>
      <x:c r="T62" s="8"/>
      <x:c r="U62" s="8"/>
      <x:c r="V62" s="8" t="n">
        <x:v>0.885</x:v>
      </x:c>
      <x:c r="W62" s="8" t="n">
        <x:v>41.809</x:v>
      </x:c>
      <x:c r="X62" s="8"/>
      <x:c r="Y62" s="8"/>
      <x:c r="Z62" s="8" t="n">
        <x:v>0.006</x:v>
      </x:c>
      <x:c r="AA62" s="8" t="n">
        <x:v>53.287</x:v>
      </x:c>
      <x:c r="AB62" s="8"/>
      <x:c r="AC62" s="8"/>
      <x:c r="AD62" s="8" t="n">
        <x:v>1.232</x:v>
      </x:c>
      <x:c r="AE62" s="8" t="n">
        <x:v>54.018</x:v>
      </x:c>
      <x:c r="AF62" s="8" t="n">
        <x:v>0.72</x:v>
      </x:c>
      <x:c r="AG62" s="8" t="n">
        <x:v>58.847</x:v>
      </x:c>
      <x:c r="AH62" s="8"/>
      <x:c r="AI62" s="8"/>
      <x:c r="AJ62" s="8"/>
      <x:c r="AK62" s="8"/>
      <x:c r="AL62" s="8" t="n">
        <x:v>0.463</x:v>
      </x:c>
      <x:c r="AM62" s="8" t="n">
        <x:v>10.098</x:v>
      </x:c>
      <x:c r="AN62" s="8" t="n">
        <x:v>0.905</x:v>
      </x:c>
      <x:c r="AO62" s="8" t="n">
        <x:v>45.83</x:v>
      </x:c>
      <x:c r="AP62" s="8"/>
      <x:c r="AQ62" s="8"/>
      <x:c r="AR62" s="8" t="n">
        <x:v>0.019</x:v>
      </x:c>
      <x:c r="AS62" s="8" t="n">
        <x:v>57.826</x:v>
      </x:c>
      <x:c r="AT62" s="8" t="n">
        <x:v>0.013</x:v>
      </x:c>
      <x:c r="AU62" s="8" t="n">
        <x:v>42.921</x:v>
      </x:c>
      <x:c r="AV62" s="8"/>
      <x:c r="AW62" s="8"/>
      <x:c r="AX62" s="8"/>
      <x:c r="AY62" s="8"/>
      <x:c r="AZ62" s="8"/>
      <x:c r="BA62" s="8"/>
      <x:c r="BB62" s="8" t="n">
        <x:f>LET(m,MIN(IF(D62&gt;0,D62,1E+99),IF(F62&gt;0,F62,1E+99),IF(H62&gt;0,H62,1E+99),IF(J62&gt;0,J62,1E+99),IF(L62&gt;0,L62,1E+99),IF(N62&gt;0,N62,1E+99),IF(P62&gt;0,P62,1E+99),IF(R62&gt;0,R62,1E+99),IF(T62&gt;0,T62,1E+99),IF(V62&gt;0,V62,1E+99),IF(X62&gt;0,X62,1E+99),IF(Z62&gt;0,Z62,1E+99),IF(AB62&gt;0,AB62,1E+99),IF(AD62&gt;0,AD62,1E+99),IF(AF62&gt;0,AF62,1E+99),IF(AH62&gt;0,AH62,1E+99),IF(AJ62&gt;0,AJ62,1E+99),IF(AL62&gt;0,AL62,1E+99),IF(AN62&gt;0,AN62,1E+99),IF(AP62&gt;0,AP62,1E+99),IF(AR62&gt;0,AR62,1E+99),IF(AT62&gt;0,AT62,1E+99),IF(AV62&gt;0,AV62,1E+99),IF(AX62&gt;0,AX62,1E+99),IF(AZ62&gt;0,AZ62,1E+99)),IF(m=1E+99,"",m))</x:f>
        <x:v>0.006</x:v>
      </x:c>
      <x:c r="BC62" s="12" t="e">
        <x:f>IF(BB62="","",INDEX({"v1.4.20","v1.4.20","v1.4.21","v1.4.21","v1.4.23","v1.4.23","v1.4.26","v1.4.26","v1.4.26.1","v1.4.26.1","v1.4.27","v1.4.27","v1.4.29","v1.4.29","v1.4.30","v1.4.30","v1.4.31","v1.4.31","v1.4.33","v1.4.33","v1.4.35","v1.4.35.2","v1.5","v1.5.1","v1.5.1"},MATCH(BB62,CHOOSE({1,2,3,4,5,6,7,8,9,10,11,12,13,14,15,16,17,18,19,20,21,22,23,24,25},D62,F62,H62,J62,L62,N62,P62,R62,T62,V62,X62,Z62,AB62,AD62,AF62,AH62,AJ62,AL62,AN62,AP62,AR62,AT62,AV62,AX62,AZ62),0)))</x:f>
      </x:c>
      <x:c r="BD62" s="14" t="n">
        <x:f>LET(m,MIN(IF(E62&gt;0,E62,1E+99),IF(G62&gt;0,G62,1E+99),IF(I62&gt;0,I62,1E+99),IF(K62&gt;0,K62,1E+99),IF(M62&gt;0,M62,1E+99),IF(O62&gt;0,O62,1E+99),IF(Q62&gt;0,Q62,1E+99),IF(S62&gt;0,S62,1E+99),IF(U62&gt;0,U62,1E+99),IF(W62&gt;0,W62,1E+99),IF(Y62&gt;0,Y62,1E+99),IF(AA62&gt;0,AA62,1E+99),IF(AC62&gt;0,AC62,1E+99),IF(AE62&gt;0,AE62,1E+99),IF(AG62&gt;0,AG62,1E+99),IF(AI62&gt;0,AI62,1E+99),IF(AK62&gt;0,AK62,1E+99),IF(AM62&gt;0,AM62,1E+99),IF(AO62&gt;0,AO62,1E+99),IF(AQ62&gt;0,AQ62,1E+99),IF(AS62&gt;0,AS62,1E+99),IF(AU62&gt;0,AU62,1E+99),IF(AW62&gt;0,AW62,1E+99),IF(AY62&gt;0,AY62,1E+99),IF(BA62&gt;0,BA62,1E+99)),IF(m=1E+99,"",m))</x:f>
        <x:v>10.098</x:v>
      </x:c>
      <x:c r="BE62" s="16" t="e">
        <x:f>IF(BD62="","",INDEX({"v1.4.20","v1.4.20","v1.4.21","v1.4.21","v1.4.23","v1.4.23","v1.4.26","v1.4.26","v1.4.26.1","v1.4.26.1","v1.4.27","v1.4.27","v1.4.29","v1.4.29","v1.4.30","v1.4.30","v1.4.31","v1.4.31","v1.4.33","v1.4.33","v1.4.35","v1.4.35.2","v1.5","v1.5.1","v1.5.1"},MATCH(BD62,CHOOSE({1,2,3,4,5,6,7,8,9,10,11,12,13,14,15,16,17,18,19,20,21,22,23,24,25},E62,G62,I62,K62,M62,O62,Q62,S62,U62,W62,Y62,AA62,AC62,AE62,AG62,AI62,AK62,AM62,AO62,AQ62,AS62,AU62,AW62,AY62,BA62),0)))</x:f>
      </x:c>
      <x:c r="BF62" s="10" t="n">
        <x:f>IFERROR((AX62-BB62)/BB62,"")</x:f>
        <x:v>-1</x:v>
      </x:c>
      <x:c r="BG62" s="10" t="n">
        <x:f>IFERROR((AY62-BD62)/BD62,"")</x:f>
        <x:v>-1</x:v>
      </x:c>
    </x:row>
    <x:row r="63">
      <x:c r="A63" t="str">
        <x:v>Banner Report</x:v>
      </x:c>
      <x:c r="B63" t="str">
        <x:v>Create / Refresh All Templates</x:v>
      </x:c>
      <x:c r="C63" t="str">
        <x:v>Clear sheet/formats for full build: Template - Banner Report</x:v>
      </x:c>
      <x:c r="D63" s="8" t="n">
        <x:v>6.158</x:v>
      </x:c>
      <x:c r="E63" s="8" t="n">
        <x:v>32.338</x:v>
      </x:c>
      <x:c r="F63" s="8"/>
      <x:c r="G63" s="8"/>
      <x:c r="H63" s="8" t="n">
        <x:v>9.123</x:v>
      </x:c>
      <x:c r="I63" s="8" t="n">
        <x:v>43.799</x:v>
      </x:c>
      <x:c r="J63" s="8"/>
      <x:c r="K63" s="8"/>
      <x:c r="L63" s="8"/>
      <x:c r="M63" s="8"/>
      <x:c r="N63" s="8"/>
      <x:c r="O63" s="8"/>
      <x:c r="P63" s="8"/>
      <x:c r="Q63" s="8"/>
      <x:c r="R63" s="8" t="n">
        <x:v>5.082</x:v>
      </x:c>
      <x:c r="S63" s="8" t="n">
        <x:v>24.368</x:v>
      </x:c>
      <x:c r="T63" s="8"/>
      <x:c r="U63" s="8"/>
      <x:c r="V63" s="8"/>
      <x:c r="W63" s="8"/>
      <x:c r="X63" s="8"/>
      <x:c r="Y63" s="8"/>
      <x:c r="Z63" s="8" t="n">
        <x:v>8.974</x:v>
      </x:c>
      <x:c r="AA63" s="8" t="n">
        <x:v>45.677</x:v>
      </x:c>
      <x:c r="AB63" s="8"/>
      <x:c r="AC63" s="8"/>
      <x:c r="AD63" s="8"/>
      <x:c r="AE63" s="8"/>
      <x:c r="AF63" s="8"/>
      <x:c r="AG63" s="8"/>
      <x:c r="AH63" s="8"/>
      <x:c r="AI63" s="8"/>
      <x:c r="AJ63" s="8"/>
      <x:c r="AK63" s="8"/>
      <x:c r="AL63" s="8"/>
      <x:c r="AM63" s="8"/>
      <x:c r="AN63" s="8"/>
      <x:c r="AO63" s="8"/>
      <x:c r="AP63" s="8"/>
      <x:c r="AQ63" s="8"/>
      <x:c r="AR63" s="8" t="n">
        <x:v>11.095</x:v>
      </x:c>
      <x:c r="AS63" s="8" t="n">
        <x:v>49.134</x:v>
      </x:c>
      <x:c r="AT63" s="8" t="n">
        <x:v>6.922</x:v>
      </x:c>
      <x:c r="AU63" s="8" t="n">
        <x:v>37.024</x:v>
      </x:c>
      <x:c r="AV63" s="8"/>
      <x:c r="AW63" s="8"/>
      <x:c r="AX63" s="8"/>
      <x:c r="AY63" s="8"/>
      <x:c r="AZ63" s="8"/>
      <x:c r="BA63" s="8"/>
      <x:c r="BB63" s="8" t="n">
        <x:f>LET(m,MIN(IF(D63&gt;0,D63,1E+99),IF(F63&gt;0,F63,1E+99),IF(H63&gt;0,H63,1E+99),IF(J63&gt;0,J63,1E+99),IF(L63&gt;0,L63,1E+99),IF(N63&gt;0,N63,1E+99),IF(P63&gt;0,P63,1E+99),IF(R63&gt;0,R63,1E+99),IF(T63&gt;0,T63,1E+99),IF(V63&gt;0,V63,1E+99),IF(X63&gt;0,X63,1E+99),IF(Z63&gt;0,Z63,1E+99),IF(AB63&gt;0,AB63,1E+99),IF(AD63&gt;0,AD63,1E+99),IF(AF63&gt;0,AF63,1E+99),IF(AH63&gt;0,AH63,1E+99),IF(AJ63&gt;0,AJ63,1E+99),IF(AL63&gt;0,AL63,1E+99),IF(AN63&gt;0,AN63,1E+99),IF(AP63&gt;0,AP63,1E+99),IF(AR63&gt;0,AR63,1E+99),IF(AT63&gt;0,AT63,1E+99),IF(AV63&gt;0,AV63,1E+99),IF(AX63&gt;0,AX63,1E+99),IF(AZ63&gt;0,AZ63,1E+99)),IF(m=1E+99,"",m))</x:f>
        <x:v>5.082</x:v>
      </x:c>
      <x:c r="BC63" s="12" t="e">
        <x:f>IF(BB63="","",INDEX({"v1.4.20","v1.4.20","v1.4.21","v1.4.21","v1.4.23","v1.4.23","v1.4.26","v1.4.26","v1.4.26.1","v1.4.26.1","v1.4.27","v1.4.27","v1.4.29","v1.4.29","v1.4.30","v1.4.30","v1.4.31","v1.4.31","v1.4.33","v1.4.33","v1.4.35","v1.4.35.2","v1.5","v1.5.1","v1.5.1"},MATCH(BB63,CHOOSE({1,2,3,4,5,6,7,8,9,10,11,12,13,14,15,16,17,18,19,20,21,22,23,24,25},D63,F63,H63,J63,L63,N63,P63,R63,T63,V63,X63,Z63,AB63,AD63,AF63,AH63,AJ63,AL63,AN63,AP63,AR63,AT63,AV63,AX63,AZ63),0)))</x:f>
      </x:c>
      <x:c r="BD63" s="14" t="n">
        <x:f>LET(m,MIN(IF(E63&gt;0,E63,1E+99),IF(G63&gt;0,G63,1E+99),IF(I63&gt;0,I63,1E+99),IF(K63&gt;0,K63,1E+99),IF(M63&gt;0,M63,1E+99),IF(O63&gt;0,O63,1E+99),IF(Q63&gt;0,Q63,1E+99),IF(S63&gt;0,S63,1E+99),IF(U63&gt;0,U63,1E+99),IF(W63&gt;0,W63,1E+99),IF(Y63&gt;0,Y63,1E+99),IF(AA63&gt;0,AA63,1E+99),IF(AC63&gt;0,AC63,1E+99),IF(AE63&gt;0,AE63,1E+99),IF(AG63&gt;0,AG63,1E+99),IF(AI63&gt;0,AI63,1E+99),IF(AK63&gt;0,AK63,1E+99),IF(AM63&gt;0,AM63,1E+99),IF(AO63&gt;0,AO63,1E+99),IF(AQ63&gt;0,AQ63,1E+99),IF(AS63&gt;0,AS63,1E+99),IF(AU63&gt;0,AU63,1E+99),IF(AW63&gt;0,AW63,1E+99),IF(AY63&gt;0,AY63,1E+99),IF(BA63&gt;0,BA63,1E+99)),IF(m=1E+99,"",m))</x:f>
        <x:v>24.368</x:v>
      </x:c>
      <x:c r="BE63" s="16" t="e">
        <x:f>IF(BD63="","",INDEX({"v1.4.20","v1.4.20","v1.4.21","v1.4.21","v1.4.23","v1.4.23","v1.4.26","v1.4.26","v1.4.26.1","v1.4.26.1","v1.4.27","v1.4.27","v1.4.29","v1.4.29","v1.4.30","v1.4.30","v1.4.31","v1.4.31","v1.4.33","v1.4.33","v1.4.35","v1.4.35.2","v1.5","v1.5.1","v1.5.1"},MATCH(BD63,CHOOSE({1,2,3,4,5,6,7,8,9,10,11,12,13,14,15,16,17,18,19,20,21,22,23,24,25},E63,G63,I63,K63,M63,O63,Q63,S63,U63,W63,Y63,AA63,AC63,AE63,AG63,AI63,AK63,AM63,AO63,AQ63,AS63,AU63,AW63,AY63,BA63),0)))</x:f>
      </x:c>
      <x:c r="BF63" s="10" t="n">
        <x:f>IFERROR((AX63-BB63)/BB63,"")</x:f>
        <x:v>-1</x:v>
      </x:c>
      <x:c r="BG63" s="10" t="n">
        <x:f>IFERROR((AY63-BD63)/BD63,"")</x:f>
        <x:v>-1</x:v>
      </x:c>
    </x:row>
    <x:row r="64">
      <x:c r="A64" t="str">
        <x:v>Banner Report</x:v>
      </x:c>
      <x:c r="B64" t="str">
        <x:v>Create / Refresh All Templates</x:v>
      </x:c>
      <x:c r="C64" t="str">
        <x:v>Complete</x:v>
      </x:c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8"/>
      <x:c r="AL64" s="8" t="n">
        <x:v>0</x:v>
      </x:c>
      <x:c r="AM64" s="8" t="n">
        <x:v>11.858</x:v>
      </x:c>
      <x:c r="AN64" s="8"/>
      <x:c r="AO64" s="8"/>
      <x:c r="AP64" s="8"/>
      <x:c r="AQ64" s="8"/>
      <x:c r="AR64" s="8"/>
      <x:c r="AS64" s="8"/>
      <x:c r="AT64" s="8"/>
      <x:c r="AU64" s="8"/>
      <x:c r="AV64" s="8"/>
      <x:c r="AW64" s="8"/>
      <x:c r="AX64" s="8"/>
      <x:c r="AY64" s="8"/>
      <x:c r="AZ64" s="8"/>
      <x:c r="BA64" s="8"/>
      <x:c r="BB64" s="8" t="str">
        <x:f>LET(m,MIN(IF(D64&gt;0,D64,1E+99),IF(F64&gt;0,F64,1E+99),IF(H64&gt;0,H64,1E+99),IF(J64&gt;0,J64,1E+99),IF(L64&gt;0,L64,1E+99),IF(N64&gt;0,N64,1E+99),IF(P64&gt;0,P64,1E+99),IF(R64&gt;0,R64,1E+99),IF(T64&gt;0,T64,1E+99),IF(V64&gt;0,V64,1E+99),IF(X64&gt;0,X64,1E+99),IF(Z64&gt;0,Z64,1E+99),IF(AB64&gt;0,AB64,1E+99),IF(AD64&gt;0,AD64,1E+99),IF(AF64&gt;0,AF64,1E+99),IF(AH64&gt;0,AH64,1E+99),IF(AJ64&gt;0,AJ64,1E+99),IF(AL64&gt;0,AL64,1E+99),IF(AN64&gt;0,AN64,1E+99),IF(AP64&gt;0,AP64,1E+99),IF(AR64&gt;0,AR64,1E+99),IF(AT64&gt;0,AT64,1E+99),IF(AV64&gt;0,AV64,1E+99),IF(AX64&gt;0,AX64,1E+99),IF(AZ64&gt;0,AZ64,1E+99)),IF(m=1E+99,"",m))</x:f>
      </x:c>
      <x:c r="BC64" s="12" t="str">
        <x:f>IF(BB64="","",INDEX({"v1.4.20","v1.4.20","v1.4.21","v1.4.21","v1.4.23","v1.4.23","v1.4.26","v1.4.26","v1.4.26.1","v1.4.26.1","v1.4.27","v1.4.27","v1.4.29","v1.4.29","v1.4.30","v1.4.30","v1.4.31","v1.4.31","v1.4.33","v1.4.33","v1.4.35","v1.4.35.2","v1.5","v1.5.1","v1.5.1"},MATCH(BB64,CHOOSE({1,2,3,4,5,6,7,8,9,10,11,12,13,14,15,16,17,18,19,20,21,22,23,24,25},D64,F64,H64,J64,L64,N64,P64,R64,T64,V64,X64,Z64,AB64,AD64,AF64,AH64,AJ64,AL64,AN64,AP64,AR64,AT64,AV64,AX64,AZ64),0)))</x:f>
      </x:c>
      <x:c r="BD64" s="14" t="n">
        <x:f>LET(m,MIN(IF(E64&gt;0,E64,1E+99),IF(G64&gt;0,G64,1E+99),IF(I64&gt;0,I64,1E+99),IF(K64&gt;0,K64,1E+99),IF(M64&gt;0,M64,1E+99),IF(O64&gt;0,O64,1E+99),IF(Q64&gt;0,Q64,1E+99),IF(S64&gt;0,S64,1E+99),IF(U64&gt;0,U64,1E+99),IF(W64&gt;0,W64,1E+99),IF(Y64&gt;0,Y64,1E+99),IF(AA64&gt;0,AA64,1E+99),IF(AC64&gt;0,AC64,1E+99),IF(AE64&gt;0,AE64,1E+99),IF(AG64&gt;0,AG64,1E+99),IF(AI64&gt;0,AI64,1E+99),IF(AK64&gt;0,AK64,1E+99),IF(AM64&gt;0,AM64,1E+99),IF(AO64&gt;0,AO64,1E+99),IF(AQ64&gt;0,AQ64,1E+99),IF(AS64&gt;0,AS64,1E+99),IF(AU64&gt;0,AU64,1E+99),IF(AW64&gt;0,AW64,1E+99),IF(AY64&gt;0,AY64,1E+99),IF(BA64&gt;0,BA64,1E+99)),IF(m=1E+99,"",m))</x:f>
        <x:v>11.858</x:v>
      </x:c>
      <x:c r="BE64" s="16" t="e">
        <x:f>IF(BD64="","",INDEX({"v1.4.20","v1.4.20","v1.4.21","v1.4.21","v1.4.23","v1.4.23","v1.4.26","v1.4.26","v1.4.26.1","v1.4.26.1","v1.4.27","v1.4.27","v1.4.29","v1.4.29","v1.4.30","v1.4.30","v1.4.31","v1.4.31","v1.4.33","v1.4.33","v1.4.35","v1.4.35.2","v1.5","v1.5.1","v1.5.1"},MATCH(BD64,CHOOSE({1,2,3,4,5,6,7,8,9,10,11,12,13,14,15,16,17,18,19,20,21,22,23,24,25},E64,G64,I64,K64,M64,O64,Q64,S64,U64,W64,Y64,AA64,AC64,AE64,AG64,AI64,AK64,AM64,AO64,AQ64,AS64,AU64,AW64,AY64,BA64),0)))</x:f>
      </x:c>
      <x:c r="BF64" s="10" t="str">
        <x:f>IFERROR((AX64-BB64)/BB64,"")</x:f>
      </x:c>
      <x:c r="BG64" s="10" t="n">
        <x:f>IFERROR((AY64-BD64)/BD64,"")</x:f>
        <x:v>-1</x:v>
      </x:c>
    </x:row>
    <x:row r="65">
      <x:c r="A65" t="str">
        <x:v>Banner Report</x:v>
      </x:c>
      <x:c r="B65" t="str">
        <x:v>Create / Refresh All Templates</x:v>
      </x:c>
      <x:c r="C65" t="str">
        <x:v>Complete metadata-only template refresh: Template - Banner Report</x:v>
      </x:c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  <x:c r="AA65" s="8"/>
      <x:c r="AB65" s="8"/>
      <x:c r="AC65" s="8"/>
      <x:c r="AD65" s="8"/>
      <x:c r="AE65" s="8"/>
      <x:c r="AF65" s="8"/>
      <x:c r="AG65" s="8"/>
      <x:c r="AH65" s="8"/>
      <x:c r="AI65" s="8"/>
      <x:c r="AJ65" s="8" t="n">
        <x:v>0</x:v>
      </x:c>
      <x:c r="AK65" s="8" t="n">
        <x:v>34.915</x:v>
      </x:c>
      <x:c r="AL65" s="8" t="n">
        <x:v>0</x:v>
      </x:c>
      <x:c r="AM65" s="8" t="n">
        <x:v>34.915</x:v>
      </x:c>
      <x:c r="AN65" s="8"/>
      <x:c r="AO65" s="8"/>
      <x:c r="AP65" s="8"/>
      <x:c r="AQ65" s="8"/>
      <x:c r="AR65" s="8"/>
      <x:c r="AS65" s="8"/>
      <x:c r="AT65" s="8"/>
      <x:c r="AU65" s="8"/>
      <x:c r="AV65" s="8"/>
      <x:c r="AW65" s="8"/>
      <x:c r="AX65" s="8"/>
      <x:c r="AY65" s="8"/>
      <x:c r="AZ65" s="8"/>
      <x:c r="BA65" s="8"/>
      <x:c r="BB65" s="8" t="str">
        <x:f>LET(m,MIN(IF(D65&gt;0,D65,1E+99),IF(F65&gt;0,F65,1E+99),IF(H65&gt;0,H65,1E+99),IF(J65&gt;0,J65,1E+99),IF(L65&gt;0,L65,1E+99),IF(N65&gt;0,N65,1E+99),IF(P65&gt;0,P65,1E+99),IF(R65&gt;0,R65,1E+99),IF(T65&gt;0,T65,1E+99),IF(V65&gt;0,V65,1E+99),IF(X65&gt;0,X65,1E+99),IF(Z65&gt;0,Z65,1E+99),IF(AB65&gt;0,AB65,1E+99),IF(AD65&gt;0,AD65,1E+99),IF(AF65&gt;0,AF65,1E+99),IF(AH65&gt;0,AH65,1E+99),IF(AJ65&gt;0,AJ65,1E+99),IF(AL65&gt;0,AL65,1E+99),IF(AN65&gt;0,AN65,1E+99),IF(AP65&gt;0,AP65,1E+99),IF(AR65&gt;0,AR65,1E+99),IF(AT65&gt;0,AT65,1E+99),IF(AV65&gt;0,AV65,1E+99),IF(AX65&gt;0,AX65,1E+99),IF(AZ65&gt;0,AZ65,1E+99)),IF(m=1E+99,"",m))</x:f>
      </x:c>
      <x:c r="BC65" s="12" t="str">
        <x:f>IF(BB65="","",INDEX({"v1.4.20","v1.4.20","v1.4.21","v1.4.21","v1.4.23","v1.4.23","v1.4.26","v1.4.26","v1.4.26.1","v1.4.26.1","v1.4.27","v1.4.27","v1.4.29","v1.4.29","v1.4.30","v1.4.30","v1.4.31","v1.4.31","v1.4.33","v1.4.33","v1.4.35","v1.4.35.2","v1.5","v1.5.1","v1.5.1"},MATCH(BB65,CHOOSE({1,2,3,4,5,6,7,8,9,10,11,12,13,14,15,16,17,18,19,20,21,22,23,24,25},D65,F65,H65,J65,L65,N65,P65,R65,T65,V65,X65,Z65,AB65,AD65,AF65,AH65,AJ65,AL65,AN65,AP65,AR65,AT65,AV65,AX65,AZ65),0)))</x:f>
      </x:c>
      <x:c r="BD65" s="14" t="n">
        <x:f>LET(m,MIN(IF(E65&gt;0,E65,1E+99),IF(G65&gt;0,G65,1E+99),IF(I65&gt;0,I65,1E+99),IF(K65&gt;0,K65,1E+99),IF(M65&gt;0,M65,1E+99),IF(O65&gt;0,O65,1E+99),IF(Q65&gt;0,Q65,1E+99),IF(S65&gt;0,S65,1E+99),IF(U65&gt;0,U65,1E+99),IF(W65&gt;0,W65,1E+99),IF(Y65&gt;0,Y65,1E+99),IF(AA65&gt;0,AA65,1E+99),IF(AC65&gt;0,AC65,1E+99),IF(AE65&gt;0,AE65,1E+99),IF(AG65&gt;0,AG65,1E+99),IF(AI65&gt;0,AI65,1E+99),IF(AK65&gt;0,AK65,1E+99),IF(AM65&gt;0,AM65,1E+99),IF(AO65&gt;0,AO65,1E+99),IF(AQ65&gt;0,AQ65,1E+99),IF(AS65&gt;0,AS65,1E+99),IF(AU65&gt;0,AU65,1E+99),IF(AW65&gt;0,AW65,1E+99),IF(AY65&gt;0,AY65,1E+99),IF(BA65&gt;0,BA65,1E+99)),IF(m=1E+99,"",m))</x:f>
        <x:v>34.915</x:v>
      </x:c>
      <x:c r="BE65" s="16" t="e">
        <x:f>IF(BD65="","",INDEX({"v1.4.20","v1.4.20","v1.4.21","v1.4.21","v1.4.23","v1.4.23","v1.4.26","v1.4.26","v1.4.26.1","v1.4.26.1","v1.4.27","v1.4.27","v1.4.29","v1.4.29","v1.4.30","v1.4.30","v1.4.31","v1.4.31","v1.4.33","v1.4.33","v1.4.35","v1.4.35.2","v1.5","v1.5.1","v1.5.1"},MATCH(BD65,CHOOSE({1,2,3,4,5,6,7,8,9,10,11,12,13,14,15,16,17,18,19,20,21,22,23,24,25},E65,G65,I65,K65,M65,O65,Q65,S65,U65,W65,Y65,AA65,AC65,AE65,AG65,AI65,AK65,AM65,AO65,AQ65,AS65,AU65,AW65,AY65,BA65),0)))</x:f>
      </x:c>
      <x:c r="BF65" s="10" t="str">
        <x:f>IFERROR((AX65-BB65)/BB65,"")</x:f>
      </x:c>
      <x:c r="BG65" s="10" t="n">
        <x:f>IFERROR((AY65-BD65)/BD65,"")</x:f>
        <x:v>-1</x:v>
      </x:c>
    </x:row>
    <x:row r="66">
      <x:c r="A66" t="str">
        <x:v>Banner Report</x:v>
      </x:c>
      <x:c r="B66" t="str">
        <x:v>Create / Refresh All Templates</x:v>
      </x:c>
      <x:c r="C66" t="str">
        <x:v>Dashboard loaded</x:v>
      </x:c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8"/>
      <x:c r="AL66" s="8" t="n">
        <x:v>4.544</x:v>
      </x:c>
      <x:c r="AM66" s="8" t="n">
        <x:v>4.545</x:v>
      </x:c>
      <x:c r="AN66" s="8"/>
      <x:c r="AO66" s="8"/>
      <x:c r="AP66" s="8"/>
      <x:c r="AQ66" s="8"/>
      <x:c r="AR66" s="8"/>
      <x:c r="AS66" s="8"/>
      <x:c r="AT66" s="8"/>
      <x:c r="AU66" s="8"/>
      <x:c r="AV66" s="8"/>
      <x:c r="AW66" s="8"/>
      <x:c r="AX66" s="8"/>
      <x:c r="AY66" s="8"/>
      <x:c r="AZ66" s="8"/>
      <x:c r="BA66" s="8"/>
      <x:c r="BB66" s="8" t="n">
        <x:f>LET(m,MIN(IF(D66&gt;0,D66,1E+99),IF(F66&gt;0,F66,1E+99),IF(H66&gt;0,H66,1E+99),IF(J66&gt;0,J66,1E+99),IF(L66&gt;0,L66,1E+99),IF(N66&gt;0,N66,1E+99),IF(P66&gt;0,P66,1E+99),IF(R66&gt;0,R66,1E+99),IF(T66&gt;0,T66,1E+99),IF(V66&gt;0,V66,1E+99),IF(X66&gt;0,X66,1E+99),IF(Z66&gt;0,Z66,1E+99),IF(AB66&gt;0,AB66,1E+99),IF(AD66&gt;0,AD66,1E+99),IF(AF66&gt;0,AF66,1E+99),IF(AH66&gt;0,AH66,1E+99),IF(AJ66&gt;0,AJ66,1E+99),IF(AL66&gt;0,AL66,1E+99),IF(AN66&gt;0,AN66,1E+99),IF(AP66&gt;0,AP66,1E+99),IF(AR66&gt;0,AR66,1E+99),IF(AT66&gt;0,AT66,1E+99),IF(AV66&gt;0,AV66,1E+99),IF(AX66&gt;0,AX66,1E+99),IF(AZ66&gt;0,AZ66,1E+99)),IF(m=1E+99,"",m))</x:f>
        <x:v>4.544</x:v>
      </x:c>
      <x:c r="BC66" s="12" t="e">
        <x:f>IF(BB66="","",INDEX({"v1.4.20","v1.4.20","v1.4.21","v1.4.21","v1.4.23","v1.4.23","v1.4.26","v1.4.26","v1.4.26.1","v1.4.26.1","v1.4.27","v1.4.27","v1.4.29","v1.4.29","v1.4.30","v1.4.30","v1.4.31","v1.4.31","v1.4.33","v1.4.33","v1.4.35","v1.4.35.2","v1.5","v1.5.1","v1.5.1"},MATCH(BB66,CHOOSE({1,2,3,4,5,6,7,8,9,10,11,12,13,14,15,16,17,18,19,20,21,22,23,24,25},D66,F66,H66,J66,L66,N66,P66,R66,T66,V66,X66,Z66,AB66,AD66,AF66,AH66,AJ66,AL66,AN66,AP66,AR66,AT66,AV66,AX66,AZ66),0)))</x:f>
      </x:c>
      <x:c r="BD66" s="14" t="n">
        <x:f>LET(m,MIN(IF(E66&gt;0,E66,1E+99),IF(G66&gt;0,G66,1E+99),IF(I66&gt;0,I66,1E+99),IF(K66&gt;0,K66,1E+99),IF(M66&gt;0,M66,1E+99),IF(O66&gt;0,O66,1E+99),IF(Q66&gt;0,Q66,1E+99),IF(S66&gt;0,S66,1E+99),IF(U66&gt;0,U66,1E+99),IF(W66&gt;0,W66,1E+99),IF(Y66&gt;0,Y66,1E+99),IF(AA66&gt;0,AA66,1E+99),IF(AC66&gt;0,AC66,1E+99),IF(AE66&gt;0,AE66,1E+99),IF(AG66&gt;0,AG66,1E+99),IF(AI66&gt;0,AI66,1E+99),IF(AK66&gt;0,AK66,1E+99),IF(AM66&gt;0,AM66,1E+99),IF(AO66&gt;0,AO66,1E+99),IF(AQ66&gt;0,AQ66,1E+99),IF(AS66&gt;0,AS66,1E+99),IF(AU66&gt;0,AU66,1E+99),IF(AW66&gt;0,AW66,1E+99),IF(AY66&gt;0,AY66,1E+99),IF(BA66&gt;0,BA66,1E+99)),IF(m=1E+99,"",m))</x:f>
        <x:v>4.545</x:v>
      </x:c>
      <x:c r="BE66" s="16" t="e">
        <x:f>IF(BD66="","",INDEX({"v1.4.20","v1.4.20","v1.4.21","v1.4.21","v1.4.23","v1.4.23","v1.4.26","v1.4.26","v1.4.26.1","v1.4.26.1","v1.4.27","v1.4.27","v1.4.29","v1.4.29","v1.4.30","v1.4.30","v1.4.31","v1.4.31","v1.4.33","v1.4.33","v1.4.35","v1.4.35.2","v1.5","v1.5.1","v1.5.1"},MATCH(BD66,CHOOSE({1,2,3,4,5,6,7,8,9,10,11,12,13,14,15,16,17,18,19,20,21,22,23,24,25},E66,G66,I66,K66,M66,O66,Q66,S66,U66,W66,Y66,AA66,AC66,AE66,AG66,AI66,AK66,AM66,AO66,AQ66,AS66,AU66,AW66,AY66,BA66),0)))</x:f>
      </x:c>
      <x:c r="BF66" s="10" t="n">
        <x:f>IFERROR((AX66-BB66)/BB66,"")</x:f>
        <x:v>-1</x:v>
      </x:c>
      <x:c r="BG66" s="10" t="n">
        <x:f>IFERROR((AY66-BD66)/BD66,"")</x:f>
        <x:v>-1</x:v>
      </x:c>
    </x:row>
    <x:row r="67">
      <x:c r="A67" t="str">
        <x:v>Banner Report</x:v>
      </x:c>
      <x:c r="B67" t="str">
        <x:v>Create / Refresh All Templates</x:v>
      </x:c>
      <x:c r="C67" t="str">
        <x:v>Metadata-only refresh; template unchanged: Template - Banner Report</x:v>
      </x:c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  <x:c r="AA67" s="8"/>
      <x:c r="AB67" s="8"/>
      <x:c r="AC67" s="8"/>
      <x:c r="AD67" s="8"/>
      <x:c r="AE67" s="8"/>
      <x:c r="AF67" s="8"/>
      <x:c r="AG67" s="8"/>
      <x:c r="AH67" s="8"/>
      <x:c r="AI67" s="8"/>
      <x:c r="AJ67" s="8" t="n">
        <x:v>0.136</x:v>
      </x:c>
      <x:c r="AK67" s="8" t="n">
        <x:v>34.915</x:v>
      </x:c>
      <x:c r="AL67" s="8" t="n">
        <x:v>0.136</x:v>
      </x:c>
      <x:c r="AM67" s="8" t="n">
        <x:v>34.915</x:v>
      </x:c>
      <x:c r="AN67" s="8"/>
      <x:c r="AO67" s="8"/>
      <x:c r="AP67" s="8"/>
      <x:c r="AQ67" s="8"/>
      <x:c r="AR67" s="8"/>
      <x:c r="AS67" s="8"/>
      <x:c r="AT67" s="8"/>
      <x:c r="AU67" s="8"/>
      <x:c r="AV67" s="8"/>
      <x:c r="AW67" s="8"/>
      <x:c r="AX67" s="8"/>
      <x:c r="AY67" s="8"/>
      <x:c r="AZ67" s="8"/>
      <x:c r="BA67" s="8"/>
      <x:c r="BB67" s="8" t="n">
        <x:f>LET(m,MIN(IF(D67&gt;0,D67,1E+99),IF(F67&gt;0,F67,1E+99),IF(H67&gt;0,H67,1E+99),IF(J67&gt;0,J67,1E+99),IF(L67&gt;0,L67,1E+99),IF(N67&gt;0,N67,1E+99),IF(P67&gt;0,P67,1E+99),IF(R67&gt;0,R67,1E+99),IF(T67&gt;0,T67,1E+99),IF(V67&gt;0,V67,1E+99),IF(X67&gt;0,X67,1E+99),IF(Z67&gt;0,Z67,1E+99),IF(AB67&gt;0,AB67,1E+99),IF(AD67&gt;0,AD67,1E+99),IF(AF67&gt;0,AF67,1E+99),IF(AH67&gt;0,AH67,1E+99),IF(AJ67&gt;0,AJ67,1E+99),IF(AL67&gt;0,AL67,1E+99),IF(AN67&gt;0,AN67,1E+99),IF(AP67&gt;0,AP67,1E+99),IF(AR67&gt;0,AR67,1E+99),IF(AT67&gt;0,AT67,1E+99),IF(AV67&gt;0,AV67,1E+99),IF(AX67&gt;0,AX67,1E+99),IF(AZ67&gt;0,AZ67,1E+99)),IF(m=1E+99,"",m))</x:f>
        <x:v>0.136</x:v>
      </x:c>
      <x:c r="BC67" s="12" t="e">
        <x:f>IF(BB67="","",INDEX({"v1.4.20","v1.4.20","v1.4.21","v1.4.21","v1.4.23","v1.4.23","v1.4.26","v1.4.26","v1.4.26.1","v1.4.26.1","v1.4.27","v1.4.27","v1.4.29","v1.4.29","v1.4.30","v1.4.30","v1.4.31","v1.4.31","v1.4.33","v1.4.33","v1.4.35","v1.4.35.2","v1.5","v1.5.1","v1.5.1"},MATCH(BB67,CHOOSE({1,2,3,4,5,6,7,8,9,10,11,12,13,14,15,16,17,18,19,20,21,22,23,24,25},D67,F67,H67,J67,L67,N67,P67,R67,T67,V67,X67,Z67,AB67,AD67,AF67,AH67,AJ67,AL67,AN67,AP67,AR67,AT67,AV67,AX67,AZ67),0)))</x:f>
      </x:c>
      <x:c r="BD67" s="14" t="n">
        <x:f>LET(m,MIN(IF(E67&gt;0,E67,1E+99),IF(G67&gt;0,G67,1E+99),IF(I67&gt;0,I67,1E+99),IF(K67&gt;0,K67,1E+99),IF(M67&gt;0,M67,1E+99),IF(O67&gt;0,O67,1E+99),IF(Q67&gt;0,Q67,1E+99),IF(S67&gt;0,S67,1E+99),IF(U67&gt;0,U67,1E+99),IF(W67&gt;0,W67,1E+99),IF(Y67&gt;0,Y67,1E+99),IF(AA67&gt;0,AA67,1E+99),IF(AC67&gt;0,AC67,1E+99),IF(AE67&gt;0,AE67,1E+99),IF(AG67&gt;0,AG67,1E+99),IF(AI67&gt;0,AI67,1E+99),IF(AK67&gt;0,AK67,1E+99),IF(AM67&gt;0,AM67,1E+99),IF(AO67&gt;0,AO67,1E+99),IF(AQ67&gt;0,AQ67,1E+99),IF(AS67&gt;0,AS67,1E+99),IF(AU67&gt;0,AU67,1E+99),IF(AW67&gt;0,AW67,1E+99),IF(AY67&gt;0,AY67,1E+99),IF(BA67&gt;0,BA67,1E+99)),IF(m=1E+99,"",m))</x:f>
        <x:v>34.915</x:v>
      </x:c>
      <x:c r="BE67" s="16" t="e">
        <x:f>IF(BD67="","",INDEX({"v1.4.20","v1.4.20","v1.4.21","v1.4.21","v1.4.23","v1.4.23","v1.4.26","v1.4.26","v1.4.26.1","v1.4.26.1","v1.4.27","v1.4.27","v1.4.29","v1.4.29","v1.4.30","v1.4.30","v1.4.31","v1.4.31","v1.4.33","v1.4.33","v1.4.35","v1.4.35.2","v1.5","v1.5.1","v1.5.1"},MATCH(BD67,CHOOSE({1,2,3,4,5,6,7,8,9,10,11,12,13,14,15,16,17,18,19,20,21,22,23,24,25},E67,G67,I67,K67,M67,O67,Q67,S67,U67,W67,Y67,AA67,AC67,AE67,AG67,AI67,AK67,AM67,AO67,AQ67,AS67,AU67,AW67,AY67,BA67),0)))</x:f>
      </x:c>
      <x:c r="BF67" s="10" t="n">
        <x:f>IFERROR((AX67-BB67)/BB67,"")</x:f>
        <x:v>-1</x:v>
      </x:c>
      <x:c r="BG67" s="10" t="n">
        <x:f>IFERROR((AY67-BD67)/BD67,"")</x:f>
        <x:v>-1</x:v>
      </x:c>
    </x:row>
    <x:row r="68">
      <x:c r="A68" t="str">
        <x:v>Banner Report</x:v>
      </x:c>
      <x:c r="B68" t="str">
        <x:v>Create / Refresh All Templates</x:v>
      </x:c>
      <x:c r="C68" t="str">
        <x:v>Resize columns: Template - Banner Report (9 cols)</x:v>
      </x:c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 t="n">
        <x:v>0.148</x:v>
      </x:c>
      <x:c r="W68" s="8" t="n">
        <x:v>36.047</x:v>
      </x:c>
      <x:c r="X68" s="8"/>
      <x:c r="Y68" s="8"/>
      <x:c r="Z68" s="8"/>
      <x:c r="AA68" s="8"/>
      <x:c r="AB68" s="8"/>
      <x:c r="AC68" s="8"/>
      <x:c r="AD68" s="8"/>
      <x:c r="AE68" s="8"/>
      <x:c r="AF68" s="8" t="n">
        <x:v>0.675</x:v>
      </x:c>
      <x:c r="AG68" s="8" t="n">
        <x:v>51.707</x:v>
      </x:c>
      <x:c r="AH68" s="8"/>
      <x:c r="AI68" s="8"/>
      <x:c r="AJ68" s="8"/>
      <x:c r="AK68" s="8"/>
      <x:c r="AL68" s="8" t="n">
        <x:v>0.339</x:v>
      </x:c>
      <x:c r="AM68" s="8" t="n">
        <x:v>6.388</x:v>
      </x:c>
      <x:c r="AN68" s="8" t="n">
        <x:v>0.138</x:v>
      </x:c>
      <x:c r="AO68" s="8" t="n">
        <x:v>40.439</x:v>
      </x:c>
      <x:c r="AP68" s="8"/>
      <x:c r="AQ68" s="8"/>
      <x:c r="AR68" s="8"/>
      <x:c r="AS68" s="8"/>
      <x:c r="AT68" s="8"/>
      <x:c r="AU68" s="8"/>
      <x:c r="AV68" s="8"/>
      <x:c r="AW68" s="8"/>
      <x:c r="AX68" s="8"/>
      <x:c r="AY68" s="8"/>
      <x:c r="AZ68" s="8"/>
      <x:c r="BA68" s="8"/>
      <x:c r="BB68" s="8" t="n">
        <x:f>LET(m,MIN(IF(D68&gt;0,D68,1E+99),IF(F68&gt;0,F68,1E+99),IF(H68&gt;0,H68,1E+99),IF(J68&gt;0,J68,1E+99),IF(L68&gt;0,L68,1E+99),IF(N68&gt;0,N68,1E+99),IF(P68&gt;0,P68,1E+99),IF(R68&gt;0,R68,1E+99),IF(T68&gt;0,T68,1E+99),IF(V68&gt;0,V68,1E+99),IF(X68&gt;0,X68,1E+99),IF(Z68&gt;0,Z68,1E+99),IF(AB68&gt;0,AB68,1E+99),IF(AD68&gt;0,AD68,1E+99),IF(AF68&gt;0,AF68,1E+99),IF(AH68&gt;0,AH68,1E+99),IF(AJ68&gt;0,AJ68,1E+99),IF(AL68&gt;0,AL68,1E+99),IF(AN68&gt;0,AN68,1E+99),IF(AP68&gt;0,AP68,1E+99),IF(AR68&gt;0,AR68,1E+99),IF(AT68&gt;0,AT68,1E+99),IF(AV68&gt;0,AV68,1E+99),IF(AX68&gt;0,AX68,1E+99),IF(AZ68&gt;0,AZ68,1E+99)),IF(m=1E+99,"",m))</x:f>
        <x:v>0.138</x:v>
      </x:c>
      <x:c r="BC68" s="12" t="e">
        <x:f>IF(BB68="","",INDEX({"v1.4.20","v1.4.20","v1.4.21","v1.4.21","v1.4.23","v1.4.23","v1.4.26","v1.4.26","v1.4.26.1","v1.4.26.1","v1.4.27","v1.4.27","v1.4.29","v1.4.29","v1.4.30","v1.4.30","v1.4.31","v1.4.31","v1.4.33","v1.4.33","v1.4.35","v1.4.35.2","v1.5","v1.5.1","v1.5.1"},MATCH(BB68,CHOOSE({1,2,3,4,5,6,7,8,9,10,11,12,13,14,15,16,17,18,19,20,21,22,23,24,25},D68,F68,H68,J68,L68,N68,P68,R68,T68,V68,X68,Z68,AB68,AD68,AF68,AH68,AJ68,AL68,AN68,AP68,AR68,AT68,AV68,AX68,AZ68),0)))</x:f>
      </x:c>
      <x:c r="BD68" s="14" t="n">
        <x:f>LET(m,MIN(IF(E68&gt;0,E68,1E+99),IF(G68&gt;0,G68,1E+99),IF(I68&gt;0,I68,1E+99),IF(K68&gt;0,K68,1E+99),IF(M68&gt;0,M68,1E+99),IF(O68&gt;0,O68,1E+99),IF(Q68&gt;0,Q68,1E+99),IF(S68&gt;0,S68,1E+99),IF(U68&gt;0,U68,1E+99),IF(W68&gt;0,W68,1E+99),IF(Y68&gt;0,Y68,1E+99),IF(AA68&gt;0,AA68,1E+99),IF(AC68&gt;0,AC68,1E+99),IF(AE68&gt;0,AE68,1E+99),IF(AG68&gt;0,AG68,1E+99),IF(AI68&gt;0,AI68,1E+99),IF(AK68&gt;0,AK68,1E+99),IF(AM68&gt;0,AM68,1E+99),IF(AO68&gt;0,AO68,1E+99),IF(AQ68&gt;0,AQ68,1E+99),IF(AS68&gt;0,AS68,1E+99),IF(AU68&gt;0,AU68,1E+99),IF(AW68&gt;0,AW68,1E+99),IF(AY68&gt;0,AY68,1E+99),IF(BA68&gt;0,BA68,1E+99)),IF(m=1E+99,"",m))</x:f>
        <x:v>6.388</x:v>
      </x:c>
      <x:c r="BE68" s="16" t="e">
        <x:f>IF(BD68="","",INDEX({"v1.4.20","v1.4.20","v1.4.21","v1.4.21","v1.4.23","v1.4.23","v1.4.26","v1.4.26","v1.4.26.1","v1.4.26.1","v1.4.27","v1.4.27","v1.4.29","v1.4.29","v1.4.30","v1.4.30","v1.4.31","v1.4.31","v1.4.33","v1.4.33","v1.4.35","v1.4.35.2","v1.5","v1.5.1","v1.5.1"},MATCH(BD68,CHOOSE({1,2,3,4,5,6,7,8,9,10,11,12,13,14,15,16,17,18,19,20,21,22,23,24,25},E68,G68,I68,K68,M68,O68,Q68,S68,U68,W68,Y68,AA68,AC68,AE68,AG68,AI68,AK68,AM68,AO68,AQ68,AS68,AU68,AW68,AY68,BA68),0)))</x:f>
      </x:c>
      <x:c r="BF68" s="10" t="n">
        <x:f>IFERROR((AX68-BB68)/BB68,"")</x:f>
        <x:v>-1</x:v>
      </x:c>
      <x:c r="BG68" s="10" t="n">
        <x:f>IFERROR((AY68-BD68)/BD68,"")</x:f>
        <x:v>-1</x:v>
      </x:c>
    </x:row>
    <x:row r="69">
      <x:c r="A69" t="str">
        <x:v>Banner Report</x:v>
      </x:c>
      <x:c r="B69" t="str">
        <x:v>Create / Refresh All Templates</x:v>
      </x:c>
      <x:c r="C69" t="str">
        <x:v>Resize rows: Template - Banner Report (500 rows)</x:v>
      </x:c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 t="n">
        <x:v>7.999</x:v>
      </x:c>
      <x:c r="W69" s="8" t="n">
        <x:v>35.899</x:v>
      </x:c>
      <x:c r="X69" s="8"/>
      <x:c r="Y69" s="8"/>
      <x:c r="Z69" s="8"/>
      <x:c r="AA69" s="8"/>
      <x:c r="AB69" s="8"/>
      <x:c r="AC69" s="8"/>
      <x:c r="AD69" s="8"/>
      <x:c r="AE69" s="8"/>
      <x:c r="AF69" s="8" t="n">
        <x:v>12.159</x:v>
      </x:c>
      <x:c r="AG69" s="8" t="n">
        <x:v>51.032</x:v>
      </x:c>
      <x:c r="AH69" s="8"/>
      <x:c r="AI69" s="8"/>
      <x:c r="AJ69" s="8"/>
      <x:c r="AK69" s="8"/>
      <x:c r="AL69" s="8" t="n">
        <x:v>0.219</x:v>
      </x:c>
      <x:c r="AM69" s="8" t="n">
        <x:v>6.049</x:v>
      </x:c>
      <x:c r="AN69" s="8" t="n">
        <x:v>6.599</x:v>
      </x:c>
      <x:c r="AO69" s="8" t="n">
        <x:v>40.301</x:v>
      </x:c>
      <x:c r="AP69" s="8"/>
      <x:c r="AQ69" s="8"/>
      <x:c r="AR69" s="8"/>
      <x:c r="AS69" s="8"/>
      <x:c r="AT69" s="8"/>
      <x:c r="AU69" s="8"/>
      <x:c r="AV69" s="8"/>
      <x:c r="AW69" s="8"/>
      <x:c r="AX69" s="8"/>
      <x:c r="AY69" s="8"/>
      <x:c r="AZ69" s="8"/>
      <x:c r="BA69" s="8"/>
      <x:c r="BB69" s="8" t="n">
        <x:f>LET(m,MIN(IF(D69&gt;0,D69,1E+99),IF(F69&gt;0,F69,1E+99),IF(H69&gt;0,H69,1E+99),IF(J69&gt;0,J69,1E+99),IF(L69&gt;0,L69,1E+99),IF(N69&gt;0,N69,1E+99),IF(P69&gt;0,P69,1E+99),IF(R69&gt;0,R69,1E+99),IF(T69&gt;0,T69,1E+99),IF(V69&gt;0,V69,1E+99),IF(X69&gt;0,X69,1E+99),IF(Z69&gt;0,Z69,1E+99),IF(AB69&gt;0,AB69,1E+99),IF(AD69&gt;0,AD69,1E+99),IF(AF69&gt;0,AF69,1E+99),IF(AH69&gt;0,AH69,1E+99),IF(AJ69&gt;0,AJ69,1E+99),IF(AL69&gt;0,AL69,1E+99),IF(AN69&gt;0,AN69,1E+99),IF(AP69&gt;0,AP69,1E+99),IF(AR69&gt;0,AR69,1E+99),IF(AT69&gt;0,AT69,1E+99),IF(AV69&gt;0,AV69,1E+99),IF(AX69&gt;0,AX69,1E+99),IF(AZ69&gt;0,AZ69,1E+99)),IF(m=1E+99,"",m))</x:f>
        <x:v>0.219</x:v>
      </x:c>
      <x:c r="BC69" s="12" t="e">
        <x:f>IF(BB69="","",INDEX({"v1.4.20","v1.4.20","v1.4.21","v1.4.21","v1.4.23","v1.4.23","v1.4.26","v1.4.26","v1.4.26.1","v1.4.26.1","v1.4.27","v1.4.27","v1.4.29","v1.4.29","v1.4.30","v1.4.30","v1.4.31","v1.4.31","v1.4.33","v1.4.33","v1.4.35","v1.4.35.2","v1.5","v1.5.1","v1.5.1"},MATCH(BB69,CHOOSE({1,2,3,4,5,6,7,8,9,10,11,12,13,14,15,16,17,18,19,20,21,22,23,24,25},D69,F69,H69,J69,L69,N69,P69,R69,T69,V69,X69,Z69,AB69,AD69,AF69,AH69,AJ69,AL69,AN69,AP69,AR69,AT69,AV69,AX69,AZ69),0)))</x:f>
      </x:c>
      <x:c r="BD69" s="14" t="n">
        <x:f>LET(m,MIN(IF(E69&gt;0,E69,1E+99),IF(G69&gt;0,G69,1E+99),IF(I69&gt;0,I69,1E+99),IF(K69&gt;0,K69,1E+99),IF(M69&gt;0,M69,1E+99),IF(O69&gt;0,O69,1E+99),IF(Q69&gt;0,Q69,1E+99),IF(S69&gt;0,S69,1E+99),IF(U69&gt;0,U69,1E+99),IF(W69&gt;0,W69,1E+99),IF(Y69&gt;0,Y69,1E+99),IF(AA69&gt;0,AA69,1E+99),IF(AC69&gt;0,AC69,1E+99),IF(AE69&gt;0,AE69,1E+99),IF(AG69&gt;0,AG69,1E+99),IF(AI69&gt;0,AI69,1E+99),IF(AK69&gt;0,AK69,1E+99),IF(AM69&gt;0,AM69,1E+99),IF(AO69&gt;0,AO69,1E+99),IF(AQ69&gt;0,AQ69,1E+99),IF(AS69&gt;0,AS69,1E+99),IF(AU69&gt;0,AU69,1E+99),IF(AW69&gt;0,AW69,1E+99),IF(AY69&gt;0,AY69,1E+99),IF(BA69&gt;0,BA69,1E+99)),IF(m=1E+99,"",m))</x:f>
        <x:v>6.049</x:v>
      </x:c>
      <x:c r="BE69" s="16" t="e">
        <x:f>IF(BD69="","",INDEX({"v1.4.20","v1.4.20","v1.4.21","v1.4.21","v1.4.23","v1.4.23","v1.4.26","v1.4.26","v1.4.26.1","v1.4.26.1","v1.4.27","v1.4.27","v1.4.29","v1.4.29","v1.4.30","v1.4.30","v1.4.31","v1.4.31","v1.4.33","v1.4.33","v1.4.35","v1.4.35.2","v1.5","v1.5.1","v1.5.1"},MATCH(BD69,CHOOSE({1,2,3,4,5,6,7,8,9,10,11,12,13,14,15,16,17,18,19,20,21,22,23,24,25},E69,G69,I69,K69,M69,O69,Q69,S69,U69,W69,Y69,AA69,AC69,AE69,AG69,AI69,AK69,AM69,AO69,AQ69,AS69,AU69,AW69,AY69,BA69),0)))</x:f>
      </x:c>
      <x:c r="BF69" s="10" t="n">
        <x:f>IFERROR((AX69-BB69)/BB69,"")</x:f>
        <x:v>-1</x:v>
      </x:c>
      <x:c r="BG69" s="10" t="n">
        <x:f>IFERROR((AY69-BD69)/BD69,"")</x:f>
        <x:v>-1</x:v>
      </x:c>
    </x:row>
    <x:row r="70">
      <x:c r="A70" t="str">
        <x:v>Banner Report</x:v>
      </x:c>
      <x:c r="B70" t="str">
        <x:v>Create / Refresh All Templates</x:v>
      </x:c>
      <x:c r="C70" t="str">
        <x:v>Start</x:v>
      </x:c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8"/>
      <x:c r="AL70" s="8" t="n">
        <x:v>0.001</x:v>
      </x:c>
      <x:c r="AM70" s="8" t="n">
        <x:v>0.001</x:v>
      </x:c>
      <x:c r="AN70" s="8"/>
      <x:c r="AO70" s="8"/>
      <x:c r="AP70" s="8"/>
      <x:c r="AQ70" s="8"/>
      <x:c r="AR70" s="8"/>
      <x:c r="AS70" s="8"/>
      <x:c r="AT70" s="8"/>
      <x:c r="AU70" s="8"/>
      <x:c r="AV70" s="8"/>
      <x:c r="AW70" s="8"/>
      <x:c r="AX70" s="8"/>
      <x:c r="AY70" s="8"/>
      <x:c r="AZ70" s="8"/>
      <x:c r="BA70" s="8"/>
      <x:c r="BB70" s="8" t="n">
        <x:f>LET(m,MIN(IF(D70&gt;0,D70,1E+99),IF(F70&gt;0,F70,1E+99),IF(H70&gt;0,H70,1E+99),IF(J70&gt;0,J70,1E+99),IF(L70&gt;0,L70,1E+99),IF(N70&gt;0,N70,1E+99),IF(P70&gt;0,P70,1E+99),IF(R70&gt;0,R70,1E+99),IF(T70&gt;0,T70,1E+99),IF(V70&gt;0,V70,1E+99),IF(X70&gt;0,X70,1E+99),IF(Z70&gt;0,Z70,1E+99),IF(AB70&gt;0,AB70,1E+99),IF(AD70&gt;0,AD70,1E+99),IF(AF70&gt;0,AF70,1E+99),IF(AH70&gt;0,AH70,1E+99),IF(AJ70&gt;0,AJ70,1E+99),IF(AL70&gt;0,AL70,1E+99),IF(AN70&gt;0,AN70,1E+99),IF(AP70&gt;0,AP70,1E+99),IF(AR70&gt;0,AR70,1E+99),IF(AT70&gt;0,AT70,1E+99),IF(AV70&gt;0,AV70,1E+99),IF(AX70&gt;0,AX70,1E+99),IF(AZ70&gt;0,AZ70,1E+99)),IF(m=1E+99,"",m))</x:f>
        <x:v>0.001</x:v>
      </x:c>
      <x:c r="BC70" s="12" t="e">
        <x:f>IF(BB70="","",INDEX({"v1.4.20","v1.4.20","v1.4.21","v1.4.21","v1.4.23","v1.4.23","v1.4.26","v1.4.26","v1.4.26.1","v1.4.26.1","v1.4.27","v1.4.27","v1.4.29","v1.4.29","v1.4.30","v1.4.30","v1.4.31","v1.4.31","v1.4.33","v1.4.33","v1.4.35","v1.4.35.2","v1.5","v1.5.1","v1.5.1"},MATCH(BB70,CHOOSE({1,2,3,4,5,6,7,8,9,10,11,12,13,14,15,16,17,18,19,20,21,22,23,24,25},D70,F70,H70,J70,L70,N70,P70,R70,T70,V70,X70,Z70,AB70,AD70,AF70,AH70,AJ70,AL70,AN70,AP70,AR70,AT70,AV70,AX70,AZ70),0)))</x:f>
      </x:c>
      <x:c r="BD70" s="14" t="n">
        <x:f>LET(m,MIN(IF(E70&gt;0,E70,1E+99),IF(G70&gt;0,G70,1E+99),IF(I70&gt;0,I70,1E+99),IF(K70&gt;0,K70,1E+99),IF(M70&gt;0,M70,1E+99),IF(O70&gt;0,O70,1E+99),IF(Q70&gt;0,Q70,1E+99),IF(S70&gt;0,S70,1E+99),IF(U70&gt;0,U70,1E+99),IF(W70&gt;0,W70,1E+99),IF(Y70&gt;0,Y70,1E+99),IF(AA70&gt;0,AA70,1E+99),IF(AC70&gt;0,AC70,1E+99),IF(AE70&gt;0,AE70,1E+99),IF(AG70&gt;0,AG70,1E+99),IF(AI70&gt;0,AI70,1E+99),IF(AK70&gt;0,AK70,1E+99),IF(AM70&gt;0,AM70,1E+99),IF(AO70&gt;0,AO70,1E+99),IF(AQ70&gt;0,AQ70,1E+99),IF(AS70&gt;0,AS70,1E+99),IF(AU70&gt;0,AU70,1E+99),IF(AW70&gt;0,AW70,1E+99),IF(AY70&gt;0,AY70,1E+99),IF(BA70&gt;0,BA70,1E+99)),IF(m=1E+99,"",m))</x:f>
        <x:v>0.001</x:v>
      </x:c>
      <x:c r="BE70" s="16" t="e">
        <x:f>IF(BD70="","",INDEX({"v1.4.20","v1.4.20","v1.4.21","v1.4.21","v1.4.23","v1.4.23","v1.4.26","v1.4.26","v1.4.26.1","v1.4.26.1","v1.4.27","v1.4.27","v1.4.29","v1.4.29","v1.4.30","v1.4.30","v1.4.31","v1.4.31","v1.4.33","v1.4.33","v1.4.35","v1.4.35.2","v1.5","v1.5.1","v1.5.1"},MATCH(BD70,CHOOSE({1,2,3,4,5,6,7,8,9,10,11,12,13,14,15,16,17,18,19,20,21,22,23,24,25},E70,G70,I70,K70,M70,O70,Q70,S70,U70,W70,Y70,AA70,AC70,AE70,AG70,AI70,AK70,AM70,AO70,AQ70,AS70,AU70,AW70,AY70,BA70),0)))</x:f>
      </x:c>
      <x:c r="BF70" s="10" t="n">
        <x:f>IFERROR((AX70-BB70)/BB70,"")</x:f>
        <x:v>-1</x:v>
      </x:c>
      <x:c r="BG70" s="10" t="n">
        <x:f>IFERROR((AY70-BD70)/BD70,"")</x:f>
        <x:v>-1</x:v>
      </x:c>
    </x:row>
    <x:row r="71">
      <x:c r="A71" t="str">
        <x:v>Banner Report</x:v>
      </x:c>
      <x:c r="B71" t="str">
        <x:v>Create / Refresh All Templates</x:v>
      </x:c>
      <x:c r="C71" t="str">
        <x:v>Template refresh decision: METADATA_ONLY - Template - Banner Report (metadata refresh will run)</x:v>
      </x:c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  <x:c r="AA71" s="8"/>
      <x:c r="AB71" s="8"/>
      <x:c r="AC71" s="8"/>
      <x:c r="AD71" s="8"/>
      <x:c r="AE71" s="8"/>
      <x:c r="AF71" s="8"/>
      <x:c r="AG71" s="8"/>
      <x:c r="AH71" s="8"/>
      <x:c r="AI71" s="8"/>
      <x:c r="AJ71" s="8" t="n">
        <x:v>0.003</x:v>
      </x:c>
      <x:c r="AK71" s="8" t="n">
        <x:v>34.779</x:v>
      </x:c>
      <x:c r="AL71" s="8" t="n">
        <x:v>0.003</x:v>
      </x:c>
      <x:c r="AM71" s="8" t="n">
        <x:v>34.779</x:v>
      </x:c>
      <x:c r="AN71" s="8"/>
      <x:c r="AO71" s="8"/>
      <x:c r="AP71" s="8"/>
      <x:c r="AQ71" s="8"/>
      <x:c r="AR71" s="8"/>
      <x:c r="AS71" s="8"/>
      <x:c r="AT71" s="8"/>
      <x:c r="AU71" s="8"/>
      <x:c r="AV71" s="8"/>
      <x:c r="AW71" s="8"/>
      <x:c r="AX71" s="8"/>
      <x:c r="AY71" s="8"/>
      <x:c r="AZ71" s="8"/>
      <x:c r="BA71" s="8"/>
      <x:c r="BB71" s="8" t="n">
        <x:f>LET(m,MIN(IF(D71&gt;0,D71,1E+99),IF(F71&gt;0,F71,1E+99),IF(H71&gt;0,H71,1E+99),IF(J71&gt;0,J71,1E+99),IF(L71&gt;0,L71,1E+99),IF(N71&gt;0,N71,1E+99),IF(P71&gt;0,P71,1E+99),IF(R71&gt;0,R71,1E+99),IF(T71&gt;0,T71,1E+99),IF(V71&gt;0,V71,1E+99),IF(X71&gt;0,X71,1E+99),IF(Z71&gt;0,Z71,1E+99),IF(AB71&gt;0,AB71,1E+99),IF(AD71&gt;0,AD71,1E+99),IF(AF71&gt;0,AF71,1E+99),IF(AH71&gt;0,AH71,1E+99),IF(AJ71&gt;0,AJ71,1E+99),IF(AL71&gt;0,AL71,1E+99),IF(AN71&gt;0,AN71,1E+99),IF(AP71&gt;0,AP71,1E+99),IF(AR71&gt;0,AR71,1E+99),IF(AT71&gt;0,AT71,1E+99),IF(AV71&gt;0,AV71,1E+99),IF(AX71&gt;0,AX71,1E+99),IF(AZ71&gt;0,AZ71,1E+99)),IF(m=1E+99,"",m))</x:f>
        <x:v>0.003</x:v>
      </x:c>
      <x:c r="BC71" s="12" t="e">
        <x:f>IF(BB71="","",INDEX({"v1.4.20","v1.4.20","v1.4.21","v1.4.21","v1.4.23","v1.4.23","v1.4.26","v1.4.26","v1.4.26.1","v1.4.26.1","v1.4.27","v1.4.27","v1.4.29","v1.4.29","v1.4.30","v1.4.30","v1.4.31","v1.4.31","v1.4.33","v1.4.33","v1.4.35","v1.4.35.2","v1.5","v1.5.1","v1.5.1"},MATCH(BB71,CHOOSE({1,2,3,4,5,6,7,8,9,10,11,12,13,14,15,16,17,18,19,20,21,22,23,24,25},D71,F71,H71,J71,L71,N71,P71,R71,T71,V71,X71,Z71,AB71,AD71,AF71,AH71,AJ71,AL71,AN71,AP71,AR71,AT71,AV71,AX71,AZ71),0)))</x:f>
      </x:c>
      <x:c r="BD71" s="14" t="n">
        <x:f>LET(m,MIN(IF(E71&gt;0,E71,1E+99),IF(G71&gt;0,G71,1E+99),IF(I71&gt;0,I71,1E+99),IF(K71&gt;0,K71,1E+99),IF(M71&gt;0,M71,1E+99),IF(O71&gt;0,O71,1E+99),IF(Q71&gt;0,Q71,1E+99),IF(S71&gt;0,S71,1E+99),IF(U71&gt;0,U71,1E+99),IF(W71&gt;0,W71,1E+99),IF(Y71&gt;0,Y71,1E+99),IF(AA71&gt;0,AA71,1E+99),IF(AC71&gt;0,AC71,1E+99),IF(AE71&gt;0,AE71,1E+99),IF(AG71&gt;0,AG71,1E+99),IF(AI71&gt;0,AI71,1E+99),IF(AK71&gt;0,AK71,1E+99),IF(AM71&gt;0,AM71,1E+99),IF(AO71&gt;0,AO71,1E+99),IF(AQ71&gt;0,AQ71,1E+99),IF(AS71&gt;0,AS71,1E+99),IF(AU71&gt;0,AU71,1E+99),IF(AW71&gt;0,AW71,1E+99),IF(AY71&gt;0,AY71,1E+99),IF(BA71&gt;0,BA71,1E+99)),IF(m=1E+99,"",m))</x:f>
        <x:v>34.779</x:v>
      </x:c>
      <x:c r="BE71" s="16" t="e">
        <x:f>IF(BD71="","",INDEX({"v1.4.20","v1.4.20","v1.4.21","v1.4.21","v1.4.23","v1.4.23","v1.4.26","v1.4.26","v1.4.26.1","v1.4.26.1","v1.4.27","v1.4.27","v1.4.29","v1.4.29","v1.4.30","v1.4.30","v1.4.31","v1.4.31","v1.4.33","v1.4.33","v1.4.35","v1.4.35.2","v1.5","v1.5.1","v1.5.1"},MATCH(BD71,CHOOSE({1,2,3,4,5,6,7,8,9,10,11,12,13,14,15,16,17,18,19,20,21,22,23,24,25},E71,G71,I71,K71,M71,O71,Q71,S71,U71,W71,Y71,AA71,AC71,AE71,AG71,AI71,AK71,AM71,AO71,AQ71,AS71,AU71,AW71,AY71,BA71),0)))</x:f>
      </x:c>
      <x:c r="BF71" s="10" t="n">
        <x:f>IFERROR((AX71-BB71)/BB71,"")</x:f>
        <x:v>-1</x:v>
      </x:c>
      <x:c r="BG71" s="10" t="n">
        <x:f>IFERROR((AY71-BD71)/BD71,"")</x:f>
        <x:v>-1</x:v>
      </x:c>
    </x:row>
    <x:row r="72">
      <x:c r="A72" t="str">
        <x:v>Banner Report</x:v>
      </x:c>
      <x:c r="B72" t="str">
        <x:v>Create / Refresh All Templates</x:v>
      </x:c>
      <x:c r="C72" t="str">
        <x:v>Template signature matched - metadata refresh eligible: Template - Banner Report</x:v>
      </x:c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 t="n">
        <x:v>0.182</x:v>
      </x:c>
      <x:c r="AK72" s="8" t="n">
        <x:v>34.776</x:v>
      </x:c>
      <x:c r="AL72" s="8" t="n">
        <x:v>0.182</x:v>
      </x:c>
      <x:c r="AM72" s="8" t="n">
        <x:v>34.776</x:v>
      </x:c>
      <x:c r="AN72" s="8"/>
      <x:c r="AO72" s="8"/>
      <x:c r="AP72" s="8"/>
      <x:c r="AQ72" s="8"/>
      <x:c r="AR72" s="8"/>
      <x:c r="AS72" s="8"/>
      <x:c r="AT72" s="8"/>
      <x:c r="AU72" s="8"/>
      <x:c r="AV72" s="8"/>
      <x:c r="AW72" s="8"/>
      <x:c r="AX72" s="8"/>
      <x:c r="AY72" s="8"/>
      <x:c r="AZ72" s="8"/>
      <x:c r="BA72" s="8"/>
      <x:c r="BB72" s="8" t="n">
        <x:f>LET(m,MIN(IF(D72&gt;0,D72,1E+99),IF(F72&gt;0,F72,1E+99),IF(H72&gt;0,H72,1E+99),IF(J72&gt;0,J72,1E+99),IF(L72&gt;0,L72,1E+99),IF(N72&gt;0,N72,1E+99),IF(P72&gt;0,P72,1E+99),IF(R72&gt;0,R72,1E+99),IF(T72&gt;0,T72,1E+99),IF(V72&gt;0,V72,1E+99),IF(X72&gt;0,X72,1E+99),IF(Z72&gt;0,Z72,1E+99),IF(AB72&gt;0,AB72,1E+99),IF(AD72&gt;0,AD72,1E+99),IF(AF72&gt;0,AF72,1E+99),IF(AH72&gt;0,AH72,1E+99),IF(AJ72&gt;0,AJ72,1E+99),IF(AL72&gt;0,AL72,1E+99),IF(AN72&gt;0,AN72,1E+99),IF(AP72&gt;0,AP72,1E+99),IF(AR72&gt;0,AR72,1E+99),IF(AT72&gt;0,AT72,1E+99),IF(AV72&gt;0,AV72,1E+99),IF(AX72&gt;0,AX72,1E+99),IF(AZ72&gt;0,AZ72,1E+99)),IF(m=1E+99,"",m))</x:f>
        <x:v>0.182</x:v>
      </x:c>
      <x:c r="BC72" s="12" t="e">
        <x:f>IF(BB72="","",INDEX({"v1.4.20","v1.4.20","v1.4.21","v1.4.21","v1.4.23","v1.4.23","v1.4.26","v1.4.26","v1.4.26.1","v1.4.26.1","v1.4.27","v1.4.27","v1.4.29","v1.4.29","v1.4.30","v1.4.30","v1.4.31","v1.4.31","v1.4.33","v1.4.33","v1.4.35","v1.4.35.2","v1.5","v1.5.1","v1.5.1"},MATCH(BB72,CHOOSE({1,2,3,4,5,6,7,8,9,10,11,12,13,14,15,16,17,18,19,20,21,22,23,24,25},D72,F72,H72,J72,L72,N72,P72,R72,T72,V72,X72,Z72,AB72,AD72,AF72,AH72,AJ72,AL72,AN72,AP72,AR72,AT72,AV72,AX72,AZ72),0)))</x:f>
      </x:c>
      <x:c r="BD72" s="14" t="n">
        <x:f>LET(m,MIN(IF(E72&gt;0,E72,1E+99),IF(G72&gt;0,G72,1E+99),IF(I72&gt;0,I72,1E+99),IF(K72&gt;0,K72,1E+99),IF(M72&gt;0,M72,1E+99),IF(O72&gt;0,O72,1E+99),IF(Q72&gt;0,Q72,1E+99),IF(S72&gt;0,S72,1E+99),IF(U72&gt;0,U72,1E+99),IF(W72&gt;0,W72,1E+99),IF(Y72&gt;0,Y72,1E+99),IF(AA72&gt;0,AA72,1E+99),IF(AC72&gt;0,AC72,1E+99),IF(AE72&gt;0,AE72,1E+99),IF(AG72&gt;0,AG72,1E+99),IF(AI72&gt;0,AI72,1E+99),IF(AK72&gt;0,AK72,1E+99),IF(AM72&gt;0,AM72,1E+99),IF(AO72&gt;0,AO72,1E+99),IF(AQ72&gt;0,AQ72,1E+99),IF(AS72&gt;0,AS72,1E+99),IF(AU72&gt;0,AU72,1E+99),IF(AW72&gt;0,AW72,1E+99),IF(AY72&gt;0,AY72,1E+99),IF(BA72&gt;0,BA72,1E+99)),IF(m=1E+99,"",m))</x:f>
        <x:v>34.776</x:v>
      </x:c>
      <x:c r="BE72" s="16" t="e">
        <x:f>IF(BD72="","",INDEX({"v1.4.20","v1.4.20","v1.4.21","v1.4.21","v1.4.23","v1.4.23","v1.4.26","v1.4.26","v1.4.26.1","v1.4.26.1","v1.4.27","v1.4.27","v1.4.29","v1.4.29","v1.4.30","v1.4.30","v1.4.31","v1.4.31","v1.4.33","v1.4.33","v1.4.35","v1.4.35.2","v1.5","v1.5.1","v1.5.1"},MATCH(BD72,CHOOSE({1,2,3,4,5,6,7,8,9,10,11,12,13,14,15,16,17,18,19,20,21,22,23,24,25},E72,G72,I72,K72,M72,O72,Q72,S72,U72,W72,Y72,AA72,AC72,AE72,AG72,AI72,AK72,AM72,AO72,AQ72,AS72,AU72,AW72,AY72,BA72),0)))</x:f>
      </x:c>
      <x:c r="BF72" s="10" t="n">
        <x:f>IFERROR((AX72-BB72)/BB72,"")</x:f>
        <x:v>-1</x:v>
      </x:c>
      <x:c r="BG72" s="10" t="n">
        <x:f>IFERROR((AY72-BD72)/BD72,"")</x:f>
        <x:v>-1</x:v>
      </x:c>
    </x:row>
    <x:row r="73">
      <x:c r="A73" t="str">
        <x:v>Care Plan Due</x:v>
      </x:c>
      <x:c r="B73" t="str">
        <x:v>Create / Refresh All Templates</x:v>
      </x:c>
      <x:c r="C73" t="str">
        <x:v>Open/create sheet: Template - Care Plan Due</x:v>
      </x:c>
      <x:c r="D73" s="8" t="n">
        <x:v>1.439</x:v>
      </x:c>
      <x:c r="E73" s="8" t="n">
        <x:v>41.448</x:v>
      </x:c>
      <x:c r="F73" s="8"/>
      <x:c r="G73" s="8"/>
      <x:c r="H73" s="8" t="n">
        <x:v>2.548</x:v>
      </x:c>
      <x:c r="I73" s="8" t="n">
        <x:v>58.287</x:v>
      </x:c>
      <x:c r="J73" s="8"/>
      <x:c r="K73" s="8"/>
      <x:c r="L73" s="8"/>
      <x:c r="M73" s="8"/>
      <x:c r="N73" s="8" t="n">
        <x:v>3.546</x:v>
      </x:c>
      <x:c r="O73" s="8" t="n">
        <x:v>53.704</x:v>
      </x:c>
      <x:c r="P73" s="8"/>
      <x:c r="Q73" s="8"/>
      <x:c r="R73" s="8" t="n">
        <x:v>1.443</x:v>
      </x:c>
      <x:c r="S73" s="8" t="n">
        <x:v>33.34</x:v>
      </x:c>
      <x:c r="T73" s="8"/>
      <x:c r="U73" s="8"/>
      <x:c r="V73" s="8" t="n">
        <x:v>1.63</x:v>
      </x:c>
      <x:c r="W73" s="8" t="n">
        <x:v>46.141</x:v>
      </x:c>
      <x:c r="X73" s="8"/>
      <x:c r="Y73" s="8"/>
      <x:c r="Z73" s="8" t="n">
        <x:v>2.719</x:v>
      </x:c>
      <x:c r="AA73" s="8" t="n">
        <x:v>61.278</x:v>
      </x:c>
      <x:c r="AB73" s="8"/>
      <x:c r="AC73" s="8"/>
      <x:c r="AD73" s="8" t="n">
        <x:v>2.565</x:v>
      </x:c>
      <x:c r="AE73" s="8" t="n">
        <x:v>60.833</x:v>
      </x:c>
      <x:c r="AF73" s="8" t="n">
        <x:v>2.59</x:v>
      </x:c>
      <x:c r="AG73" s="8" t="n">
        <x:v>65.413</x:v>
      </x:c>
      <x:c r="AH73" s="8"/>
      <x:c r="AI73" s="8"/>
      <x:c r="AJ73" s="8" t="n">
        <x:v>2.707</x:v>
      </x:c>
      <x:c r="AK73" s="8" t="n">
        <x:v>37.622</x:v>
      </x:c>
      <x:c r="AL73" s="8" t="n">
        <x:v>2.707</x:v>
      </x:c>
      <x:c r="AM73" s="8" t="n">
        <x:v>37.622</x:v>
      </x:c>
      <x:c r="AN73" s="8" t="n">
        <x:v>1.658</x:v>
      </x:c>
      <x:c r="AO73" s="8" t="n">
        <x:v>50.617</x:v>
      </x:c>
      <x:c r="AP73" s="8"/>
      <x:c r="AQ73" s="8"/>
      <x:c r="AR73" s="8" t="n">
        <x:v>3.55</x:v>
      </x:c>
      <x:c r="AS73" s="8" t="n">
        <x:v>67.127</x:v>
      </x:c>
      <x:c r="AT73" s="8" t="n">
        <x:v>1.769</x:v>
      </x:c>
      <x:c r="AU73" s="8" t="n">
        <x:v>48.089</x:v>
      </x:c>
      <x:c r="AV73" s="8" t="n">
        <x:v>2.29</x:v>
      </x:c>
      <x:c r="AW73" s="8" t="n">
        <x:v>53.757</x:v>
      </x:c>
      <x:c r="AX73" s="8" t="n">
        <x:v>2.462</x:v>
      </x:c>
      <x:c r="AY73" s="8" t="n">
        <x:v>57.478</x:v>
      </x:c>
      <x:c r="AZ73" s="8"/>
      <x:c r="BA73" s="8"/>
      <x:c r="BB73" s="8" t="n">
        <x:f>LET(m,MIN(IF(D73&gt;0,D73,1E+99),IF(F73&gt;0,F73,1E+99),IF(H73&gt;0,H73,1E+99),IF(J73&gt;0,J73,1E+99),IF(L73&gt;0,L73,1E+99),IF(N73&gt;0,N73,1E+99),IF(P73&gt;0,P73,1E+99),IF(R73&gt;0,R73,1E+99),IF(T73&gt;0,T73,1E+99),IF(V73&gt;0,V73,1E+99),IF(X73&gt;0,X73,1E+99),IF(Z73&gt;0,Z73,1E+99),IF(AB73&gt;0,AB73,1E+99),IF(AD73&gt;0,AD73,1E+99),IF(AF73&gt;0,AF73,1E+99),IF(AH73&gt;0,AH73,1E+99),IF(AJ73&gt;0,AJ73,1E+99),IF(AL73&gt;0,AL73,1E+99),IF(AN73&gt;0,AN73,1E+99),IF(AP73&gt;0,AP73,1E+99),IF(AR73&gt;0,AR73,1E+99),IF(AT73&gt;0,AT73,1E+99),IF(AV73&gt;0,AV73,1E+99),IF(AX73&gt;0,AX73,1E+99),IF(AZ73&gt;0,AZ73,1E+99)),IF(m=1E+99,"",m))</x:f>
        <x:v>1.439</x:v>
      </x:c>
      <x:c r="BC73" s="12" t="str">
        <x:f>IF(BB73="","",INDEX({"v1.4.20","v1.4.20","v1.4.21","v1.4.21","v1.4.23","v1.4.23","v1.4.26","v1.4.26","v1.4.26.1","v1.4.26.1","v1.4.27","v1.4.27","v1.4.29","v1.4.29","v1.4.30","v1.4.30","v1.4.31","v1.4.31","v1.4.33","v1.4.33","v1.4.35","v1.4.35.2","v1.5","v1.5.1","v1.5.1"},MATCH(BB73,CHOOSE({1,2,3,4,5,6,7,8,9,10,11,12,13,14,15,16,17,18,19,20,21,22,23,24,25},D73,F73,H73,J73,L73,N73,P73,R73,T73,V73,X73,Z73,AB73,AD73,AF73,AH73,AJ73,AL73,AN73,AP73,AR73,AT73,AV73,AX73,AZ73),0)))</x:f>
        <x:v>v1.4.20</x:v>
      </x:c>
      <x:c r="BD73" s="14" t="n">
        <x:f>LET(m,MIN(IF(E73&gt;0,E73,1E+99),IF(G73&gt;0,G73,1E+99),IF(I73&gt;0,I73,1E+99),IF(K73&gt;0,K73,1E+99),IF(M73&gt;0,M73,1E+99),IF(O73&gt;0,O73,1E+99),IF(Q73&gt;0,Q73,1E+99),IF(S73&gt;0,S73,1E+99),IF(U73&gt;0,U73,1E+99),IF(W73&gt;0,W73,1E+99),IF(Y73&gt;0,Y73,1E+99),IF(AA73&gt;0,AA73,1E+99),IF(AC73&gt;0,AC73,1E+99),IF(AE73&gt;0,AE73,1E+99),IF(AG73&gt;0,AG73,1E+99),IF(AI73&gt;0,AI73,1E+99),IF(AK73&gt;0,AK73,1E+99),IF(AM73&gt;0,AM73,1E+99),IF(AO73&gt;0,AO73,1E+99),IF(AQ73&gt;0,AQ73,1E+99),IF(AS73&gt;0,AS73,1E+99),IF(AU73&gt;0,AU73,1E+99),IF(AW73&gt;0,AW73,1E+99),IF(AY73&gt;0,AY73,1E+99),IF(BA73&gt;0,BA73,1E+99)),IF(m=1E+99,"",m))</x:f>
        <x:v>33.34</x:v>
      </x:c>
      <x:c r="BE73" s="16" t="e">
        <x:f>IF(BD73="","",INDEX({"v1.4.20","v1.4.20","v1.4.21","v1.4.21","v1.4.23","v1.4.23","v1.4.26","v1.4.26","v1.4.26.1","v1.4.26.1","v1.4.27","v1.4.27","v1.4.29","v1.4.29","v1.4.30","v1.4.30","v1.4.31","v1.4.31","v1.4.33","v1.4.33","v1.4.35","v1.4.35.2","v1.5","v1.5.1","v1.5.1"},MATCH(BD73,CHOOSE({1,2,3,4,5,6,7,8,9,10,11,12,13,14,15,16,17,18,19,20,21,22,23,24,25},E73,G73,I73,K73,M73,O73,Q73,S73,U73,W73,Y73,AA73,AC73,AE73,AG73,AI73,AK73,AM73,AO73,AQ73,AS73,AU73,AW73,AY73,BA73),0)))</x:f>
      </x:c>
      <x:c r="BF73" s="10" t="n">
        <x:f>IFERROR((AX73-BB73)/BB73,"")</x:f>
        <x:v>0.7109103544127867</x:v>
      </x:c>
      <x:c r="BG73" s="10" t="n">
        <x:f>IFERROR((AY73-BD73)/BD73,"")</x:f>
        <x:v>0.723995200959808</x:v>
      </x:c>
    </x:row>
    <x:row r="74">
      <x:c r="A74" t="str">
        <x:v>Care Plan Due</x:v>
      </x:c>
      <x:c r="B74" t="str">
        <x:v>Create / Refresh All Templates</x:v>
      </x:c>
      <x:c r="C74" t="str">
        <x:v>Template signature mismatch - full build required: Template - Care Plan Due</x:v>
      </x:c>
      <x:c r="D74" s="8" t="n">
        <x:v>0.047</x:v>
      </x:c>
      <x:c r="E74" s="8" t="n">
        <x:v>41.495</x:v>
      </x:c>
      <x:c r="F74" s="8"/>
      <x:c r="G74" s="8"/>
      <x:c r="H74" s="8" t="n">
        <x:v>0.022</x:v>
      </x:c>
      <x:c r="I74" s="8" t="n">
        <x:v>58.309</x:v>
      </x:c>
      <x:c r="J74" s="8"/>
      <x:c r="K74" s="8"/>
      <x:c r="L74" s="8"/>
      <x:c r="M74" s="8"/>
      <x:c r="N74" s="8" t="n">
        <x:v>0.043</x:v>
      </x:c>
      <x:c r="O74" s="8" t="n">
        <x:v>53.747</x:v>
      </x:c>
      <x:c r="P74" s="8"/>
      <x:c r="Q74" s="8"/>
      <x:c r="R74" s="8" t="n">
        <x:v>0.03</x:v>
      </x:c>
      <x:c r="S74" s="8" t="n">
        <x:v>33.37</x:v>
      </x:c>
      <x:c r="T74" s="8"/>
      <x:c r="U74" s="8"/>
      <x:c r="V74" s="8" t="n">
        <x:v>0.088</x:v>
      </x:c>
      <x:c r="W74" s="8" t="n">
        <x:v>46.229</x:v>
      </x:c>
      <x:c r="X74" s="8"/>
      <x:c r="Y74" s="8"/>
      <x:c r="Z74" s="8" t="n">
        <x:v>0.045</x:v>
      </x:c>
      <x:c r="AA74" s="8" t="n">
        <x:v>61.323</x:v>
      </x:c>
      <x:c r="AB74" s="8"/>
      <x:c r="AC74" s="8"/>
      <x:c r="AD74" s="8" t="n">
        <x:v>0.034</x:v>
      </x:c>
      <x:c r="AE74" s="8" t="n">
        <x:v>60.867</x:v>
      </x:c>
      <x:c r="AF74" s="8" t="n">
        <x:v>0.041</x:v>
      </x:c>
      <x:c r="AG74" s="8" t="n">
        <x:v>65.454</x:v>
      </x:c>
      <x:c r="AH74" s="8"/>
      <x:c r="AI74" s="8"/>
      <x:c r="AJ74" s="8" t="n">
        <x:v>0.04</x:v>
      </x:c>
      <x:c r="AK74" s="8" t="n">
        <x:v>37.662</x:v>
      </x:c>
      <x:c r="AL74" s="8" t="n">
        <x:v>0.04</x:v>
      </x:c>
      <x:c r="AM74" s="8" t="n">
        <x:v>37.662</x:v>
      </x:c>
      <x:c r="AN74" s="8" t="n">
        <x:v>0.03</x:v>
      </x:c>
      <x:c r="AO74" s="8" t="n">
        <x:v>50.647</x:v>
      </x:c>
      <x:c r="AP74" s="8"/>
      <x:c r="AQ74" s="8"/>
      <x:c r="AR74" s="8" t="n">
        <x:v>0.03</x:v>
      </x:c>
      <x:c r="AS74" s="8" t="n">
        <x:v>67.157</x:v>
      </x:c>
      <x:c r="AT74" s="8" t="n">
        <x:v>0.021</x:v>
      </x:c>
      <x:c r="AU74" s="8" t="n">
        <x:v>48.11</x:v>
      </x:c>
      <x:c r="AV74" s="8" t="n">
        <x:v>0.044</x:v>
      </x:c>
      <x:c r="AW74" s="8" t="n">
        <x:v>53.801</x:v>
      </x:c>
      <x:c r="AX74" s="8" t="n">
        <x:v>0.058</x:v>
      </x:c>
      <x:c r="AY74" s="8" t="n">
        <x:v>57.536</x:v>
      </x:c>
      <x:c r="AZ74" s="8"/>
      <x:c r="BA74" s="8"/>
      <x:c r="BB74" s="8" t="n">
        <x:f>LET(m,MIN(IF(D74&gt;0,D74,1E+99),IF(F74&gt;0,F74,1E+99),IF(H74&gt;0,H74,1E+99),IF(J74&gt;0,J74,1E+99),IF(L74&gt;0,L74,1E+99),IF(N74&gt;0,N74,1E+99),IF(P74&gt;0,P74,1E+99),IF(R74&gt;0,R74,1E+99),IF(T74&gt;0,T74,1E+99),IF(V74&gt;0,V74,1E+99),IF(X74&gt;0,X74,1E+99),IF(Z74&gt;0,Z74,1E+99),IF(AB74&gt;0,AB74,1E+99),IF(AD74&gt;0,AD74,1E+99),IF(AF74&gt;0,AF74,1E+99),IF(AH74&gt;0,AH74,1E+99),IF(AJ74&gt;0,AJ74,1E+99),IF(AL74&gt;0,AL74,1E+99),IF(AN74&gt;0,AN74,1E+99),IF(AP74&gt;0,AP74,1E+99),IF(AR74&gt;0,AR74,1E+99),IF(AT74&gt;0,AT74,1E+99),IF(AV74&gt;0,AV74,1E+99),IF(AX74&gt;0,AX74,1E+99),IF(AZ74&gt;0,AZ74,1E+99)),IF(m=1E+99,"",m))</x:f>
        <x:v>0.021</x:v>
      </x:c>
      <x:c r="BC74" s="12" t="e">
        <x:f>IF(BB74="","",INDEX({"v1.4.20","v1.4.20","v1.4.21","v1.4.21","v1.4.23","v1.4.23","v1.4.26","v1.4.26","v1.4.26.1","v1.4.26.1","v1.4.27","v1.4.27","v1.4.29","v1.4.29","v1.4.30","v1.4.30","v1.4.31","v1.4.31","v1.4.33","v1.4.33","v1.4.35","v1.4.35.2","v1.5","v1.5.1","v1.5.1"},MATCH(BB74,CHOOSE({1,2,3,4,5,6,7,8,9,10,11,12,13,14,15,16,17,18,19,20,21,22,23,24,25},D74,F74,H74,J74,L74,N74,P74,R74,T74,V74,X74,Z74,AB74,AD74,AF74,AH74,AJ74,AL74,AN74,AP74,AR74,AT74,AV74,AX74,AZ74),0)))</x:f>
      </x:c>
      <x:c r="BD74" s="14" t="n">
        <x:f>LET(m,MIN(IF(E74&gt;0,E74,1E+99),IF(G74&gt;0,G74,1E+99),IF(I74&gt;0,I74,1E+99),IF(K74&gt;0,K74,1E+99),IF(M74&gt;0,M74,1E+99),IF(O74&gt;0,O74,1E+99),IF(Q74&gt;0,Q74,1E+99),IF(S74&gt;0,S74,1E+99),IF(U74&gt;0,U74,1E+99),IF(W74&gt;0,W74,1E+99),IF(Y74&gt;0,Y74,1E+99),IF(AA74&gt;0,AA74,1E+99),IF(AC74&gt;0,AC74,1E+99),IF(AE74&gt;0,AE74,1E+99),IF(AG74&gt;0,AG74,1E+99),IF(AI74&gt;0,AI74,1E+99),IF(AK74&gt;0,AK74,1E+99),IF(AM74&gt;0,AM74,1E+99),IF(AO74&gt;0,AO74,1E+99),IF(AQ74&gt;0,AQ74,1E+99),IF(AS74&gt;0,AS74,1E+99),IF(AU74&gt;0,AU74,1E+99),IF(AW74&gt;0,AW74,1E+99),IF(AY74&gt;0,AY74,1E+99),IF(BA74&gt;0,BA74,1E+99)),IF(m=1E+99,"",m))</x:f>
        <x:v>33.37</x:v>
      </x:c>
      <x:c r="BE74" s="16" t="e">
        <x:f>IF(BD74="","",INDEX({"v1.4.20","v1.4.20","v1.4.21","v1.4.21","v1.4.23","v1.4.23","v1.4.26","v1.4.26","v1.4.26.1","v1.4.26.1","v1.4.27","v1.4.27","v1.4.29","v1.4.29","v1.4.30","v1.4.30","v1.4.31","v1.4.31","v1.4.33","v1.4.33","v1.4.35","v1.4.35.2","v1.5","v1.5.1","v1.5.1"},MATCH(BD74,CHOOSE({1,2,3,4,5,6,7,8,9,10,11,12,13,14,15,16,17,18,19,20,21,22,23,24,25},E74,G74,I74,K74,M74,O74,Q74,S74,U74,W74,Y74,AA74,AC74,AE74,AG74,AI74,AK74,AM74,AO74,AQ74,AS74,AU74,AW74,AY74,BA74),0)))</x:f>
      </x:c>
      <x:c r="BF74" s="10" t="n">
        <x:f>IFERROR((AX74-BB74)/BB74,"")</x:f>
        <x:v>1.761904761904762</x:v>
      </x:c>
      <x:c r="BG74" s="10" t="n">
        <x:f>IFERROR((AY74-BD74)/BD74,"")</x:f>
        <x:v>0.724183398261912</x:v>
      </x:c>
    </x:row>
    <x:row r="75">
      <x:c r="A75" t="str">
        <x:v>Care Plan Due</x:v>
      </x:c>
      <x:c r="B75" t="str">
        <x:v>Create / Refresh All Templates</x:v>
      </x:c>
      <x:c r="C75" t="str">
        <x:v>Template refresh decision: FULL_BUILD - Template - Care Plan Due (template sheet did not exist; no stored signature)</x:v>
      </x:c>
      <x:c r="D75" s="8" t="n">
        <x:v>0</x:v>
      </x:c>
      <x:c r="E75" s="8" t="n">
        <x:v>41.495</x:v>
      </x:c>
      <x:c r="F75" s="8"/>
      <x:c r="G75" s="8"/>
      <x:c r="H75" s="8" t="n">
        <x:v>0</x:v>
      </x:c>
      <x:c r="I75" s="8" t="n">
        <x:v>58.309</x:v>
      </x:c>
      <x:c r="J75" s="8"/>
      <x:c r="K75" s="8"/>
      <x:c r="L75" s="8"/>
      <x:c r="M75" s="8"/>
      <x:c r="N75" s="8" t="n">
        <x:v>0</x:v>
      </x:c>
      <x:c r="O75" s="8" t="n">
        <x:v>53.747</x:v>
      </x:c>
      <x:c r="P75" s="8"/>
      <x:c r="Q75" s="8"/>
      <x:c r="R75" s="8" t="n">
        <x:v>0</x:v>
      </x:c>
      <x:c r="S75" s="8" t="n">
        <x:v>33.37</x:v>
      </x:c>
      <x:c r="T75" s="8"/>
      <x:c r="U75" s="8"/>
      <x:c r="V75" s="8" t="n">
        <x:v>0</x:v>
      </x:c>
      <x:c r="W75" s="8" t="n">
        <x:v>46.229</x:v>
      </x:c>
      <x:c r="X75" s="8"/>
      <x:c r="Y75" s="8"/>
      <x:c r="Z75" s="8" t="n">
        <x:v>0</x:v>
      </x:c>
      <x:c r="AA75" s="8" t="n">
        <x:v>61.323</x:v>
      </x:c>
      <x:c r="AB75" s="8"/>
      <x:c r="AC75" s="8"/>
      <x:c r="AD75" s="8" t="n">
        <x:v>0</x:v>
      </x:c>
      <x:c r="AE75" s="8" t="n">
        <x:v>60.867</x:v>
      </x:c>
      <x:c r="AF75" s="8" t="n">
        <x:v>0</x:v>
      </x:c>
      <x:c r="AG75" s="8" t="n">
        <x:v>65.454</x:v>
      </x:c>
      <x:c r="AH75" s="8"/>
      <x:c r="AI75" s="8"/>
      <x:c r="AJ75" s="8" t="n">
        <x:v>0</x:v>
      </x:c>
      <x:c r="AK75" s="8" t="n">
        <x:v>37.662</x:v>
      </x:c>
      <x:c r="AL75" s="8" t="n">
        <x:v>0</x:v>
      </x:c>
      <x:c r="AM75" s="8" t="n">
        <x:v>37.662</x:v>
      </x:c>
      <x:c r="AN75" s="8" t="n">
        <x:v>0.001</x:v>
      </x:c>
      <x:c r="AO75" s="8" t="n">
        <x:v>50.648</x:v>
      </x:c>
      <x:c r="AP75" s="8"/>
      <x:c r="AQ75" s="8"/>
      <x:c r="AR75" s="8" t="n">
        <x:v>0</x:v>
      </x:c>
      <x:c r="AS75" s="8" t="n">
        <x:v>67.157</x:v>
      </x:c>
      <x:c r="AT75" s="8" t="n">
        <x:v>0</x:v>
      </x:c>
      <x:c r="AU75" s="8" t="n">
        <x:v>48.11</x:v>
      </x:c>
      <x:c r="AV75" s="8" t="n">
        <x:v>0</x:v>
      </x:c>
      <x:c r="AW75" s="8" t="n">
        <x:v>53.801</x:v>
      </x:c>
      <x:c r="AX75" s="8" t="n">
        <x:v>0</x:v>
      </x:c>
      <x:c r="AY75" s="8" t="n">
        <x:v>57.536</x:v>
      </x:c>
      <x:c r="AZ75" s="8"/>
      <x:c r="BA75" s="8"/>
      <x:c r="BB75" s="8" t="n">
        <x:f>LET(m,MIN(IF(D75&gt;0,D75,1E+99),IF(F75&gt;0,F75,1E+99),IF(H75&gt;0,H75,1E+99),IF(J75&gt;0,J75,1E+99),IF(L75&gt;0,L75,1E+99),IF(N75&gt;0,N75,1E+99),IF(P75&gt;0,P75,1E+99),IF(R75&gt;0,R75,1E+99),IF(T75&gt;0,T75,1E+99),IF(V75&gt;0,V75,1E+99),IF(X75&gt;0,X75,1E+99),IF(Z75&gt;0,Z75,1E+99),IF(AB75&gt;0,AB75,1E+99),IF(AD75&gt;0,AD75,1E+99),IF(AF75&gt;0,AF75,1E+99),IF(AH75&gt;0,AH75,1E+99),IF(AJ75&gt;0,AJ75,1E+99),IF(AL75&gt;0,AL75,1E+99),IF(AN75&gt;0,AN75,1E+99),IF(AP75&gt;0,AP75,1E+99),IF(AR75&gt;0,AR75,1E+99),IF(AT75&gt;0,AT75,1E+99),IF(AV75&gt;0,AV75,1E+99),IF(AX75&gt;0,AX75,1E+99),IF(AZ75&gt;0,AZ75,1E+99)),IF(m=1E+99,"",m))</x:f>
        <x:v>0.001</x:v>
      </x:c>
      <x:c r="BC75" s="12" t="e">
        <x:f>IF(BB75="","",INDEX({"v1.4.20","v1.4.20","v1.4.21","v1.4.21","v1.4.23","v1.4.23","v1.4.26","v1.4.26","v1.4.26.1","v1.4.26.1","v1.4.27","v1.4.27","v1.4.29","v1.4.29","v1.4.30","v1.4.30","v1.4.31","v1.4.31","v1.4.33","v1.4.33","v1.4.35","v1.4.35.2","v1.5","v1.5.1","v1.5.1"},MATCH(BB75,CHOOSE({1,2,3,4,5,6,7,8,9,10,11,12,13,14,15,16,17,18,19,20,21,22,23,24,25},D75,F75,H75,J75,L75,N75,P75,R75,T75,V75,X75,Z75,AB75,AD75,AF75,AH75,AJ75,AL75,AN75,AP75,AR75,AT75,AV75,AX75,AZ75),0)))</x:f>
      </x:c>
      <x:c r="BD75" s="14" t="n">
        <x:f>LET(m,MIN(IF(E75&gt;0,E75,1E+99),IF(G75&gt;0,G75,1E+99),IF(I75&gt;0,I75,1E+99),IF(K75&gt;0,K75,1E+99),IF(M75&gt;0,M75,1E+99),IF(O75&gt;0,O75,1E+99),IF(Q75&gt;0,Q75,1E+99),IF(S75&gt;0,S75,1E+99),IF(U75&gt;0,U75,1E+99),IF(W75&gt;0,W75,1E+99),IF(Y75&gt;0,Y75,1E+99),IF(AA75&gt;0,AA75,1E+99),IF(AC75&gt;0,AC75,1E+99),IF(AE75&gt;0,AE75,1E+99),IF(AG75&gt;0,AG75,1E+99),IF(AI75&gt;0,AI75,1E+99),IF(AK75&gt;0,AK75,1E+99),IF(AM75&gt;0,AM75,1E+99),IF(AO75&gt;0,AO75,1E+99),IF(AQ75&gt;0,AQ75,1E+99),IF(AS75&gt;0,AS75,1E+99),IF(AU75&gt;0,AU75,1E+99),IF(AW75&gt;0,AW75,1E+99),IF(AY75&gt;0,AY75,1E+99),IF(BA75&gt;0,BA75,1E+99)),IF(m=1E+99,"",m))</x:f>
        <x:v>33.37</x:v>
      </x:c>
      <x:c r="BE75" s="16" t="e">
        <x:f>IF(BD75="","",INDEX({"v1.4.20","v1.4.20","v1.4.21","v1.4.21","v1.4.23","v1.4.23","v1.4.26","v1.4.26","v1.4.26.1","v1.4.26.1","v1.4.27","v1.4.27","v1.4.29","v1.4.29","v1.4.30","v1.4.30","v1.4.31","v1.4.31","v1.4.33","v1.4.33","v1.4.35","v1.4.35.2","v1.5","v1.5.1","v1.5.1"},MATCH(BD75,CHOOSE({1,2,3,4,5,6,7,8,9,10,11,12,13,14,15,16,17,18,19,20,21,22,23,24,25},E75,G75,I75,K75,M75,O75,Q75,S75,U75,W75,Y75,AA75,AC75,AE75,AG75,AI75,AK75,AM75,AO75,AQ75,AS75,AU75,AW75,AY75,BA75),0)))</x:f>
      </x:c>
      <x:c r="BF75" s="10" t="n">
        <x:f>IFERROR((AX75-BB75)/BB75,"")</x:f>
        <x:v>-1</x:v>
      </x:c>
      <x:c r="BG75" s="10" t="n">
        <x:f>IFERROR((AY75-BD75)/BD75,"")</x:f>
        <x:v>0.724183398261912</x:v>
      </x:c>
    </x:row>
    <x:row r="76">
      <x:c r="A76" t="str">
        <x:v>Care Plan Due</x:v>
      </x:c>
      <x:c r="B76" t="str">
        <x:v>Create / Refresh All Templates</x:v>
      </x:c>
      <x:c r="C76" t="str">
        <x:v>Full template build required: Template - Care Plan Due</x:v>
      </x:c>
      <x:c r="D76" s="8" t="n">
        <x:v>0</x:v>
      </x:c>
      <x:c r="E76" s="8" t="n">
        <x:v>41.495</x:v>
      </x:c>
      <x:c r="F76" s="8"/>
      <x:c r="G76" s="8"/>
      <x:c r="H76" s="8" t="n">
        <x:v>0</x:v>
      </x:c>
      <x:c r="I76" s="8" t="n">
        <x:v>58.309</x:v>
      </x:c>
      <x:c r="J76" s="8"/>
      <x:c r="K76" s="8"/>
      <x:c r="L76" s="8"/>
      <x:c r="M76" s="8"/>
      <x:c r="N76" s="8" t="n">
        <x:v>0</x:v>
      </x:c>
      <x:c r="O76" s="8" t="n">
        <x:v>53.747</x:v>
      </x:c>
      <x:c r="P76" s="8"/>
      <x:c r="Q76" s="8"/>
      <x:c r="R76" s="8" t="n">
        <x:v>0</x:v>
      </x:c>
      <x:c r="S76" s="8" t="n">
        <x:v>33.37</x:v>
      </x:c>
      <x:c r="T76" s="8"/>
      <x:c r="U76" s="8"/>
      <x:c r="V76" s="8" t="n">
        <x:v>0</x:v>
      </x:c>
      <x:c r="W76" s="8" t="n">
        <x:v>46.229</x:v>
      </x:c>
      <x:c r="X76" s="8"/>
      <x:c r="Y76" s="8"/>
      <x:c r="Z76" s="8" t="n">
        <x:v>0</x:v>
      </x:c>
      <x:c r="AA76" s="8" t="n">
        <x:v>61.323</x:v>
      </x:c>
      <x:c r="AB76" s="8"/>
      <x:c r="AC76" s="8"/>
      <x:c r="AD76" s="8" t="n">
        <x:v>0</x:v>
      </x:c>
      <x:c r="AE76" s="8" t="n">
        <x:v>60.867</x:v>
      </x:c>
      <x:c r="AF76" s="8" t="n">
        <x:v>0</x:v>
      </x:c>
      <x:c r="AG76" s="8" t="n">
        <x:v>65.454</x:v>
      </x:c>
      <x:c r="AH76" s="8"/>
      <x:c r="AI76" s="8"/>
      <x:c r="AJ76" s="8" t="n">
        <x:v>0</x:v>
      </x:c>
      <x:c r="AK76" s="8" t="n">
        <x:v>37.662</x:v>
      </x:c>
      <x:c r="AL76" s="8" t="n">
        <x:v>0</x:v>
      </x:c>
      <x:c r="AM76" s="8" t="n">
        <x:v>37.662</x:v>
      </x:c>
      <x:c r="AN76" s="8" t="n">
        <x:v>0</x:v>
      </x:c>
      <x:c r="AO76" s="8" t="n">
        <x:v>50.648</x:v>
      </x:c>
      <x:c r="AP76" s="8"/>
      <x:c r="AQ76" s="8"/>
      <x:c r="AR76" s="8" t="n">
        <x:v>0</x:v>
      </x:c>
      <x:c r="AS76" s="8" t="n">
        <x:v>67.157</x:v>
      </x:c>
      <x:c r="AT76" s="8" t="n">
        <x:v>0</x:v>
      </x:c>
      <x:c r="AU76" s="8" t="n">
        <x:v>48.11</x:v>
      </x:c>
      <x:c r="AV76" s="8" t="n">
        <x:v>0</x:v>
      </x:c>
      <x:c r="AW76" s="8" t="n">
        <x:v>53.801</x:v>
      </x:c>
      <x:c r="AX76" s="8" t="n">
        <x:v>0</x:v>
      </x:c>
      <x:c r="AY76" s="8" t="n">
        <x:v>57.536</x:v>
      </x:c>
      <x:c r="AZ76" s="8"/>
      <x:c r="BA76" s="8"/>
      <x:c r="BB76" s="8" t="str">
        <x:f>LET(m,MIN(IF(D76&gt;0,D76,1E+99),IF(F76&gt;0,F76,1E+99),IF(H76&gt;0,H76,1E+99),IF(J76&gt;0,J76,1E+99),IF(L76&gt;0,L76,1E+99),IF(N76&gt;0,N76,1E+99),IF(P76&gt;0,P76,1E+99),IF(R76&gt;0,R76,1E+99),IF(T76&gt;0,T76,1E+99),IF(V76&gt;0,V76,1E+99),IF(X76&gt;0,X76,1E+99),IF(Z76&gt;0,Z76,1E+99),IF(AB76&gt;0,AB76,1E+99),IF(AD76&gt;0,AD76,1E+99),IF(AF76&gt;0,AF76,1E+99),IF(AH76&gt;0,AH76,1E+99),IF(AJ76&gt;0,AJ76,1E+99),IF(AL76&gt;0,AL76,1E+99),IF(AN76&gt;0,AN76,1E+99),IF(AP76&gt;0,AP76,1E+99),IF(AR76&gt;0,AR76,1E+99),IF(AT76&gt;0,AT76,1E+99),IF(AV76&gt;0,AV76,1E+99),IF(AX76&gt;0,AX76,1E+99),IF(AZ76&gt;0,AZ76,1E+99)),IF(m=1E+99,"",m))</x:f>
      </x:c>
      <x:c r="BC76" s="12" t="str">
        <x:f>IF(BB76="","",INDEX({"v1.4.20","v1.4.20","v1.4.21","v1.4.21","v1.4.23","v1.4.23","v1.4.26","v1.4.26","v1.4.26.1","v1.4.26.1","v1.4.27","v1.4.27","v1.4.29","v1.4.29","v1.4.30","v1.4.30","v1.4.31","v1.4.31","v1.4.33","v1.4.33","v1.4.35","v1.4.35.2","v1.5","v1.5.1","v1.5.1"},MATCH(BB76,CHOOSE({1,2,3,4,5,6,7,8,9,10,11,12,13,14,15,16,17,18,19,20,21,22,23,24,25},D76,F76,H76,J76,L76,N76,P76,R76,T76,V76,X76,Z76,AB76,AD76,AF76,AH76,AJ76,AL76,AN76,AP76,AR76,AT76,AV76,AX76,AZ76),0)))</x:f>
      </x:c>
      <x:c r="BD76" s="14" t="n">
        <x:f>LET(m,MIN(IF(E76&gt;0,E76,1E+99),IF(G76&gt;0,G76,1E+99),IF(I76&gt;0,I76,1E+99),IF(K76&gt;0,K76,1E+99),IF(M76&gt;0,M76,1E+99),IF(O76&gt;0,O76,1E+99),IF(Q76&gt;0,Q76,1E+99),IF(S76&gt;0,S76,1E+99),IF(U76&gt;0,U76,1E+99),IF(W76&gt;0,W76,1E+99),IF(Y76&gt;0,Y76,1E+99),IF(AA76&gt;0,AA76,1E+99),IF(AC76&gt;0,AC76,1E+99),IF(AE76&gt;0,AE76,1E+99),IF(AG76&gt;0,AG76,1E+99),IF(AI76&gt;0,AI76,1E+99),IF(AK76&gt;0,AK76,1E+99),IF(AM76&gt;0,AM76,1E+99),IF(AO76&gt;0,AO76,1E+99),IF(AQ76&gt;0,AQ76,1E+99),IF(AS76&gt;0,AS76,1E+99),IF(AU76&gt;0,AU76,1E+99),IF(AW76&gt;0,AW76,1E+99),IF(AY76&gt;0,AY76,1E+99),IF(BA76&gt;0,BA76,1E+99)),IF(m=1E+99,"",m))</x:f>
        <x:v>33.37</x:v>
      </x:c>
      <x:c r="BE76" s="16" t="e">
        <x:f>IF(BD76="","",INDEX({"v1.4.20","v1.4.20","v1.4.21","v1.4.21","v1.4.23","v1.4.23","v1.4.26","v1.4.26","v1.4.26.1","v1.4.26.1","v1.4.27","v1.4.27","v1.4.29","v1.4.29","v1.4.30","v1.4.30","v1.4.31","v1.4.31","v1.4.33","v1.4.33","v1.4.35","v1.4.35.2","v1.5","v1.5.1","v1.5.1"},MATCH(BD76,CHOOSE({1,2,3,4,5,6,7,8,9,10,11,12,13,14,15,16,17,18,19,20,21,22,23,24,25},E76,G76,I76,K76,M76,O76,Q76,S76,U76,W76,Y76,AA76,AC76,AE76,AG76,AI76,AK76,AM76,AO76,AQ76,AS76,AU76,AW76,AY76,BA76),0)))</x:f>
      </x:c>
      <x:c r="BF76" s="10" t="str">
        <x:f>IFERROR((AX76-BB76)/BB76,"")</x:f>
      </x:c>
      <x:c r="BG76" s="10" t="n">
        <x:f>IFERROR((AY76-BD76)/BD76,"")</x:f>
        <x:v>0.724183398261912</x:v>
      </x:c>
    </x:row>
    <x:row r="77">
      <x:c r="A77" t="str">
        <x:v>Care Plan Due</x:v>
      </x:c>
      <x:c r="B77" t="str">
        <x:v>Create / Refresh All Templates</x:v>
      </x:c>
      <x:c r="C77" t="str">
        <x:v>Create template fast path - clear skipped for blank sheet: Template - Care Plan Due</x:v>
      </x:c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 t="n">
        <x:v>0</x:v>
      </x:c>
      <x:c r="W77" s="8" t="n">
        <x:v>46.229</x:v>
      </x:c>
      <x:c r="X77" s="8"/>
      <x:c r="Y77" s="8"/>
      <x:c r="Z77" s="8"/>
      <x:c r="AA77" s="8"/>
      <x:c r="AB77" s="8"/>
      <x:c r="AC77" s="8"/>
      <x:c r="AD77" s="8" t="n">
        <x:v>0</x:v>
      </x:c>
      <x:c r="AE77" s="8" t="n">
        <x:v>60.867</x:v>
      </x:c>
      <x:c r="AF77" s="8" t="n">
        <x:v>0</x:v>
      </x:c>
      <x:c r="AG77" s="8" t="n">
        <x:v>65.454</x:v>
      </x:c>
      <x:c r="AH77" s="8"/>
      <x:c r="AI77" s="8"/>
      <x:c r="AJ77" s="8" t="n">
        <x:v>0</x:v>
      </x:c>
      <x:c r="AK77" s="8" t="n">
        <x:v>37.662</x:v>
      </x:c>
      <x:c r="AL77" s="8" t="n">
        <x:v>0</x:v>
      </x:c>
      <x:c r="AM77" s="8" t="n">
        <x:v>37.662</x:v>
      </x:c>
      <x:c r="AN77" s="8" t="n">
        <x:v>0</x:v>
      </x:c>
      <x:c r="AO77" s="8" t="n">
        <x:v>50.648</x:v>
      </x:c>
      <x:c r="AP77" s="8"/>
      <x:c r="AQ77" s="8"/>
      <x:c r="AR77" s="8"/>
      <x:c r="AS77" s="8"/>
      <x:c r="AT77" s="8"/>
      <x:c r="AU77" s="8"/>
      <x:c r="AV77" s="8" t="n">
        <x:v>8.409</x:v>
      </x:c>
      <x:c r="AW77" s="8" t="n">
        <x:v>62.21</x:v>
      </x:c>
      <x:c r="AX77" s="8" t="n">
        <x:v>9.711</x:v>
      </x:c>
      <x:c r="AY77" s="8" t="n">
        <x:v>67.247</x:v>
      </x:c>
      <x:c r="AZ77" s="8"/>
      <x:c r="BA77" s="8"/>
      <x:c r="BB77" s="8" t="n">
        <x:f>LET(m,MIN(IF(D77&gt;0,D77,1E+99),IF(F77&gt;0,F77,1E+99),IF(H77&gt;0,H77,1E+99),IF(J77&gt;0,J77,1E+99),IF(L77&gt;0,L77,1E+99),IF(N77&gt;0,N77,1E+99),IF(P77&gt;0,P77,1E+99),IF(R77&gt;0,R77,1E+99),IF(T77&gt;0,T77,1E+99),IF(V77&gt;0,V77,1E+99),IF(X77&gt;0,X77,1E+99),IF(Z77&gt;0,Z77,1E+99),IF(AB77&gt;0,AB77,1E+99),IF(AD77&gt;0,AD77,1E+99),IF(AF77&gt;0,AF77,1E+99),IF(AH77&gt;0,AH77,1E+99),IF(AJ77&gt;0,AJ77,1E+99),IF(AL77&gt;0,AL77,1E+99),IF(AN77&gt;0,AN77,1E+99),IF(AP77&gt;0,AP77,1E+99),IF(AR77&gt;0,AR77,1E+99),IF(AT77&gt;0,AT77,1E+99),IF(AV77&gt;0,AV77,1E+99),IF(AX77&gt;0,AX77,1E+99),IF(AZ77&gt;0,AZ77,1E+99)),IF(m=1E+99,"",m))</x:f>
        <x:v>8.409</x:v>
      </x:c>
      <x:c r="BC77" s="12" t="e">
        <x:f>IF(BB77="","",INDEX({"v1.4.20","v1.4.20","v1.4.21","v1.4.21","v1.4.23","v1.4.23","v1.4.26","v1.4.26","v1.4.26.1","v1.4.26.1","v1.4.27","v1.4.27","v1.4.29","v1.4.29","v1.4.30","v1.4.30","v1.4.31","v1.4.31","v1.4.33","v1.4.33","v1.4.35","v1.4.35.2","v1.5","v1.5.1","v1.5.1"},MATCH(BB77,CHOOSE({1,2,3,4,5,6,7,8,9,10,11,12,13,14,15,16,17,18,19,20,21,22,23,24,25},D77,F77,H77,J77,L77,N77,P77,R77,T77,V77,X77,Z77,AB77,AD77,AF77,AH77,AJ77,AL77,AN77,AP77,AR77,AT77,AV77,AX77,AZ77),0)))</x:f>
      </x:c>
      <x:c r="BD77" s="14" t="n">
        <x:f>LET(m,MIN(IF(E77&gt;0,E77,1E+99),IF(G77&gt;0,G77,1E+99),IF(I77&gt;0,I77,1E+99),IF(K77&gt;0,K77,1E+99),IF(M77&gt;0,M77,1E+99),IF(O77&gt;0,O77,1E+99),IF(Q77&gt;0,Q77,1E+99),IF(S77&gt;0,S77,1E+99),IF(U77&gt;0,U77,1E+99),IF(W77&gt;0,W77,1E+99),IF(Y77&gt;0,Y77,1E+99),IF(AA77&gt;0,AA77,1E+99),IF(AC77&gt;0,AC77,1E+99),IF(AE77&gt;0,AE77,1E+99),IF(AG77&gt;0,AG77,1E+99),IF(AI77&gt;0,AI77,1E+99),IF(AK77&gt;0,AK77,1E+99),IF(AM77&gt;0,AM77,1E+99),IF(AO77&gt;0,AO77,1E+99),IF(AQ77&gt;0,AQ77,1E+99),IF(AS77&gt;0,AS77,1E+99),IF(AU77&gt;0,AU77,1E+99),IF(AW77&gt;0,AW77,1E+99),IF(AY77&gt;0,AY77,1E+99),IF(BA77&gt;0,BA77,1E+99)),IF(m=1E+99,"",m))</x:f>
        <x:v>37.662</x:v>
      </x:c>
      <x:c r="BE77" s="16" t="e">
        <x:f>IF(BD77="","",INDEX({"v1.4.20","v1.4.20","v1.4.21","v1.4.21","v1.4.23","v1.4.23","v1.4.26","v1.4.26","v1.4.26.1","v1.4.26.1","v1.4.27","v1.4.27","v1.4.29","v1.4.29","v1.4.30","v1.4.30","v1.4.31","v1.4.31","v1.4.33","v1.4.33","v1.4.35","v1.4.35.2","v1.5","v1.5.1","v1.5.1"},MATCH(BD77,CHOOSE({1,2,3,4,5,6,7,8,9,10,11,12,13,14,15,16,17,18,19,20,21,22,23,24,25},E77,G77,I77,K77,M77,O77,Q77,S77,U77,W77,Y77,AA77,AC77,AE77,AG77,AI77,AK77,AM77,AO77,AQ77,AS77,AU77,AW77,AY77,BA77),0)))</x:f>
      </x:c>
      <x:c r="BF77" s="10" t="n">
        <x:f>IFERROR((AX77-BB77)/BB77,"")</x:f>
        <x:v>0.1548341063146628</x:v>
      </x:c>
      <x:c r="BG77" s="10" t="n">
        <x:f>IFERROR((AY77-BD77)/BD77,"")</x:f>
        <x:v>0.7855398013913228</x:v>
      </x:c>
    </x:row>
    <x:row r="78">
      <x:c r="A78" t="str">
        <x:v>Care Plan Due</x:v>
      </x:c>
      <x:c r="B78" t="str">
        <x:v>Create / Refresh All Templates</x:v>
      </x:c>
      <x:c r="C78" t="str">
        <x:v>Resize sheet: Template - Care Plan Due (500 rows x 5 cols)</x:v>
      </x:c>
      <x:c r="D78" s="8" t="n">
        <x:v>1.134</x:v>
      </x:c>
      <x:c r="E78" s="8" t="n">
        <x:v>47.917</x:v>
      </x:c>
      <x:c r="F78" s="8"/>
      <x:c r="G78" s="8"/>
      <x:c r="H78" s="8" t="n">
        <x:v>0.739</x:v>
      </x:c>
      <x:c r="I78" s="8" t="n">
        <x:v>68.46</x:v>
      </x:c>
      <x:c r="J78" s="8"/>
      <x:c r="K78" s="8"/>
      <x:c r="L78" s="8"/>
      <x:c r="M78" s="8"/>
      <x:c r="N78" s="8" t="n">
        <x:v>8.359</x:v>
      </x:c>
      <x:c r="O78" s="8" t="n">
        <x:v>62.106</x:v>
      </x:c>
      <x:c r="P78" s="8" t="n">
        <x:v>0.836</x:v>
      </x:c>
      <x:c r="Q78" s="8" t="n">
        <x:v>39.798</x:v>
      </x:c>
      <x:c r="R78" s="8" t="n">
        <x:v>0.836</x:v>
      </x:c>
      <x:c r="S78" s="8" t="n">
        <x:v>39.798</x:v>
      </x:c>
      <x:c r="T78" s="8"/>
      <x:c r="U78" s="8"/>
      <x:c r="V78" s="8"/>
      <x:c r="W78" s="8"/>
      <x:c r="X78" s="8"/>
      <x:c r="Y78" s="8"/>
      <x:c r="Z78" s="8" t="n">
        <x:v>2.454</x:v>
      </x:c>
      <x:c r="AA78" s="8" t="n">
        <x:v>75.841</x:v>
      </x:c>
      <x:c r="AB78" s="8"/>
      <x:c r="AC78" s="8"/>
      <x:c r="AD78" s="8" t="n">
        <x:v>11.486</x:v>
      </x:c>
      <x:c r="AE78" s="8" t="n">
        <x:v>72.353</x:v>
      </x:c>
      <x:c r="AF78" s="8"/>
      <x:c r="AG78" s="8"/>
      <x:c r="AH78" s="8"/>
      <x:c r="AI78" s="8"/>
      <x:c r="AJ78" s="8"/>
      <x:c r="AK78" s="8"/>
      <x:c r="AL78" s="8"/>
      <x:c r="AM78" s="8"/>
      <x:c r="AN78" s="8"/>
      <x:c r="AO78" s="8"/>
      <x:c r="AP78" s="8"/>
      <x:c r="AQ78" s="8"/>
      <x:c r="AR78" s="8" t="n">
        <x:v>1.594</x:v>
      </x:c>
      <x:c r="AS78" s="8" t="n">
        <x:v>78.986</x:v>
      </x:c>
      <x:c r="AT78" s="8" t="n">
        <x:v>1.023</x:v>
      </x:c>
      <x:c r="AU78" s="8" t="n">
        <x:v>56.997</x:v>
      </x:c>
      <x:c r="AV78" s="8" t="n">
        <x:v>0.801</x:v>
      </x:c>
      <x:c r="AW78" s="8" t="n">
        <x:v>63.011</x:v>
      </x:c>
      <x:c r="AX78" s="8" t="n">
        <x:v>0.832</x:v>
      </x:c>
      <x:c r="AY78" s="8" t="n">
        <x:v>68.079</x:v>
      </x:c>
      <x:c r="AZ78" s="8"/>
      <x:c r="BA78" s="8"/>
      <x:c r="BB78" s="8" t="n">
        <x:f>LET(m,MIN(IF(D78&gt;0,D78,1E+99),IF(F78&gt;0,F78,1E+99),IF(H78&gt;0,H78,1E+99),IF(J78&gt;0,J78,1E+99),IF(L78&gt;0,L78,1E+99),IF(N78&gt;0,N78,1E+99),IF(P78&gt;0,P78,1E+99),IF(R78&gt;0,R78,1E+99),IF(T78&gt;0,T78,1E+99),IF(V78&gt;0,V78,1E+99),IF(X78&gt;0,X78,1E+99),IF(Z78&gt;0,Z78,1E+99),IF(AB78&gt;0,AB78,1E+99),IF(AD78&gt;0,AD78,1E+99),IF(AF78&gt;0,AF78,1E+99),IF(AH78&gt;0,AH78,1E+99),IF(AJ78&gt;0,AJ78,1E+99),IF(AL78&gt;0,AL78,1E+99),IF(AN78&gt;0,AN78,1E+99),IF(AP78&gt;0,AP78,1E+99),IF(AR78&gt;0,AR78,1E+99),IF(AT78&gt;0,AT78,1E+99),IF(AV78&gt;0,AV78,1E+99),IF(AX78&gt;0,AX78,1E+99),IF(AZ78&gt;0,AZ78,1E+99)),IF(m=1E+99,"",m))</x:f>
        <x:v>0.739</x:v>
      </x:c>
      <x:c r="BC78" s="12" t="e">
        <x:f>IF(BB78="","",INDEX({"v1.4.20","v1.4.20","v1.4.21","v1.4.21","v1.4.23","v1.4.23","v1.4.26","v1.4.26","v1.4.26.1","v1.4.26.1","v1.4.27","v1.4.27","v1.4.29","v1.4.29","v1.4.30","v1.4.30","v1.4.31","v1.4.31","v1.4.33","v1.4.33","v1.4.35","v1.4.35.2","v1.5","v1.5.1","v1.5.1"},MATCH(BB78,CHOOSE({1,2,3,4,5,6,7,8,9,10,11,12,13,14,15,16,17,18,19,20,21,22,23,24,25},D78,F78,H78,J78,L78,N78,P78,R78,T78,V78,X78,Z78,AB78,AD78,AF78,AH78,AJ78,AL78,AN78,AP78,AR78,AT78,AV78,AX78,AZ78),0)))</x:f>
      </x:c>
      <x:c r="BD78" s="14" t="n">
        <x:f>LET(m,MIN(IF(E78&gt;0,E78,1E+99),IF(G78&gt;0,G78,1E+99),IF(I78&gt;0,I78,1E+99),IF(K78&gt;0,K78,1E+99),IF(M78&gt;0,M78,1E+99),IF(O78&gt;0,O78,1E+99),IF(Q78&gt;0,Q78,1E+99),IF(S78&gt;0,S78,1E+99),IF(U78&gt;0,U78,1E+99),IF(W78&gt;0,W78,1E+99),IF(Y78&gt;0,Y78,1E+99),IF(AA78&gt;0,AA78,1E+99),IF(AC78&gt;0,AC78,1E+99),IF(AE78&gt;0,AE78,1E+99),IF(AG78&gt;0,AG78,1E+99),IF(AI78&gt;0,AI78,1E+99),IF(AK78&gt;0,AK78,1E+99),IF(AM78&gt;0,AM78,1E+99),IF(AO78&gt;0,AO78,1E+99),IF(AQ78&gt;0,AQ78,1E+99),IF(AS78&gt;0,AS78,1E+99),IF(AU78&gt;0,AU78,1E+99),IF(AW78&gt;0,AW78,1E+99),IF(AY78&gt;0,AY78,1E+99),IF(BA78&gt;0,BA78,1E+99)),IF(m=1E+99,"",m))</x:f>
        <x:v>39.798</x:v>
      </x:c>
      <x:c r="BE78" s="16" t="e">
        <x:f>IF(BD78="","",INDEX({"v1.4.20","v1.4.20","v1.4.21","v1.4.21","v1.4.23","v1.4.23","v1.4.26","v1.4.26","v1.4.26.1","v1.4.26.1","v1.4.27","v1.4.27","v1.4.29","v1.4.29","v1.4.30","v1.4.30","v1.4.31","v1.4.31","v1.4.33","v1.4.33","v1.4.35","v1.4.35.2","v1.5","v1.5.1","v1.5.1"},MATCH(BD78,CHOOSE({1,2,3,4,5,6,7,8,9,10,11,12,13,14,15,16,17,18,19,20,21,22,23,24,25},E78,G78,I78,K78,M78,O78,Q78,S78,U78,W78,Y78,AA78,AC78,AE78,AG78,AI78,AK78,AM78,AO78,AQ78,AS78,AU78,AW78,AY78,BA78),0)))</x:f>
      </x:c>
      <x:c r="BF78" s="10" t="n">
        <x:f>IFERROR((AX78-BB78)/BB78,"")</x:f>
        <x:v>0.12584573748308522</x:v>
      </x:c>
      <x:c r="BG78" s="10" t="n">
        <x:f>IFERROR((AY78-BD78)/BD78,"")</x:f>
        <x:v>0.7106135986732999</x:v>
      </x:c>
    </x:row>
    <x:row r="79">
      <x:c r="A79" t="str">
        <x:v>Care Plan Due</x:v>
      </x:c>
      <x:c r="B79" t="str">
        <x:v>Create / Refresh All Templates</x:v>
      </x:c>
      <x:c r="C79" t="str">
        <x:v>Apply title rows: Template - Care Plan Due</x:v>
      </x:c>
      <x:c r="D79" s="8" t="n">
        <x:v>0.68</x:v>
      </x:c>
      <x:c r="E79" s="8" t="n">
        <x:v>48.597</x:v>
      </x:c>
      <x:c r="F79" s="8"/>
      <x:c r="G79" s="8"/>
      <x:c r="H79" s="8" t="n">
        <x:v>0.567</x:v>
      </x:c>
      <x:c r="I79" s="8" t="n">
        <x:v>69.027</x:v>
      </x:c>
      <x:c r="J79" s="8"/>
      <x:c r="K79" s="8"/>
      <x:c r="L79" s="8"/>
      <x:c r="M79" s="8"/>
      <x:c r="N79" s="8" t="n">
        <x:v>0.583</x:v>
      </x:c>
      <x:c r="O79" s="8" t="n">
        <x:v>62.689</x:v>
      </x:c>
      <x:c r="P79" s="8" t="n">
        <x:v>0.385</x:v>
      </x:c>
      <x:c r="Q79" s="8" t="n">
        <x:v>40.183</x:v>
      </x:c>
      <x:c r="R79" s="8" t="n">
        <x:v>0.385</x:v>
      </x:c>
      <x:c r="S79" s="8" t="n">
        <x:v>40.183</x:v>
      </x:c>
      <x:c r="T79" s="8"/>
      <x:c r="U79" s="8"/>
      <x:c r="V79" s="8" t="n">
        <x:v>0.528</x:v>
      </x:c>
      <x:c r="W79" s="8" t="n">
        <x:v>54.18</x:v>
      </x:c>
      <x:c r="X79" s="8"/>
      <x:c r="Y79" s="8"/>
      <x:c r="Z79" s="8" t="n">
        <x:v>0.805</x:v>
      </x:c>
      <x:c r="AA79" s="8" t="n">
        <x:v>76.646</x:v>
      </x:c>
      <x:c r="AB79" s="8"/>
      <x:c r="AC79" s="8"/>
      <x:c r="AD79" s="8" t="n">
        <x:v>0.597</x:v>
      </x:c>
      <x:c r="AE79" s="8" t="n">
        <x:v>72.95</x:v>
      </x:c>
      <x:c r="AF79" s="8" t="n">
        <x:v>0.755</x:v>
      </x:c>
      <x:c r="AG79" s="8" t="n">
        <x:v>76.402</x:v>
      </x:c>
      <x:c r="AH79" s="8"/>
      <x:c r="AI79" s="8"/>
      <x:c r="AJ79" s="8" t="n">
        <x:v>0.833</x:v>
      </x:c>
      <x:c r="AK79" s="8" t="n">
        <x:v>50.428</x:v>
      </x:c>
      <x:c r="AL79" s="8" t="n">
        <x:v>0.833</x:v>
      </x:c>
      <x:c r="AM79" s="8" t="n">
        <x:v>50.428</x:v>
      </x:c>
      <x:c r="AN79" s="8" t="n">
        <x:v>0.432</x:v>
      </x:c>
      <x:c r="AO79" s="8" t="n">
        <x:v>57.007</x:v>
      </x:c>
      <x:c r="AP79" s="8"/>
      <x:c r="AQ79" s="8"/>
      <x:c r="AR79" s="8" t="n">
        <x:v>0.768</x:v>
      </x:c>
      <x:c r="AS79" s="8" t="n">
        <x:v>79.754</x:v>
      </x:c>
      <x:c r="AT79" s="8" t="n">
        <x:v>0.947</x:v>
      </x:c>
      <x:c r="AU79" s="8" t="n">
        <x:v>57.944</x:v>
      </x:c>
      <x:c r="AV79" s="8" t="n">
        <x:v>0.61</x:v>
      </x:c>
      <x:c r="AW79" s="8" t="n">
        <x:v>63.621</x:v>
      </x:c>
      <x:c r="AX79" s="8" t="n">
        <x:v>0.917</x:v>
      </x:c>
      <x:c r="AY79" s="8" t="n">
        <x:v>68.996</x:v>
      </x:c>
      <x:c r="AZ79" s="8"/>
      <x:c r="BA79" s="8"/>
      <x:c r="BB79" s="8" t="n">
        <x:f>LET(m,MIN(IF(D79&gt;0,D79,1E+99),IF(F79&gt;0,F79,1E+99),IF(H79&gt;0,H79,1E+99),IF(J79&gt;0,J79,1E+99),IF(L79&gt;0,L79,1E+99),IF(N79&gt;0,N79,1E+99),IF(P79&gt;0,P79,1E+99),IF(R79&gt;0,R79,1E+99),IF(T79&gt;0,T79,1E+99),IF(V79&gt;0,V79,1E+99),IF(X79&gt;0,X79,1E+99),IF(Z79&gt;0,Z79,1E+99),IF(AB79&gt;0,AB79,1E+99),IF(AD79&gt;0,AD79,1E+99),IF(AF79&gt;0,AF79,1E+99),IF(AH79&gt;0,AH79,1E+99),IF(AJ79&gt;0,AJ79,1E+99),IF(AL79&gt;0,AL79,1E+99),IF(AN79&gt;0,AN79,1E+99),IF(AP79&gt;0,AP79,1E+99),IF(AR79&gt;0,AR79,1E+99),IF(AT79&gt;0,AT79,1E+99),IF(AV79&gt;0,AV79,1E+99),IF(AX79&gt;0,AX79,1E+99),IF(AZ79&gt;0,AZ79,1E+99)),IF(m=1E+99,"",m))</x:f>
        <x:v>0.385</x:v>
      </x:c>
      <x:c r="BC79" s="12" t="e">
        <x:f>IF(BB79="","",INDEX({"v1.4.20","v1.4.20","v1.4.21","v1.4.21","v1.4.23","v1.4.23","v1.4.26","v1.4.26","v1.4.26.1","v1.4.26.1","v1.4.27","v1.4.27","v1.4.29","v1.4.29","v1.4.30","v1.4.30","v1.4.31","v1.4.31","v1.4.33","v1.4.33","v1.4.35","v1.4.35.2","v1.5","v1.5.1","v1.5.1"},MATCH(BB79,CHOOSE({1,2,3,4,5,6,7,8,9,10,11,12,13,14,15,16,17,18,19,20,21,22,23,24,25},D79,F79,H79,J79,L79,N79,P79,R79,T79,V79,X79,Z79,AB79,AD79,AF79,AH79,AJ79,AL79,AN79,AP79,AR79,AT79,AV79,AX79,AZ79),0)))</x:f>
      </x:c>
      <x:c r="BD79" s="14" t="n">
        <x:f>LET(m,MIN(IF(E79&gt;0,E79,1E+99),IF(G79&gt;0,G79,1E+99),IF(I79&gt;0,I79,1E+99),IF(K79&gt;0,K79,1E+99),IF(M79&gt;0,M79,1E+99),IF(O79&gt;0,O79,1E+99),IF(Q79&gt;0,Q79,1E+99),IF(S79&gt;0,S79,1E+99),IF(U79&gt;0,U79,1E+99),IF(W79&gt;0,W79,1E+99),IF(Y79&gt;0,Y79,1E+99),IF(AA79&gt;0,AA79,1E+99),IF(AC79&gt;0,AC79,1E+99),IF(AE79&gt;0,AE79,1E+99),IF(AG79&gt;0,AG79,1E+99),IF(AI79&gt;0,AI79,1E+99),IF(AK79&gt;0,AK79,1E+99),IF(AM79&gt;0,AM79,1E+99),IF(AO79&gt;0,AO79,1E+99),IF(AQ79&gt;0,AQ79,1E+99),IF(AS79&gt;0,AS79,1E+99),IF(AU79&gt;0,AU79,1E+99),IF(AW79&gt;0,AW79,1E+99),IF(AY79&gt;0,AY79,1E+99),IF(BA79&gt;0,BA79,1E+99)),IF(m=1E+99,"",m))</x:f>
        <x:v>40.183</x:v>
      </x:c>
      <x:c r="BE79" s="16" t="e">
        <x:f>IF(BD79="","",INDEX({"v1.4.20","v1.4.20","v1.4.21","v1.4.21","v1.4.23","v1.4.23","v1.4.26","v1.4.26","v1.4.26.1","v1.4.26.1","v1.4.27","v1.4.27","v1.4.29","v1.4.29","v1.4.30","v1.4.30","v1.4.31","v1.4.31","v1.4.33","v1.4.33","v1.4.35","v1.4.35.2","v1.5","v1.5.1","v1.5.1"},MATCH(BD79,CHOOSE({1,2,3,4,5,6,7,8,9,10,11,12,13,14,15,16,17,18,19,20,21,22,23,24,25},E79,G79,I79,K79,M79,O79,Q79,S79,U79,W79,Y79,AA79,AC79,AE79,AG79,AI79,AK79,AM79,AO79,AQ79,AS79,AU79,AW79,AY79,BA79),0)))</x:f>
      </x:c>
      <x:c r="BF79" s="10" t="n">
        <x:f>IFERROR((AX79-BB79)/BB79,"")</x:f>
        <x:v>1.3818181818181818</x:v>
      </x:c>
      <x:c r="BG79" s="10" t="n">
        <x:f>IFERROR((AY79-BD79)/BD79,"")</x:f>
        <x:v>0.7170445213149839</x:v>
      </x:c>
    </x:row>
    <x:row r="80">
      <x:c r="A80" t="str">
        <x:v>Care Plan Due</x:v>
      </x:c>
      <x:c r="B80" t="str">
        <x:v>Create / Refresh All Templates</x:v>
      </x:c>
      <x:c r="C80" t="str">
        <x:v>Apply header row: Template - Care Plan Due</x:v>
      </x:c>
      <x:c r="D80" s="8" t="n">
        <x:v>0.023</x:v>
      </x:c>
      <x:c r="E80" s="8" t="n">
        <x:v>48.62</x:v>
      </x:c>
      <x:c r="F80" s="8"/>
      <x:c r="G80" s="8"/>
      <x:c r="H80" s="8" t="n">
        <x:v>0.062</x:v>
      </x:c>
      <x:c r="I80" s="8" t="n">
        <x:v>69.089</x:v>
      </x:c>
      <x:c r="J80" s="8"/>
      <x:c r="K80" s="8"/>
      <x:c r="L80" s="8"/>
      <x:c r="M80" s="8"/>
      <x:c r="N80" s="8" t="n">
        <x:v>0.04</x:v>
      </x:c>
      <x:c r="O80" s="8" t="n">
        <x:v>62.729</x:v>
      </x:c>
      <x:c r="P80" s="8" t="n">
        <x:v>0.027</x:v>
      </x:c>
      <x:c r="Q80" s="8" t="n">
        <x:v>40.21</x:v>
      </x:c>
      <x:c r="R80" s="8" t="n">
        <x:v>0.027</x:v>
      </x:c>
      <x:c r="S80" s="8" t="n">
        <x:v>40.21</x:v>
      </x:c>
      <x:c r="T80" s="8"/>
      <x:c r="U80" s="8"/>
      <x:c r="V80" s="8" t="n">
        <x:v>0.108</x:v>
      </x:c>
      <x:c r="W80" s="8" t="n">
        <x:v>54.288</x:v>
      </x:c>
      <x:c r="X80" s="8"/>
      <x:c r="Y80" s="8"/>
      <x:c r="Z80" s="8" t="n">
        <x:v>0.043</x:v>
      </x:c>
      <x:c r="AA80" s="8" t="n">
        <x:v>76.689</x:v>
      </x:c>
      <x:c r="AB80" s="8"/>
      <x:c r="AC80" s="8"/>
      <x:c r="AD80" s="8" t="n">
        <x:v>0.028</x:v>
      </x:c>
      <x:c r="AE80" s="8" t="n">
        <x:v>72.978</x:v>
      </x:c>
      <x:c r="AF80" s="8" t="n">
        <x:v>0.072</x:v>
      </x:c>
      <x:c r="AG80" s="8" t="n">
        <x:v>76.474</x:v>
      </x:c>
      <x:c r="AH80" s="8"/>
      <x:c r="AI80" s="8"/>
      <x:c r="AJ80" s="8" t="n">
        <x:v>0.044</x:v>
      </x:c>
      <x:c r="AK80" s="8" t="n">
        <x:v>50.472</x:v>
      </x:c>
      <x:c r="AL80" s="8" t="n">
        <x:v>0.044</x:v>
      </x:c>
      <x:c r="AM80" s="8" t="n">
        <x:v>50.472</x:v>
      </x:c>
      <x:c r="AN80" s="8" t="n">
        <x:v>0.02</x:v>
      </x:c>
      <x:c r="AO80" s="8" t="n">
        <x:v>57.027</x:v>
      </x:c>
      <x:c r="AP80" s="8"/>
      <x:c r="AQ80" s="8"/>
      <x:c r="AR80" s="8" t="n">
        <x:v>0.101</x:v>
      </x:c>
      <x:c r="AS80" s="8" t="n">
        <x:v>79.855</x:v>
      </x:c>
      <x:c r="AT80" s="8" t="n">
        <x:v>0.039</x:v>
      </x:c>
      <x:c r="AU80" s="8" t="n">
        <x:v>57.983</x:v>
      </x:c>
      <x:c r="AV80" s="8" t="n">
        <x:v>0.023</x:v>
      </x:c>
      <x:c r="AW80" s="8" t="n">
        <x:v>63.644</x:v>
      </x:c>
      <x:c r="AX80" s="8" t="n">
        <x:v>0.036</x:v>
      </x:c>
      <x:c r="AY80" s="8" t="n">
        <x:v>69.032</x:v>
      </x:c>
      <x:c r="AZ80" s="8"/>
      <x:c r="BA80" s="8"/>
      <x:c r="BB80" s="8" t="n">
        <x:f>LET(m,MIN(IF(D80&gt;0,D80,1E+99),IF(F80&gt;0,F80,1E+99),IF(H80&gt;0,H80,1E+99),IF(J80&gt;0,J80,1E+99),IF(L80&gt;0,L80,1E+99),IF(N80&gt;0,N80,1E+99),IF(P80&gt;0,P80,1E+99),IF(R80&gt;0,R80,1E+99),IF(T80&gt;0,T80,1E+99),IF(V80&gt;0,V80,1E+99),IF(X80&gt;0,X80,1E+99),IF(Z80&gt;0,Z80,1E+99),IF(AB80&gt;0,AB80,1E+99),IF(AD80&gt;0,AD80,1E+99),IF(AF80&gt;0,AF80,1E+99),IF(AH80&gt;0,AH80,1E+99),IF(AJ80&gt;0,AJ80,1E+99),IF(AL80&gt;0,AL80,1E+99),IF(AN80&gt;0,AN80,1E+99),IF(AP80&gt;0,AP80,1E+99),IF(AR80&gt;0,AR80,1E+99),IF(AT80&gt;0,AT80,1E+99),IF(AV80&gt;0,AV80,1E+99),IF(AX80&gt;0,AX80,1E+99),IF(AZ80&gt;0,AZ80,1E+99)),IF(m=1E+99,"",m))</x:f>
        <x:v>0.02</x:v>
      </x:c>
      <x:c r="BC80" s="12" t="e">
        <x:f>IF(BB80="","",INDEX({"v1.4.20","v1.4.20","v1.4.21","v1.4.21","v1.4.23","v1.4.23","v1.4.26","v1.4.26","v1.4.26.1","v1.4.26.1","v1.4.27","v1.4.27","v1.4.29","v1.4.29","v1.4.30","v1.4.30","v1.4.31","v1.4.31","v1.4.33","v1.4.33","v1.4.35","v1.4.35.2","v1.5","v1.5.1","v1.5.1"},MATCH(BB80,CHOOSE({1,2,3,4,5,6,7,8,9,10,11,12,13,14,15,16,17,18,19,20,21,22,23,24,25},D80,F80,H80,J80,L80,N80,P80,R80,T80,V80,X80,Z80,AB80,AD80,AF80,AH80,AJ80,AL80,AN80,AP80,AR80,AT80,AV80,AX80,AZ80),0)))</x:f>
      </x:c>
      <x:c r="BD80" s="14" t="n">
        <x:f>LET(m,MIN(IF(E80&gt;0,E80,1E+99),IF(G80&gt;0,G80,1E+99),IF(I80&gt;0,I80,1E+99),IF(K80&gt;0,K80,1E+99),IF(M80&gt;0,M80,1E+99),IF(O80&gt;0,O80,1E+99),IF(Q80&gt;0,Q80,1E+99),IF(S80&gt;0,S80,1E+99),IF(U80&gt;0,U80,1E+99),IF(W80&gt;0,W80,1E+99),IF(Y80&gt;0,Y80,1E+99),IF(AA80&gt;0,AA80,1E+99),IF(AC80&gt;0,AC80,1E+99),IF(AE80&gt;0,AE80,1E+99),IF(AG80&gt;0,AG80,1E+99),IF(AI80&gt;0,AI80,1E+99),IF(AK80&gt;0,AK80,1E+99),IF(AM80&gt;0,AM80,1E+99),IF(AO80&gt;0,AO80,1E+99),IF(AQ80&gt;0,AQ80,1E+99),IF(AS80&gt;0,AS80,1E+99),IF(AU80&gt;0,AU80,1E+99),IF(AW80&gt;0,AW80,1E+99),IF(AY80&gt;0,AY80,1E+99),IF(BA80&gt;0,BA80,1E+99)),IF(m=1E+99,"",m))</x:f>
        <x:v>40.21</x:v>
      </x:c>
      <x:c r="BE80" s="16" t="e">
        <x:f>IF(BD80="","",INDEX({"v1.4.20","v1.4.20","v1.4.21","v1.4.21","v1.4.23","v1.4.23","v1.4.26","v1.4.26","v1.4.26.1","v1.4.26.1","v1.4.27","v1.4.27","v1.4.29","v1.4.29","v1.4.30","v1.4.30","v1.4.31","v1.4.31","v1.4.33","v1.4.33","v1.4.35","v1.4.35.2","v1.5","v1.5.1","v1.5.1"},MATCH(BD80,CHOOSE({1,2,3,4,5,6,7,8,9,10,11,12,13,14,15,16,17,18,19,20,21,22,23,24,25},E80,G80,I80,K80,M80,O80,Q80,S80,U80,W80,Y80,AA80,AC80,AE80,AG80,AI80,AK80,AM80,AO80,AQ80,AS80,AU80,AW80,AY80,BA80),0)))</x:f>
      </x:c>
      <x:c r="BF80" s="10" t="n">
        <x:f>IFERROR((AX80-BB80)/BB80,"")</x:f>
        <x:v>0.7999999999999998</x:v>
      </x:c>
      <x:c r="BG80" s="10" t="n">
        <x:f>IFERROR((AY80-BD80)/BD80,"")</x:f>
        <x:v>0.716786868938075</x:v>
      </x:c>
    </x:row>
    <x:row r="81">
      <x:c r="A81" t="str">
        <x:v>Care Plan Due</x:v>
      </x:c>
      <x:c r="B81" t="str">
        <x:v>Create / Refresh All Templates</x:v>
      </x:c>
      <x:c r="C81" t="str">
        <x:v>Apply alternating color rules: Template - Care Plan Due</x:v>
      </x:c>
      <x:c r="D81" s="8" t="n">
        <x:v>1.328</x:v>
      </x:c>
      <x:c r="E81" s="8" t="n">
        <x:v>49.948</x:v>
      </x:c>
      <x:c r="F81" s="8"/>
      <x:c r="G81" s="8"/>
      <x:c r="H81" s="8" t="n">
        <x:v>1.688</x:v>
      </x:c>
      <x:c r="I81" s="8" t="n">
        <x:v>70.777</x:v>
      </x:c>
      <x:c r="J81" s="8"/>
      <x:c r="K81" s="8"/>
      <x:c r="L81" s="8"/>
      <x:c r="M81" s="8"/>
      <x:c r="N81" s="8" t="n">
        <x:v>1.781</x:v>
      </x:c>
      <x:c r="O81" s="8" t="n">
        <x:v>64.51</x:v>
      </x:c>
      <x:c r="P81" s="8" t="n">
        <x:v>1.388</x:v>
      </x:c>
      <x:c r="Q81" s="8" t="n">
        <x:v>41.598</x:v>
      </x:c>
      <x:c r="R81" s="8" t="n">
        <x:v>1.388</x:v>
      </x:c>
      <x:c r="S81" s="8" t="n">
        <x:v>41.598</x:v>
      </x:c>
      <x:c r="T81" s="8"/>
      <x:c r="U81" s="8"/>
      <x:c r="V81" s="8" t="n">
        <x:v>1.876</x:v>
      </x:c>
      <x:c r="W81" s="8" t="n">
        <x:v>56.164</x:v>
      </x:c>
      <x:c r="X81" s="8"/>
      <x:c r="Y81" s="8"/>
      <x:c r="Z81" s="8" t="n">
        <x:v>2.072</x:v>
      </x:c>
      <x:c r="AA81" s="8" t="n">
        <x:v>78.761</x:v>
      </x:c>
      <x:c r="AB81" s="8" t="n">
        <x:v>2.212</x:v>
      </x:c>
      <x:c r="AC81" s="8" t="n">
        <x:v>75.19</x:v>
      </x:c>
      <x:c r="AD81" s="8" t="n">
        <x:v>2.212</x:v>
      </x:c>
      <x:c r="AE81" s="8" t="n">
        <x:v>75.19</x:v>
      </x:c>
      <x:c r="AF81" s="8" t="n">
        <x:v>2.026</x:v>
      </x:c>
      <x:c r="AG81" s="8" t="n">
        <x:v>78.5</x:v>
      </x:c>
      <x:c r="AH81" s="8"/>
      <x:c r="AI81" s="8"/>
      <x:c r="AJ81" s="8" t="n">
        <x:v>2.395</x:v>
      </x:c>
      <x:c r="AK81" s="8" t="n">
        <x:v>52.867</x:v>
      </x:c>
      <x:c r="AL81" s="8" t="n">
        <x:v>2.395</x:v>
      </x:c>
      <x:c r="AM81" s="8" t="n">
        <x:v>52.867</x:v>
      </x:c>
      <x:c r="AN81" s="8" t="n">
        <x:v>1.524</x:v>
      </x:c>
      <x:c r="AO81" s="8" t="n">
        <x:v>58.551</x:v>
      </x:c>
      <x:c r="AP81" s="8"/>
      <x:c r="AQ81" s="8"/>
      <x:c r="AR81" s="8" t="n">
        <x:v>1.967</x:v>
      </x:c>
      <x:c r="AS81" s="8" t="n">
        <x:v>81.822</x:v>
      </x:c>
      <x:c r="AT81" s="8" t="n">
        <x:v>1.37</x:v>
      </x:c>
      <x:c r="AU81" s="8" t="n">
        <x:v>59.353</x:v>
      </x:c>
      <x:c r="AV81" s="8" t="n">
        <x:v>2.007</x:v>
      </x:c>
      <x:c r="AW81" s="8" t="n">
        <x:v>65.651</x:v>
      </x:c>
      <x:c r="AX81" s="8" t="n">
        <x:v>2.089</x:v>
      </x:c>
      <x:c r="AY81" s="8" t="n">
        <x:v>71.121</x:v>
      </x:c>
      <x:c r="AZ81" s="8"/>
      <x:c r="BA81" s="8"/>
      <x:c r="BB81" s="8" t="n">
        <x:f>LET(m,MIN(IF(D81&gt;0,D81,1E+99),IF(F81&gt;0,F81,1E+99),IF(H81&gt;0,H81,1E+99),IF(J81&gt;0,J81,1E+99),IF(L81&gt;0,L81,1E+99),IF(N81&gt;0,N81,1E+99),IF(P81&gt;0,P81,1E+99),IF(R81&gt;0,R81,1E+99),IF(T81&gt;0,T81,1E+99),IF(V81&gt;0,V81,1E+99),IF(X81&gt;0,X81,1E+99),IF(Z81&gt;0,Z81,1E+99),IF(AB81&gt;0,AB81,1E+99),IF(AD81&gt;0,AD81,1E+99),IF(AF81&gt;0,AF81,1E+99),IF(AH81&gt;0,AH81,1E+99),IF(AJ81&gt;0,AJ81,1E+99),IF(AL81&gt;0,AL81,1E+99),IF(AN81&gt;0,AN81,1E+99),IF(AP81&gt;0,AP81,1E+99),IF(AR81&gt;0,AR81,1E+99),IF(AT81&gt;0,AT81,1E+99),IF(AV81&gt;0,AV81,1E+99),IF(AX81&gt;0,AX81,1E+99),IF(AZ81&gt;0,AZ81,1E+99)),IF(m=1E+99,"",m))</x:f>
        <x:v>1.328</x:v>
      </x:c>
      <x:c r="BC81" s="12" t="str">
        <x:f>IF(BB81="","",INDEX({"v1.4.20","v1.4.20","v1.4.21","v1.4.21","v1.4.23","v1.4.23","v1.4.26","v1.4.26","v1.4.26.1","v1.4.26.1","v1.4.27","v1.4.27","v1.4.29","v1.4.29","v1.4.30","v1.4.30","v1.4.31","v1.4.31","v1.4.33","v1.4.33","v1.4.35","v1.4.35.2","v1.5","v1.5.1","v1.5.1"},MATCH(BB81,CHOOSE({1,2,3,4,5,6,7,8,9,10,11,12,13,14,15,16,17,18,19,20,21,22,23,24,25},D81,F81,H81,J81,L81,N81,P81,R81,T81,V81,X81,Z81,AB81,AD81,AF81,AH81,AJ81,AL81,AN81,AP81,AR81,AT81,AV81,AX81,AZ81),0)))</x:f>
        <x:v>v1.4.20</x:v>
      </x:c>
      <x:c r="BD81" s="14" t="n">
        <x:f>LET(m,MIN(IF(E81&gt;0,E81,1E+99),IF(G81&gt;0,G81,1E+99),IF(I81&gt;0,I81,1E+99),IF(K81&gt;0,K81,1E+99),IF(M81&gt;0,M81,1E+99),IF(O81&gt;0,O81,1E+99),IF(Q81&gt;0,Q81,1E+99),IF(S81&gt;0,S81,1E+99),IF(U81&gt;0,U81,1E+99),IF(W81&gt;0,W81,1E+99),IF(Y81&gt;0,Y81,1E+99),IF(AA81&gt;0,AA81,1E+99),IF(AC81&gt;0,AC81,1E+99),IF(AE81&gt;0,AE81,1E+99),IF(AG81&gt;0,AG81,1E+99),IF(AI81&gt;0,AI81,1E+99),IF(AK81&gt;0,AK81,1E+99),IF(AM81&gt;0,AM81,1E+99),IF(AO81&gt;0,AO81,1E+99),IF(AQ81&gt;0,AQ81,1E+99),IF(AS81&gt;0,AS81,1E+99),IF(AU81&gt;0,AU81,1E+99),IF(AW81&gt;0,AW81,1E+99),IF(AY81&gt;0,AY81,1E+99),IF(BA81&gt;0,BA81,1E+99)),IF(m=1E+99,"",m))</x:f>
        <x:v>41.598</x:v>
      </x:c>
      <x:c r="BE81" s="16" t="e">
        <x:f>IF(BD81="","",INDEX({"v1.4.20","v1.4.20","v1.4.21","v1.4.21","v1.4.23","v1.4.23","v1.4.26","v1.4.26","v1.4.26.1","v1.4.26.1","v1.4.27","v1.4.27","v1.4.29","v1.4.29","v1.4.30","v1.4.30","v1.4.31","v1.4.31","v1.4.33","v1.4.33","v1.4.35","v1.4.35.2","v1.5","v1.5.1","v1.5.1"},MATCH(BD81,CHOOSE({1,2,3,4,5,6,7,8,9,10,11,12,13,14,15,16,17,18,19,20,21,22,23,24,25},E81,G81,I81,K81,M81,O81,Q81,S81,U81,W81,Y81,AA81,AC81,AE81,AG81,AI81,AK81,AM81,AO81,AQ81,AS81,AU81,AW81,AY81,BA81),0)))</x:f>
      </x:c>
      <x:c r="BF81" s="10" t="n">
        <x:f>IFERROR((AX81-BB81)/BB81,"")</x:f>
        <x:v>0.5730421686746987</x:v>
      </x:c>
      <x:c r="BG81" s="10" t="n">
        <x:f>IFERROR((AY81-BD81)/BD81,"")</x:f>
        <x:v>0.70972162123179</x:v>
      </x:c>
    </x:row>
    <x:row r="82">
      <x:c r="A82" t="str">
        <x:v>Care Plan Due</x:v>
      </x:c>
      <x:c r="B82" t="str">
        <x:v>Create / Refresh All Templates</x:v>
      </x:c>
      <x:c r="C82" t="str">
        <x:v>Apply data row base style: Template - Care Plan Due</x:v>
      </x:c>
      <x:c r="D82" s="8" t="n">
        <x:v>0</x:v>
      </x:c>
      <x:c r="E82" s="8" t="n">
        <x:v>49.948</x:v>
      </x:c>
      <x:c r="F82" s="8"/>
      <x:c r="G82" s="8"/>
      <x:c r="H82" s="8" t="n">
        <x:v>0</x:v>
      </x:c>
      <x:c r="I82" s="8" t="n">
        <x:v>70.777</x:v>
      </x:c>
      <x:c r="J82" s="8"/>
      <x:c r="K82" s="8"/>
      <x:c r="L82" s="8"/>
      <x:c r="M82" s="8"/>
      <x:c r="N82" s="8" t="n">
        <x:v>0</x:v>
      </x:c>
      <x:c r="O82" s="8" t="n">
        <x:v>64.51</x:v>
      </x:c>
      <x:c r="P82" s="8" t="n">
        <x:v>0</x:v>
      </x:c>
      <x:c r="Q82" s="8" t="n">
        <x:v>41.598</x:v>
      </x:c>
      <x:c r="R82" s="8" t="n">
        <x:v>0</x:v>
      </x:c>
      <x:c r="S82" s="8" t="n">
        <x:v>41.598</x:v>
      </x:c>
      <x:c r="T82" s="8"/>
      <x:c r="U82" s="8"/>
      <x:c r="V82" s="8" t="n">
        <x:v>0</x:v>
      </x:c>
      <x:c r="W82" s="8" t="n">
        <x:v>56.164</x:v>
      </x:c>
      <x:c r="X82" s="8"/>
      <x:c r="Y82" s="8"/>
      <x:c r="Z82" s="8" t="n">
        <x:v>0</x:v>
      </x:c>
      <x:c r="AA82" s="8" t="n">
        <x:v>78.761</x:v>
      </x:c>
      <x:c r="AB82" s="8" t="n">
        <x:v>0</x:v>
      </x:c>
      <x:c r="AC82" s="8" t="n">
        <x:v>75.19</x:v>
      </x:c>
      <x:c r="AD82" s="8" t="n">
        <x:v>0</x:v>
      </x:c>
      <x:c r="AE82" s="8" t="n">
        <x:v>75.19</x:v>
      </x:c>
      <x:c r="AF82" s="8" t="n">
        <x:v>0</x:v>
      </x:c>
      <x:c r="AG82" s="8" t="n">
        <x:v>78.5</x:v>
      </x:c>
      <x:c r="AH82" s="8"/>
      <x:c r="AI82" s="8"/>
      <x:c r="AJ82" s="8" t="n">
        <x:v>0</x:v>
      </x:c>
      <x:c r="AK82" s="8" t="n">
        <x:v>52.867</x:v>
      </x:c>
      <x:c r="AL82" s="8" t="n">
        <x:v>0</x:v>
      </x:c>
      <x:c r="AM82" s="8" t="n">
        <x:v>52.867</x:v>
      </x:c>
      <x:c r="AN82" s="8" t="n">
        <x:v>0</x:v>
      </x:c>
      <x:c r="AO82" s="8" t="n">
        <x:v>58.551</x:v>
      </x:c>
      <x:c r="AP82" s="8"/>
      <x:c r="AQ82" s="8"/>
      <x:c r="AR82" s="8" t="n">
        <x:v>0</x:v>
      </x:c>
      <x:c r="AS82" s="8" t="n">
        <x:v>81.822</x:v>
      </x:c>
      <x:c r="AT82" s="8" t="n">
        <x:v>0</x:v>
      </x:c>
      <x:c r="AU82" s="8" t="n">
        <x:v>59.353</x:v>
      </x:c>
      <x:c r="AV82" s="8" t="n">
        <x:v>0</x:v>
      </x:c>
      <x:c r="AW82" s="8" t="n">
        <x:v>65.651</x:v>
      </x:c>
      <x:c r="AX82" s="8" t="n">
        <x:v>0</x:v>
      </x:c>
      <x:c r="AY82" s="8" t="n">
        <x:v>71.121</x:v>
      </x:c>
      <x:c r="AZ82" s="8"/>
      <x:c r="BA82" s="8"/>
      <x:c r="BB82" s="8" t="str">
        <x:f>LET(m,MIN(IF(D82&gt;0,D82,1E+99),IF(F82&gt;0,F82,1E+99),IF(H82&gt;0,H82,1E+99),IF(J82&gt;0,J82,1E+99),IF(L82&gt;0,L82,1E+99),IF(N82&gt;0,N82,1E+99),IF(P82&gt;0,P82,1E+99),IF(R82&gt;0,R82,1E+99),IF(T82&gt;0,T82,1E+99),IF(V82&gt;0,V82,1E+99),IF(X82&gt;0,X82,1E+99),IF(Z82&gt;0,Z82,1E+99),IF(AB82&gt;0,AB82,1E+99),IF(AD82&gt;0,AD82,1E+99),IF(AF82&gt;0,AF82,1E+99),IF(AH82&gt;0,AH82,1E+99),IF(AJ82&gt;0,AJ82,1E+99),IF(AL82&gt;0,AL82,1E+99),IF(AN82&gt;0,AN82,1E+99),IF(AP82&gt;0,AP82,1E+99),IF(AR82&gt;0,AR82,1E+99),IF(AT82&gt;0,AT82,1E+99),IF(AV82&gt;0,AV82,1E+99),IF(AX82&gt;0,AX82,1E+99),IF(AZ82&gt;0,AZ82,1E+99)),IF(m=1E+99,"",m))</x:f>
      </x:c>
      <x:c r="BC82" s="12" t="str">
        <x:f>IF(BB82="","",INDEX({"v1.4.20","v1.4.20","v1.4.21","v1.4.21","v1.4.23","v1.4.23","v1.4.26","v1.4.26","v1.4.26.1","v1.4.26.1","v1.4.27","v1.4.27","v1.4.29","v1.4.29","v1.4.30","v1.4.30","v1.4.31","v1.4.31","v1.4.33","v1.4.33","v1.4.35","v1.4.35.2","v1.5","v1.5.1","v1.5.1"},MATCH(BB82,CHOOSE({1,2,3,4,5,6,7,8,9,10,11,12,13,14,15,16,17,18,19,20,21,22,23,24,25},D82,F82,H82,J82,L82,N82,P82,R82,T82,V82,X82,Z82,AB82,AD82,AF82,AH82,AJ82,AL82,AN82,AP82,AR82,AT82,AV82,AX82,AZ82),0)))</x:f>
      </x:c>
      <x:c r="BD82" s="14" t="n">
        <x:f>LET(m,MIN(IF(E82&gt;0,E82,1E+99),IF(G82&gt;0,G82,1E+99),IF(I82&gt;0,I82,1E+99),IF(K82&gt;0,K82,1E+99),IF(M82&gt;0,M82,1E+99),IF(O82&gt;0,O82,1E+99),IF(Q82&gt;0,Q82,1E+99),IF(S82&gt;0,S82,1E+99),IF(U82&gt;0,U82,1E+99),IF(W82&gt;0,W82,1E+99),IF(Y82&gt;0,Y82,1E+99),IF(AA82&gt;0,AA82,1E+99),IF(AC82&gt;0,AC82,1E+99),IF(AE82&gt;0,AE82,1E+99),IF(AG82&gt;0,AG82,1E+99),IF(AI82&gt;0,AI82,1E+99),IF(AK82&gt;0,AK82,1E+99),IF(AM82&gt;0,AM82,1E+99),IF(AO82&gt;0,AO82,1E+99),IF(AQ82&gt;0,AQ82,1E+99),IF(AS82&gt;0,AS82,1E+99),IF(AU82&gt;0,AU82,1E+99),IF(AW82&gt;0,AW82,1E+99),IF(AY82&gt;0,AY82,1E+99),IF(BA82&gt;0,BA82,1E+99)),IF(m=1E+99,"",m))</x:f>
        <x:v>41.598</x:v>
      </x:c>
      <x:c r="BE82" s="16" t="e">
        <x:f>IF(BD82="","",INDEX({"v1.4.20","v1.4.20","v1.4.21","v1.4.21","v1.4.23","v1.4.23","v1.4.26","v1.4.26","v1.4.26.1","v1.4.26.1","v1.4.27","v1.4.27","v1.4.29","v1.4.29","v1.4.30","v1.4.30","v1.4.31","v1.4.31","v1.4.33","v1.4.33","v1.4.35","v1.4.35.2","v1.5","v1.5.1","v1.5.1"},MATCH(BD82,CHOOSE({1,2,3,4,5,6,7,8,9,10,11,12,13,14,15,16,17,18,19,20,21,22,23,24,25},E82,G82,I82,K82,M82,O82,Q82,S82,U82,W82,Y82,AA82,AC82,AE82,AG82,AI82,AK82,AM82,AO82,AQ82,AS82,AU82,AW82,AY82,BA82),0)))</x:f>
      </x:c>
      <x:c r="BF82" s="10" t="str">
        <x:f>IFERROR((AX82-BB82)/BB82,"")</x:f>
      </x:c>
      <x:c r="BG82" s="10" t="n">
        <x:f>IFERROR((AY82-BD82)/BD82,"")</x:f>
        <x:v>0.70972162123179</x:v>
      </x:c>
    </x:row>
    <x:row r="83">
      <x:c r="A83" t="str">
        <x:v>Care Plan Due</x:v>
      </x:c>
      <x:c r="B83" t="str">
        <x:v>Create / Refresh All Templates</x:v>
      </x:c>
      <x:c r="C83" t="str">
        <x:v>Apply column widths: Template - Care Plan Due</x:v>
      </x:c>
      <x:c r="D83" s="8" t="n">
        <x:v>0.332</x:v>
      </x:c>
      <x:c r="E83" s="8" t="n">
        <x:v>50.28</x:v>
      </x:c>
      <x:c r="F83" s="8"/>
      <x:c r="G83" s="8"/>
      <x:c r="H83" s="8" t="n">
        <x:v>0.46</x:v>
      </x:c>
      <x:c r="I83" s="8" t="n">
        <x:v>71.237</x:v>
      </x:c>
      <x:c r="J83" s="8"/>
      <x:c r="K83" s="8"/>
      <x:c r="L83" s="8"/>
      <x:c r="M83" s="8"/>
      <x:c r="N83" s="8" t="n">
        <x:v>0.536</x:v>
      </x:c>
      <x:c r="O83" s="8" t="n">
        <x:v>65.046</x:v>
      </x:c>
      <x:c r="P83" s="8" t="n">
        <x:v>0.317</x:v>
      </x:c>
      <x:c r="Q83" s="8" t="n">
        <x:v>41.915</x:v>
      </x:c>
      <x:c r="R83" s="8" t="n">
        <x:v>0.317</x:v>
      </x:c>
      <x:c r="S83" s="8" t="n">
        <x:v>41.915</x:v>
      </x:c>
      <x:c r="T83" s="8"/>
      <x:c r="U83" s="8"/>
      <x:c r="V83" s="8" t="n">
        <x:v>0.367</x:v>
      </x:c>
      <x:c r="W83" s="8" t="n">
        <x:v>56.531</x:v>
      </x:c>
      <x:c r="X83" s="8"/>
      <x:c r="Y83" s="8"/>
      <x:c r="Z83" s="8" t="n">
        <x:v>0.528</x:v>
      </x:c>
      <x:c r="AA83" s="8" t="n">
        <x:v>79.289</x:v>
      </x:c>
      <x:c r="AB83" s="8" t="n">
        <x:v>0.555</x:v>
      </x:c>
      <x:c r="AC83" s="8" t="n">
        <x:v>75.745</x:v>
      </x:c>
      <x:c r="AD83" s="8" t="n">
        <x:v>0.555</x:v>
      </x:c>
      <x:c r="AE83" s="8" t="n">
        <x:v>75.745</x:v>
      </x:c>
      <x:c r="AF83" s="8" t="n">
        <x:v>0.612</x:v>
      </x:c>
      <x:c r="AG83" s="8" t="n">
        <x:v>79.112</x:v>
      </x:c>
      <x:c r="AH83" s="8"/>
      <x:c r="AI83" s="8"/>
      <x:c r="AJ83" s="8" t="n">
        <x:v>0.689</x:v>
      </x:c>
      <x:c r="AK83" s="8" t="n">
        <x:v>53.556</x:v>
      </x:c>
      <x:c r="AL83" s="8" t="n">
        <x:v>0.689</x:v>
      </x:c>
      <x:c r="AM83" s="8" t="n">
        <x:v>53.556</x:v>
      </x:c>
      <x:c r="AN83" s="8" t="n">
        <x:v>0.37</x:v>
      </x:c>
      <x:c r="AO83" s="8" t="n">
        <x:v>58.921</x:v>
      </x:c>
      <x:c r="AP83" s="8"/>
      <x:c r="AQ83" s="8"/>
      <x:c r="AR83" s="8" t="n">
        <x:v>0.622</x:v>
      </x:c>
      <x:c r="AS83" s="8" t="n">
        <x:v>82.444</x:v>
      </x:c>
      <x:c r="AT83" s="8" t="n">
        <x:v>0.859</x:v>
      </x:c>
      <x:c r="AU83" s="8" t="n">
        <x:v>60.212</x:v>
      </x:c>
      <x:c r="AV83" s="8" t="n">
        <x:v>0.648</x:v>
      </x:c>
      <x:c r="AW83" s="8" t="n">
        <x:v>66.299</x:v>
      </x:c>
      <x:c r="AX83" s="8" t="n">
        <x:v>0.793</x:v>
      </x:c>
      <x:c r="AY83" s="8" t="n">
        <x:v>71.914</x:v>
      </x:c>
      <x:c r="AZ83" s="8"/>
      <x:c r="BA83" s="8"/>
      <x:c r="BB83" s="8" t="n">
        <x:f>LET(m,MIN(IF(D83&gt;0,D83,1E+99),IF(F83&gt;0,F83,1E+99),IF(H83&gt;0,H83,1E+99),IF(J83&gt;0,J83,1E+99),IF(L83&gt;0,L83,1E+99),IF(N83&gt;0,N83,1E+99),IF(P83&gt;0,P83,1E+99),IF(R83&gt;0,R83,1E+99),IF(T83&gt;0,T83,1E+99),IF(V83&gt;0,V83,1E+99),IF(X83&gt;0,X83,1E+99),IF(Z83&gt;0,Z83,1E+99),IF(AB83&gt;0,AB83,1E+99),IF(AD83&gt;0,AD83,1E+99),IF(AF83&gt;0,AF83,1E+99),IF(AH83&gt;0,AH83,1E+99),IF(AJ83&gt;0,AJ83,1E+99),IF(AL83&gt;0,AL83,1E+99),IF(AN83&gt;0,AN83,1E+99),IF(AP83&gt;0,AP83,1E+99),IF(AR83&gt;0,AR83,1E+99),IF(AT83&gt;0,AT83,1E+99),IF(AV83&gt;0,AV83,1E+99),IF(AX83&gt;0,AX83,1E+99),IF(AZ83&gt;0,AZ83,1E+99)),IF(m=1E+99,"",m))</x:f>
        <x:v>0.317</x:v>
      </x:c>
      <x:c r="BC83" s="12" t="e">
        <x:f>IF(BB83="","",INDEX({"v1.4.20","v1.4.20","v1.4.21","v1.4.21","v1.4.23","v1.4.23","v1.4.26","v1.4.26","v1.4.26.1","v1.4.26.1","v1.4.27","v1.4.27","v1.4.29","v1.4.29","v1.4.30","v1.4.30","v1.4.31","v1.4.31","v1.4.33","v1.4.33","v1.4.35","v1.4.35.2","v1.5","v1.5.1","v1.5.1"},MATCH(BB83,CHOOSE({1,2,3,4,5,6,7,8,9,10,11,12,13,14,15,16,17,18,19,20,21,22,23,24,25},D83,F83,H83,J83,L83,N83,P83,R83,T83,V83,X83,Z83,AB83,AD83,AF83,AH83,AJ83,AL83,AN83,AP83,AR83,AT83,AV83,AX83,AZ83),0)))</x:f>
      </x:c>
      <x:c r="BD83" s="14" t="n">
        <x:f>LET(m,MIN(IF(E83&gt;0,E83,1E+99),IF(G83&gt;0,G83,1E+99),IF(I83&gt;0,I83,1E+99),IF(K83&gt;0,K83,1E+99),IF(M83&gt;0,M83,1E+99),IF(O83&gt;0,O83,1E+99),IF(Q83&gt;0,Q83,1E+99),IF(S83&gt;0,S83,1E+99),IF(U83&gt;0,U83,1E+99),IF(W83&gt;0,W83,1E+99),IF(Y83&gt;0,Y83,1E+99),IF(AA83&gt;0,AA83,1E+99),IF(AC83&gt;0,AC83,1E+99),IF(AE83&gt;0,AE83,1E+99),IF(AG83&gt;0,AG83,1E+99),IF(AI83&gt;0,AI83,1E+99),IF(AK83&gt;0,AK83,1E+99),IF(AM83&gt;0,AM83,1E+99),IF(AO83&gt;0,AO83,1E+99),IF(AQ83&gt;0,AQ83,1E+99),IF(AS83&gt;0,AS83,1E+99),IF(AU83&gt;0,AU83,1E+99),IF(AW83&gt;0,AW83,1E+99),IF(AY83&gt;0,AY83,1E+99),IF(BA83&gt;0,BA83,1E+99)),IF(m=1E+99,"",m))</x:f>
        <x:v>41.915</x:v>
      </x:c>
      <x:c r="BE83" s="16" t="e">
        <x:f>IF(BD83="","",INDEX({"v1.4.20","v1.4.20","v1.4.21","v1.4.21","v1.4.23","v1.4.23","v1.4.26","v1.4.26","v1.4.26.1","v1.4.26.1","v1.4.27","v1.4.27","v1.4.29","v1.4.29","v1.4.30","v1.4.30","v1.4.31","v1.4.31","v1.4.33","v1.4.33","v1.4.35","v1.4.35.2","v1.5","v1.5.1","v1.5.1"},MATCH(BD83,CHOOSE({1,2,3,4,5,6,7,8,9,10,11,12,13,14,15,16,17,18,19,20,21,22,23,24,25},E83,G83,I83,K83,M83,O83,Q83,S83,U83,W83,Y83,AA83,AC83,AE83,AG83,AI83,AK83,AM83,AO83,AQ83,AS83,AU83,AW83,AY83,BA83),0)))</x:f>
      </x:c>
      <x:c r="BF83" s="10" t="n">
        <x:f>IFERROR((AX83-BB83)/BB83,"")</x:f>
        <x:v>1.501577287066246</x:v>
      </x:c>
      <x:c r="BG83" s="10" t="n">
        <x:f>IFERROR((AY83-BD83)/BD83,"")</x:f>
        <x:v>0.7157103662173447</x:v>
      </x:c>
    </x:row>
    <x:row r="84">
      <x:c r="A84" t="str">
        <x:v>Care Plan Due</x:v>
      </x:c>
      <x:c r="B84" t="str">
        <x:v>Create / Refresh All Templates</x:v>
      </x:c>
      <x:c r="C84" t="str">
        <x:v>Apply date/number formats: Template - Care Plan Due</x:v>
      </x:c>
      <x:c r="D84" s="8" t="n">
        <x:v>0.02</x:v>
      </x:c>
      <x:c r="E84" s="8" t="n">
        <x:v>50.3</x:v>
      </x:c>
      <x:c r="F84" s="8"/>
      <x:c r="G84" s="8"/>
      <x:c r="H84" s="8" t="n">
        <x:v>0.018</x:v>
      </x:c>
      <x:c r="I84" s="8" t="n">
        <x:v>71.255</x:v>
      </x:c>
      <x:c r="J84" s="8"/>
      <x:c r="K84" s="8"/>
      <x:c r="L84" s="8"/>
      <x:c r="M84" s="8"/>
      <x:c r="N84" s="8" t="n">
        <x:v>0.029</x:v>
      </x:c>
      <x:c r="O84" s="8" t="n">
        <x:v>65.075</x:v>
      </x:c>
      <x:c r="P84" s="8" t="n">
        <x:v>0.016</x:v>
      </x:c>
      <x:c r="Q84" s="8" t="n">
        <x:v>41.931</x:v>
      </x:c>
      <x:c r="R84" s="8" t="n">
        <x:v>0.016</x:v>
      </x:c>
      <x:c r="S84" s="8" t="n">
        <x:v>41.931</x:v>
      </x:c>
      <x:c r="T84" s="8"/>
      <x:c r="U84" s="8"/>
      <x:c r="V84" s="8" t="n">
        <x:v>0.021</x:v>
      </x:c>
      <x:c r="W84" s="8" t="n">
        <x:v>56.552</x:v>
      </x:c>
      <x:c r="X84" s="8"/>
      <x:c r="Y84" s="8"/>
      <x:c r="Z84" s="8" t="n">
        <x:v>0.024</x:v>
      </x:c>
      <x:c r="AA84" s="8" t="n">
        <x:v>79.313</x:v>
      </x:c>
      <x:c r="AB84" s="8" t="n">
        <x:v>0.012</x:v>
      </x:c>
      <x:c r="AC84" s="8" t="n">
        <x:v>75.757</x:v>
      </x:c>
      <x:c r="AD84" s="8" t="n">
        <x:v>0.012</x:v>
      </x:c>
      <x:c r="AE84" s="8" t="n">
        <x:v>75.757</x:v>
      </x:c>
      <x:c r="AF84" s="8" t="n">
        <x:v>0.038</x:v>
      </x:c>
      <x:c r="AG84" s="8" t="n">
        <x:v>79.15</x:v>
      </x:c>
      <x:c r="AH84" s="8"/>
      <x:c r="AI84" s="8"/>
      <x:c r="AJ84" s="8" t="n">
        <x:v>0.022</x:v>
      </x:c>
      <x:c r="AK84" s="8" t="n">
        <x:v>53.578</x:v>
      </x:c>
      <x:c r="AL84" s="8" t="n">
        <x:v>0.022</x:v>
      </x:c>
      <x:c r="AM84" s="8" t="n">
        <x:v>53.578</x:v>
      </x:c>
      <x:c r="AN84" s="8" t="n">
        <x:v>0.017</x:v>
      </x:c>
      <x:c r="AO84" s="8" t="n">
        <x:v>58.938</x:v>
      </x:c>
      <x:c r="AP84" s="8"/>
      <x:c r="AQ84" s="8"/>
      <x:c r="AR84" s="8" t="n">
        <x:v>0.071</x:v>
      </x:c>
      <x:c r="AS84" s="8" t="n">
        <x:v>82.515</x:v>
      </x:c>
      <x:c r="AT84" s="8" t="n">
        <x:v>0.028</x:v>
      </x:c>
      <x:c r="AU84" s="8" t="n">
        <x:v>60.24</x:v>
      </x:c>
      <x:c r="AV84" s="8" t="n">
        <x:v>0.019</x:v>
      </x:c>
      <x:c r="AW84" s="8" t="n">
        <x:v>66.318</x:v>
      </x:c>
      <x:c r="AX84" s="8" t="n">
        <x:v>0.026</x:v>
      </x:c>
      <x:c r="AY84" s="8" t="n">
        <x:v>71.94</x:v>
      </x:c>
      <x:c r="AZ84" s="8"/>
      <x:c r="BA84" s="8"/>
      <x:c r="BB84" s="8" t="n">
        <x:f>LET(m,MIN(IF(D84&gt;0,D84,1E+99),IF(F84&gt;0,F84,1E+99),IF(H84&gt;0,H84,1E+99),IF(J84&gt;0,J84,1E+99),IF(L84&gt;0,L84,1E+99),IF(N84&gt;0,N84,1E+99),IF(P84&gt;0,P84,1E+99),IF(R84&gt;0,R84,1E+99),IF(T84&gt;0,T84,1E+99),IF(V84&gt;0,V84,1E+99),IF(X84&gt;0,X84,1E+99),IF(Z84&gt;0,Z84,1E+99),IF(AB84&gt;0,AB84,1E+99),IF(AD84&gt;0,AD84,1E+99),IF(AF84&gt;0,AF84,1E+99),IF(AH84&gt;0,AH84,1E+99),IF(AJ84&gt;0,AJ84,1E+99),IF(AL84&gt;0,AL84,1E+99),IF(AN84&gt;0,AN84,1E+99),IF(AP84&gt;0,AP84,1E+99),IF(AR84&gt;0,AR84,1E+99),IF(AT84&gt;0,AT84,1E+99),IF(AV84&gt;0,AV84,1E+99),IF(AX84&gt;0,AX84,1E+99),IF(AZ84&gt;0,AZ84,1E+99)),IF(m=1E+99,"",m))</x:f>
        <x:v>0.012</x:v>
      </x:c>
      <x:c r="BC84" s="12" t="e">
        <x:f>IF(BB84="","",INDEX({"v1.4.20","v1.4.20","v1.4.21","v1.4.21","v1.4.23","v1.4.23","v1.4.26","v1.4.26","v1.4.26.1","v1.4.26.1","v1.4.27","v1.4.27","v1.4.29","v1.4.29","v1.4.30","v1.4.30","v1.4.31","v1.4.31","v1.4.33","v1.4.33","v1.4.35","v1.4.35.2","v1.5","v1.5.1","v1.5.1"},MATCH(BB84,CHOOSE({1,2,3,4,5,6,7,8,9,10,11,12,13,14,15,16,17,18,19,20,21,22,23,24,25},D84,F84,H84,J84,L84,N84,P84,R84,T84,V84,X84,Z84,AB84,AD84,AF84,AH84,AJ84,AL84,AN84,AP84,AR84,AT84,AV84,AX84,AZ84),0)))</x:f>
      </x:c>
      <x:c r="BD84" s="14" t="n">
        <x:f>LET(m,MIN(IF(E84&gt;0,E84,1E+99),IF(G84&gt;0,G84,1E+99),IF(I84&gt;0,I84,1E+99),IF(K84&gt;0,K84,1E+99),IF(M84&gt;0,M84,1E+99),IF(O84&gt;0,O84,1E+99),IF(Q84&gt;0,Q84,1E+99),IF(S84&gt;0,S84,1E+99),IF(U84&gt;0,U84,1E+99),IF(W84&gt;0,W84,1E+99),IF(Y84&gt;0,Y84,1E+99),IF(AA84&gt;0,AA84,1E+99),IF(AC84&gt;0,AC84,1E+99),IF(AE84&gt;0,AE84,1E+99),IF(AG84&gt;0,AG84,1E+99),IF(AI84&gt;0,AI84,1E+99),IF(AK84&gt;0,AK84,1E+99),IF(AM84&gt;0,AM84,1E+99),IF(AO84&gt;0,AO84,1E+99),IF(AQ84&gt;0,AQ84,1E+99),IF(AS84&gt;0,AS84,1E+99),IF(AU84&gt;0,AU84,1E+99),IF(AW84&gt;0,AW84,1E+99),IF(AY84&gt;0,AY84,1E+99),IF(BA84&gt;0,BA84,1E+99)),IF(m=1E+99,"",m))</x:f>
        <x:v>41.931</x:v>
      </x:c>
      <x:c r="BE84" s="16" t="e">
        <x:f>IF(BD84="","",INDEX({"v1.4.20","v1.4.20","v1.4.21","v1.4.21","v1.4.23","v1.4.23","v1.4.26","v1.4.26","v1.4.26.1","v1.4.26.1","v1.4.27","v1.4.27","v1.4.29","v1.4.29","v1.4.30","v1.4.30","v1.4.31","v1.4.31","v1.4.33","v1.4.33","v1.4.35","v1.4.35.2","v1.5","v1.5.1","v1.5.1"},MATCH(BD84,CHOOSE({1,2,3,4,5,6,7,8,9,10,11,12,13,14,15,16,17,18,19,20,21,22,23,24,25},E84,G84,I84,K84,M84,O84,Q84,S84,U84,W84,Y84,AA84,AC84,AE84,AG84,AI84,AK84,AM84,AO84,AQ84,AS84,AU84,AW84,AY84,BA84),0)))</x:f>
      </x:c>
      <x:c r="BF84" s="10" t="n">
        <x:f>IFERROR((AX84-BB84)/BB84,"")</x:f>
        <x:v>1.1666666666666665</x:v>
      </x:c>
      <x:c r="BG84" s="10" t="n">
        <x:f>IFERROR((AY84-BD84)/BD84,"")</x:f>
        <x:v>0.7156757530228233</x:v>
      </x:c>
    </x:row>
    <x:row r="85">
      <x:c r="A85" t="str">
        <x:v>Care Plan Due</x:v>
      </x:c>
      <x:c r="B85" t="str">
        <x:v>Create / Refresh All Templates</x:v>
      </x:c>
      <x:c r="C85" t="str">
        <x:v>Apply hidden/show column settings: Template - Care Plan Due</x:v>
      </x:c>
      <x:c r="D85" s="8" t="n">
        <x:v>0</x:v>
      </x:c>
      <x:c r="E85" s="8" t="n">
        <x:v>50.3</x:v>
      </x:c>
      <x:c r="F85" s="8"/>
      <x:c r="G85" s="8"/>
      <x:c r="H85" s="8" t="n">
        <x:v>0.001</x:v>
      </x:c>
      <x:c r="I85" s="8" t="n">
        <x:v>71.256</x:v>
      </x:c>
      <x:c r="J85" s="8"/>
      <x:c r="K85" s="8"/>
      <x:c r="L85" s="8"/>
      <x:c r="M85" s="8"/>
      <x:c r="N85" s="8" t="n">
        <x:v>0.002</x:v>
      </x:c>
      <x:c r="O85" s="8" t="n">
        <x:v>65.077</x:v>
      </x:c>
      <x:c r="P85" s="8" t="n">
        <x:v>0.001</x:v>
      </x:c>
      <x:c r="Q85" s="8" t="n">
        <x:v>41.932</x:v>
      </x:c>
      <x:c r="R85" s="8" t="n">
        <x:v>0.001</x:v>
      </x:c>
      <x:c r="S85" s="8" t="n">
        <x:v>41.932</x:v>
      </x:c>
      <x:c r="T85" s="8"/>
      <x:c r="U85" s="8"/>
      <x:c r="V85" s="8" t="n">
        <x:v>0</x:v>
      </x:c>
      <x:c r="W85" s="8" t="n">
        <x:v>56.552</x:v>
      </x:c>
      <x:c r="X85" s="8" t="n">
        <x:v>0</x:v>
      </x:c>
      <x:c r="Y85" s="8" t="n">
        <x:v>79.313</x:v>
      </x:c>
      <x:c r="Z85" s="8" t="n">
        <x:v>0</x:v>
      </x:c>
      <x:c r="AA85" s="8" t="n">
        <x:v>79.313</x:v>
      </x:c>
      <x:c r="AB85" s="8" t="n">
        <x:v>0</x:v>
      </x:c>
      <x:c r="AC85" s="8" t="n">
        <x:v>75.757</x:v>
      </x:c>
      <x:c r="AD85" s="8" t="n">
        <x:v>0</x:v>
      </x:c>
      <x:c r="AE85" s="8" t="n">
        <x:v>75.757</x:v>
      </x:c>
      <x:c r="AF85" s="8" t="n">
        <x:v>0.001</x:v>
      </x:c>
      <x:c r="AG85" s="8" t="n">
        <x:v>79.151</x:v>
      </x:c>
      <x:c r="AH85" s="8"/>
      <x:c r="AI85" s="8"/>
      <x:c r="AJ85" s="8" t="n">
        <x:v>0.001</x:v>
      </x:c>
      <x:c r="AK85" s="8" t="n">
        <x:v>53.579</x:v>
      </x:c>
      <x:c r="AL85" s="8" t="n">
        <x:v>0.001</x:v>
      </x:c>
      <x:c r="AM85" s="8" t="n">
        <x:v>53.579</x:v>
      </x:c>
      <x:c r="AN85" s="8" t="n">
        <x:v>0</x:v>
      </x:c>
      <x:c r="AO85" s="8" t="n">
        <x:v>58.938</x:v>
      </x:c>
      <x:c r="AP85" s="8"/>
      <x:c r="AQ85" s="8"/>
      <x:c r="AR85" s="8" t="n">
        <x:v>0.002</x:v>
      </x:c>
      <x:c r="AS85" s="8" t="n">
        <x:v>82.517</x:v>
      </x:c>
      <x:c r="AT85" s="8" t="n">
        <x:v>0.002</x:v>
      </x:c>
      <x:c r="AU85" s="8" t="n">
        <x:v>60.242</x:v>
      </x:c>
      <x:c r="AV85" s="8" t="n">
        <x:v>0</x:v>
      </x:c>
      <x:c r="AW85" s="8" t="n">
        <x:v>66.318</x:v>
      </x:c>
      <x:c r="AX85" s="8" t="n">
        <x:v>0.001</x:v>
      </x:c>
      <x:c r="AY85" s="8" t="n">
        <x:v>71.941</x:v>
      </x:c>
      <x:c r="AZ85" s="8"/>
      <x:c r="BA85" s="8"/>
      <x:c r="BB85" s="8" t="n">
        <x:f>LET(m,MIN(IF(D85&gt;0,D85,1E+99),IF(F85&gt;0,F85,1E+99),IF(H85&gt;0,H85,1E+99),IF(J85&gt;0,J85,1E+99),IF(L85&gt;0,L85,1E+99),IF(N85&gt;0,N85,1E+99),IF(P85&gt;0,P85,1E+99),IF(R85&gt;0,R85,1E+99),IF(T85&gt;0,T85,1E+99),IF(V85&gt;0,V85,1E+99),IF(X85&gt;0,X85,1E+99),IF(Z85&gt;0,Z85,1E+99),IF(AB85&gt;0,AB85,1E+99),IF(AD85&gt;0,AD85,1E+99),IF(AF85&gt;0,AF85,1E+99),IF(AH85&gt;0,AH85,1E+99),IF(AJ85&gt;0,AJ85,1E+99),IF(AL85&gt;0,AL85,1E+99),IF(AN85&gt;0,AN85,1E+99),IF(AP85&gt;0,AP85,1E+99),IF(AR85&gt;0,AR85,1E+99),IF(AT85&gt;0,AT85,1E+99),IF(AV85&gt;0,AV85,1E+99),IF(AX85&gt;0,AX85,1E+99),IF(AZ85&gt;0,AZ85,1E+99)),IF(m=1E+99,"",m))</x:f>
        <x:v>0.001</x:v>
      </x:c>
      <x:c r="BC85" s="12" t="e">
        <x:f>IF(BB85="","",INDEX({"v1.4.20","v1.4.20","v1.4.21","v1.4.21","v1.4.23","v1.4.23","v1.4.26","v1.4.26","v1.4.26.1","v1.4.26.1","v1.4.27","v1.4.27","v1.4.29","v1.4.29","v1.4.30","v1.4.30","v1.4.31","v1.4.31","v1.4.33","v1.4.33","v1.4.35","v1.4.35.2","v1.5","v1.5.1","v1.5.1"},MATCH(BB85,CHOOSE({1,2,3,4,5,6,7,8,9,10,11,12,13,14,15,16,17,18,19,20,21,22,23,24,25},D85,F85,H85,J85,L85,N85,P85,R85,T85,V85,X85,Z85,AB85,AD85,AF85,AH85,AJ85,AL85,AN85,AP85,AR85,AT85,AV85,AX85,AZ85),0)))</x:f>
      </x:c>
      <x:c r="BD85" s="14" t="n">
        <x:f>LET(m,MIN(IF(E85&gt;0,E85,1E+99),IF(G85&gt;0,G85,1E+99),IF(I85&gt;0,I85,1E+99),IF(K85&gt;0,K85,1E+99),IF(M85&gt;0,M85,1E+99),IF(O85&gt;0,O85,1E+99),IF(Q85&gt;0,Q85,1E+99),IF(S85&gt;0,S85,1E+99),IF(U85&gt;0,U85,1E+99),IF(W85&gt;0,W85,1E+99),IF(Y85&gt;0,Y85,1E+99),IF(AA85&gt;0,AA85,1E+99),IF(AC85&gt;0,AC85,1E+99),IF(AE85&gt;0,AE85,1E+99),IF(AG85&gt;0,AG85,1E+99),IF(AI85&gt;0,AI85,1E+99),IF(AK85&gt;0,AK85,1E+99),IF(AM85&gt;0,AM85,1E+99),IF(AO85&gt;0,AO85,1E+99),IF(AQ85&gt;0,AQ85,1E+99),IF(AS85&gt;0,AS85,1E+99),IF(AU85&gt;0,AU85,1E+99),IF(AW85&gt;0,AW85,1E+99),IF(AY85&gt;0,AY85,1E+99),IF(BA85&gt;0,BA85,1E+99)),IF(m=1E+99,"",m))</x:f>
        <x:v>41.932</x:v>
      </x:c>
      <x:c r="BE85" s="16" t="e">
        <x:f>IF(BD85="","",INDEX({"v1.4.20","v1.4.20","v1.4.21","v1.4.21","v1.4.23","v1.4.23","v1.4.26","v1.4.26","v1.4.26.1","v1.4.26.1","v1.4.27","v1.4.27","v1.4.29","v1.4.29","v1.4.30","v1.4.30","v1.4.31","v1.4.31","v1.4.33","v1.4.33","v1.4.35","v1.4.35.2","v1.5","v1.5.1","v1.5.1"},MATCH(BD85,CHOOSE({1,2,3,4,5,6,7,8,9,10,11,12,13,14,15,16,17,18,19,20,21,22,23,24,25},E85,G85,I85,K85,M85,O85,Q85,S85,U85,W85,Y85,AA85,AC85,AE85,AG85,AI85,AK85,AM85,AO85,AQ85,AS85,AU85,AW85,AY85,BA85),0)))</x:f>
      </x:c>
      <x:c r="BF85" s="10" t="n">
        <x:f>IFERROR((AX85-BB85)/BB85,"")</x:f>
        <x:v>0</x:v>
      </x:c>
      <x:c r="BG85" s="10" t="n">
        <x:f>IFERROR((AY85-BD85)/BD85,"")</x:f>
        <x:v>0.7156586854907946</x:v>
      </x:c>
    </x:row>
    <x:row r="86">
      <x:c r="A86" t="str">
        <x:v>Care Plan Due</x:v>
      </x:c>
      <x:c r="B86" t="str">
        <x:v>Create / Refresh All Templates</x:v>
      </x:c>
      <x:c r="C86" t="str">
        <x:v>No existing filter to remove: Template - Care Plan Due</x:v>
      </x:c>
      <x:c r="D86" s="8" t="n">
        <x:v>0.45</x:v>
      </x:c>
      <x:c r="E86" s="8" t="n">
        <x:v>50.75</x:v>
      </x:c>
      <x:c r="F86" s="8"/>
      <x:c r="G86" s="8"/>
      <x:c r="H86" s="8" t="n">
        <x:v>2.673</x:v>
      </x:c>
      <x:c r="I86" s="8" t="n">
        <x:v>73.929</x:v>
      </x:c>
      <x:c r="J86" s="8"/>
      <x:c r="K86" s="8"/>
      <x:c r="L86" s="8"/>
      <x:c r="M86" s="8"/>
      <x:c r="N86" s="8"/>
      <x:c r="O86" s="8"/>
      <x:c r="P86" s="8" t="n">
        <x:v>0.41</x:v>
      </x:c>
      <x:c r="Q86" s="8" t="n">
        <x:v>42.342</x:v>
      </x:c>
      <x:c r="R86" s="8" t="n">
        <x:v>0.41</x:v>
      </x:c>
      <x:c r="S86" s="8" t="n">
        <x:v>42.342</x:v>
      </x:c>
      <x:c r="T86" s="8"/>
      <x:c r="U86" s="8"/>
      <x:c r="V86" s="8" t="n">
        <x:v>0.587</x:v>
      </x:c>
      <x:c r="W86" s="8" t="n">
        <x:v>57.139</x:v>
      </x:c>
      <x:c r="X86" s="8" t="n">
        <x:v>1.124</x:v>
      </x:c>
      <x:c r="Y86" s="8" t="n">
        <x:v>80.437</x:v>
      </x:c>
      <x:c r="Z86" s="8" t="n">
        <x:v>1.124</x:v>
      </x:c>
      <x:c r="AA86" s="8" t="n">
        <x:v>80.437</x:v>
      </x:c>
      <x:c r="AB86" s="8" t="n">
        <x:v>0.688</x:v>
      </x:c>
      <x:c r="AC86" s="8" t="n">
        <x:v>76.445</x:v>
      </x:c>
      <x:c r="AD86" s="8" t="n">
        <x:v>0.688</x:v>
      </x:c>
      <x:c r="AE86" s="8" t="n">
        <x:v>76.445</x:v>
      </x:c>
      <x:c r="AF86" s="8" t="n">
        <x:v>0.69</x:v>
      </x:c>
      <x:c r="AG86" s="8" t="n">
        <x:v>79.841</x:v>
      </x:c>
      <x:c r="AH86" s="8"/>
      <x:c r="AI86" s="8"/>
      <x:c r="AJ86" s="8" t="n">
        <x:v>0.811</x:v>
      </x:c>
      <x:c r="AK86" s="8" t="n">
        <x:v>54.39</x:v>
      </x:c>
      <x:c r="AL86" s="8" t="n">
        <x:v>0.811</x:v>
      </x:c>
      <x:c r="AM86" s="8" t="n">
        <x:v>54.39</x:v>
      </x:c>
      <x:c r="AN86" s="8" t="n">
        <x:v>0.587</x:v>
      </x:c>
      <x:c r="AO86" s="8" t="n">
        <x:v>59.525</x:v>
      </x:c>
      <x:c r="AP86" s="8"/>
      <x:c r="AQ86" s="8"/>
      <x:c r="AR86" s="8" t="n">
        <x:v>0.832</x:v>
      </x:c>
      <x:c r="AS86" s="8" t="n">
        <x:v>83.349</x:v>
      </x:c>
      <x:c r="AT86" s="8" t="n">
        <x:v>0.681</x:v>
      </x:c>
      <x:c r="AU86" s="8" t="n">
        <x:v>60.923</x:v>
      </x:c>
      <x:c r="AV86" s="8" t="n">
        <x:v>0.754</x:v>
      </x:c>
      <x:c r="AW86" s="8" t="n">
        <x:v>67.072</x:v>
      </x:c>
      <x:c r="AX86" s="8" t="n">
        <x:v>0.736</x:v>
      </x:c>
      <x:c r="AY86" s="8" t="n">
        <x:v>72.677</x:v>
      </x:c>
      <x:c r="AZ86" s="8"/>
      <x:c r="BA86" s="8"/>
      <x:c r="BB86" s="8" t="n">
        <x:f>LET(m,MIN(IF(D86&gt;0,D86,1E+99),IF(F86&gt;0,F86,1E+99),IF(H86&gt;0,H86,1E+99),IF(J86&gt;0,J86,1E+99),IF(L86&gt;0,L86,1E+99),IF(N86&gt;0,N86,1E+99),IF(P86&gt;0,P86,1E+99),IF(R86&gt;0,R86,1E+99),IF(T86&gt;0,T86,1E+99),IF(V86&gt;0,V86,1E+99),IF(X86&gt;0,X86,1E+99),IF(Z86&gt;0,Z86,1E+99),IF(AB86&gt;0,AB86,1E+99),IF(AD86&gt;0,AD86,1E+99),IF(AF86&gt;0,AF86,1E+99),IF(AH86&gt;0,AH86,1E+99),IF(AJ86&gt;0,AJ86,1E+99),IF(AL86&gt;0,AL86,1E+99),IF(AN86&gt;0,AN86,1E+99),IF(AP86&gt;0,AP86,1E+99),IF(AR86&gt;0,AR86,1E+99),IF(AT86&gt;0,AT86,1E+99),IF(AV86&gt;0,AV86,1E+99),IF(AX86&gt;0,AX86,1E+99),IF(AZ86&gt;0,AZ86,1E+99)),IF(m=1E+99,"",m))</x:f>
        <x:v>0.41</x:v>
      </x:c>
      <x:c r="BC86" s="12" t="e">
        <x:f>IF(BB86="","",INDEX({"v1.4.20","v1.4.20","v1.4.21","v1.4.21","v1.4.23","v1.4.23","v1.4.26","v1.4.26","v1.4.26.1","v1.4.26.1","v1.4.27","v1.4.27","v1.4.29","v1.4.29","v1.4.30","v1.4.30","v1.4.31","v1.4.31","v1.4.33","v1.4.33","v1.4.35","v1.4.35.2","v1.5","v1.5.1","v1.5.1"},MATCH(BB86,CHOOSE({1,2,3,4,5,6,7,8,9,10,11,12,13,14,15,16,17,18,19,20,21,22,23,24,25},D86,F86,H86,J86,L86,N86,P86,R86,T86,V86,X86,Z86,AB86,AD86,AF86,AH86,AJ86,AL86,AN86,AP86,AR86,AT86,AV86,AX86,AZ86),0)))</x:f>
      </x:c>
      <x:c r="BD86" s="14" t="n">
        <x:f>LET(m,MIN(IF(E86&gt;0,E86,1E+99),IF(G86&gt;0,G86,1E+99),IF(I86&gt;0,I86,1E+99),IF(K86&gt;0,K86,1E+99),IF(M86&gt;0,M86,1E+99),IF(O86&gt;0,O86,1E+99),IF(Q86&gt;0,Q86,1E+99),IF(S86&gt;0,S86,1E+99),IF(U86&gt;0,U86,1E+99),IF(W86&gt;0,W86,1E+99),IF(Y86&gt;0,Y86,1E+99),IF(AA86&gt;0,AA86,1E+99),IF(AC86&gt;0,AC86,1E+99),IF(AE86&gt;0,AE86,1E+99),IF(AG86&gt;0,AG86,1E+99),IF(AI86&gt;0,AI86,1E+99),IF(AK86&gt;0,AK86,1E+99),IF(AM86&gt;0,AM86,1E+99),IF(AO86&gt;0,AO86,1E+99),IF(AQ86&gt;0,AQ86,1E+99),IF(AS86&gt;0,AS86,1E+99),IF(AU86&gt;0,AU86,1E+99),IF(AW86&gt;0,AW86,1E+99),IF(AY86&gt;0,AY86,1E+99),IF(BA86&gt;0,BA86,1E+99)),IF(m=1E+99,"",m))</x:f>
        <x:v>42.342</x:v>
      </x:c>
      <x:c r="BE86" s="16" t="e">
        <x:f>IF(BD86="","",INDEX({"v1.4.20","v1.4.20","v1.4.21","v1.4.21","v1.4.23","v1.4.23","v1.4.26","v1.4.26","v1.4.26.1","v1.4.26.1","v1.4.27","v1.4.27","v1.4.29","v1.4.29","v1.4.30","v1.4.30","v1.4.31","v1.4.31","v1.4.33","v1.4.33","v1.4.35","v1.4.35.2","v1.5","v1.5.1","v1.5.1"},MATCH(BD86,CHOOSE({1,2,3,4,5,6,7,8,9,10,11,12,13,14,15,16,17,18,19,20,21,22,23,24,25},E86,G86,I86,K86,M86,O86,Q86,S86,U86,W86,Y86,AA86,AC86,AE86,AG86,AI86,AK86,AM86,AO86,AQ86,AS86,AU86,AW86,AY86,BA86),0)))</x:f>
      </x:c>
      <x:c r="BF86" s="10" t="n">
        <x:f>IFERROR((AX86-BB86)/BB86,"")</x:f>
        <x:v>0.7951219512195122</x:v>
      </x:c>
      <x:c r="BG86" s="10" t="n">
        <x:f>IFERROR((AY86-BD86)/BD86,"")</x:f>
        <x:v>0.7164281328232017</x:v>
      </x:c>
    </x:row>
    <x:row r="87">
      <x:c r="A87" t="str">
        <x:v>Care Plan Due</x:v>
      </x:c>
      <x:c r="B87" t="str">
        <x:v>Create / Refresh All Templates</x:v>
      </x:c>
      <x:c r="C87" t="str">
        <x:v>Create filter: Template - Care Plan Due</x:v>
      </x:c>
      <x:c r="D87" s="8" t="n">
        <x:v>1.818</x:v>
      </x:c>
      <x:c r="E87" s="8" t="n">
        <x:v>52.568</x:v>
      </x:c>
      <x:c r="F87" s="8"/>
      <x:c r="G87" s="8"/>
      <x:c r="H87" s="8" t="n">
        <x:v>1.883</x:v>
      </x:c>
      <x:c r="I87" s="8" t="n">
        <x:v>75.812</x:v>
      </x:c>
      <x:c r="J87" s="8"/>
      <x:c r="K87" s="8"/>
      <x:c r="L87" s="8"/>
      <x:c r="M87" s="8"/>
      <x:c r="N87" s="8" t="n">
        <x:v>2.195</x:v>
      </x:c>
      <x:c r="O87" s="8" t="n">
        <x:v>67.272</x:v>
      </x:c>
      <x:c r="P87" s="8" t="n">
        <x:v>1.064</x:v>
      </x:c>
      <x:c r="Q87" s="8" t="n">
        <x:v>43.406</x:v>
      </x:c>
      <x:c r="R87" s="8" t="n">
        <x:v>1.064</x:v>
      </x:c>
      <x:c r="S87" s="8" t="n">
        <x:v>43.406</x:v>
      </x:c>
      <x:c r="T87" s="8"/>
      <x:c r="U87" s="8"/>
      <x:c r="V87" s="8" t="n">
        <x:v>1.511</x:v>
      </x:c>
      <x:c r="W87" s="8" t="n">
        <x:v>58.65</x:v>
      </x:c>
      <x:c r="X87" s="8" t="n">
        <x:v>2.03</x:v>
      </x:c>
      <x:c r="Y87" s="8" t="n">
        <x:v>82.467</x:v>
      </x:c>
      <x:c r="Z87" s="8" t="n">
        <x:v>2.03</x:v>
      </x:c>
      <x:c r="AA87" s="8" t="n">
        <x:v>82.467</x:v>
      </x:c>
      <x:c r="AB87" s="8" t="n">
        <x:v>1.825</x:v>
      </x:c>
      <x:c r="AC87" s="8" t="n">
        <x:v>78.27</x:v>
      </x:c>
      <x:c r="AD87" s="8" t="n">
        <x:v>1.825</x:v>
      </x:c>
      <x:c r="AE87" s="8" t="n">
        <x:v>78.27</x:v>
      </x:c>
      <x:c r="AF87" s="8" t="n">
        <x:v>1.908</x:v>
      </x:c>
      <x:c r="AG87" s="8" t="n">
        <x:v>81.749</x:v>
      </x:c>
      <x:c r="AH87" s="8"/>
      <x:c r="AI87" s="8"/>
      <x:c r="AJ87" s="8" t="n">
        <x:v>2.851</x:v>
      </x:c>
      <x:c r="AK87" s="8" t="n">
        <x:v>57.241</x:v>
      </x:c>
      <x:c r="AL87" s="8" t="n">
        <x:v>2.851</x:v>
      </x:c>
      <x:c r="AM87" s="8" t="n">
        <x:v>57.241</x:v>
      </x:c>
      <x:c r="AN87" s="8" t="n">
        <x:v>1.641</x:v>
      </x:c>
      <x:c r="AO87" s="8" t="n">
        <x:v>61.166</x:v>
      </x:c>
      <x:c r="AP87" s="8"/>
      <x:c r="AQ87" s="8"/>
      <x:c r="AR87" s="8" t="n">
        <x:v>2.316</x:v>
      </x:c>
      <x:c r="AS87" s="8" t="n">
        <x:v>85.665</x:v>
      </x:c>
      <x:c r="AT87" s="8" t="n">
        <x:v>1.225</x:v>
      </x:c>
      <x:c r="AU87" s="8" t="n">
        <x:v>62.148</x:v>
      </x:c>
      <x:c r="AV87" s="8" t="n">
        <x:v>1.694</x:v>
      </x:c>
      <x:c r="AW87" s="8" t="n">
        <x:v>68.766</x:v>
      </x:c>
      <x:c r="AX87" s="8" t="n">
        <x:v>1.819</x:v>
      </x:c>
      <x:c r="AY87" s="8" t="n">
        <x:v>74.496</x:v>
      </x:c>
      <x:c r="AZ87" s="8"/>
      <x:c r="BA87" s="8"/>
      <x:c r="BB87" s="8" t="n">
        <x:f>LET(m,MIN(IF(D87&gt;0,D87,1E+99),IF(F87&gt;0,F87,1E+99),IF(H87&gt;0,H87,1E+99),IF(J87&gt;0,J87,1E+99),IF(L87&gt;0,L87,1E+99),IF(N87&gt;0,N87,1E+99),IF(P87&gt;0,P87,1E+99),IF(R87&gt;0,R87,1E+99),IF(T87&gt;0,T87,1E+99),IF(V87&gt;0,V87,1E+99),IF(X87&gt;0,X87,1E+99),IF(Z87&gt;0,Z87,1E+99),IF(AB87&gt;0,AB87,1E+99),IF(AD87&gt;0,AD87,1E+99),IF(AF87&gt;0,AF87,1E+99),IF(AH87&gt;0,AH87,1E+99),IF(AJ87&gt;0,AJ87,1E+99),IF(AL87&gt;0,AL87,1E+99),IF(AN87&gt;0,AN87,1E+99),IF(AP87&gt;0,AP87,1E+99),IF(AR87&gt;0,AR87,1E+99),IF(AT87&gt;0,AT87,1E+99),IF(AV87&gt;0,AV87,1E+99),IF(AX87&gt;0,AX87,1E+99),IF(AZ87&gt;0,AZ87,1E+99)),IF(m=1E+99,"",m))</x:f>
        <x:v>1.064</x:v>
      </x:c>
      <x:c r="BC87" s="12" t="e">
        <x:f>IF(BB87="","",INDEX({"v1.4.20","v1.4.20","v1.4.21","v1.4.21","v1.4.23","v1.4.23","v1.4.26","v1.4.26","v1.4.26.1","v1.4.26.1","v1.4.27","v1.4.27","v1.4.29","v1.4.29","v1.4.30","v1.4.30","v1.4.31","v1.4.31","v1.4.33","v1.4.33","v1.4.35","v1.4.35.2","v1.5","v1.5.1","v1.5.1"},MATCH(BB87,CHOOSE({1,2,3,4,5,6,7,8,9,10,11,12,13,14,15,16,17,18,19,20,21,22,23,24,25},D87,F87,H87,J87,L87,N87,P87,R87,T87,V87,X87,Z87,AB87,AD87,AF87,AH87,AJ87,AL87,AN87,AP87,AR87,AT87,AV87,AX87,AZ87),0)))</x:f>
      </x:c>
      <x:c r="BD87" s="14" t="n">
        <x:f>LET(m,MIN(IF(E87&gt;0,E87,1E+99),IF(G87&gt;0,G87,1E+99),IF(I87&gt;0,I87,1E+99),IF(K87&gt;0,K87,1E+99),IF(M87&gt;0,M87,1E+99),IF(O87&gt;0,O87,1E+99),IF(Q87&gt;0,Q87,1E+99),IF(S87&gt;0,S87,1E+99),IF(U87&gt;0,U87,1E+99),IF(W87&gt;0,W87,1E+99),IF(Y87&gt;0,Y87,1E+99),IF(AA87&gt;0,AA87,1E+99),IF(AC87&gt;0,AC87,1E+99),IF(AE87&gt;0,AE87,1E+99),IF(AG87&gt;0,AG87,1E+99),IF(AI87&gt;0,AI87,1E+99),IF(AK87&gt;0,AK87,1E+99),IF(AM87&gt;0,AM87,1E+99),IF(AO87&gt;0,AO87,1E+99),IF(AQ87&gt;0,AQ87,1E+99),IF(AS87&gt;0,AS87,1E+99),IF(AU87&gt;0,AU87,1E+99),IF(AW87&gt;0,AW87,1E+99),IF(AY87&gt;0,AY87,1E+99),IF(BA87&gt;0,BA87,1E+99)),IF(m=1E+99,"",m))</x:f>
        <x:v>43.406</x:v>
      </x:c>
      <x:c r="BE87" s="16" t="e">
        <x:f>IF(BD87="","",INDEX({"v1.4.20","v1.4.20","v1.4.21","v1.4.21","v1.4.23","v1.4.23","v1.4.26","v1.4.26","v1.4.26.1","v1.4.26.1","v1.4.27","v1.4.27","v1.4.29","v1.4.29","v1.4.30","v1.4.30","v1.4.31","v1.4.31","v1.4.33","v1.4.33","v1.4.35","v1.4.35.2","v1.5","v1.5.1","v1.5.1"},MATCH(BD87,CHOOSE({1,2,3,4,5,6,7,8,9,10,11,12,13,14,15,16,17,18,19,20,21,22,23,24,25},E87,G87,I87,K87,M87,O87,Q87,S87,U87,W87,Y87,AA87,AC87,AE87,AG87,AI87,AK87,AM87,AO87,AQ87,AS87,AU87,AW87,AY87,BA87),0)))</x:f>
      </x:c>
      <x:c r="BF87" s="10" t="n">
        <x:f>IFERROR((AX87-BB87)/BB87,"")</x:f>
        <x:v>0.7095864661654134</x:v>
      </x:c>
      <x:c r="BG87" s="10" t="n">
        <x:f>IFERROR((AY87-BD87)/BD87,"")</x:f>
        <x:v>0.7162604248260609</x:v>
      </x:c>
    </x:row>
    <x:row r="88">
      <x:c r="A88" t="str">
        <x:v>Care Plan Due</x:v>
      </x:c>
      <x:c r="B88" t="str">
        <x:v>Create / Refresh All Templates</x:v>
      </x:c>
      <x:c r="C88" t="str">
        <x:v>Apply row heights skipped for template: Template - Care Plan Due</x:v>
      </x:c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  <x:c r="AA88" s="8"/>
      <x:c r="AB88" s="8"/>
      <x:c r="AC88" s="8"/>
      <x:c r="AD88" s="8"/>
      <x:c r="AE88" s="8"/>
      <x:c r="AF88" s="8"/>
      <x:c r="AG88" s="8"/>
      <x:c r="AH88" s="8"/>
      <x:c r="AI88" s="8"/>
      <x:c r="AJ88" s="8"/>
      <x:c r="AK88" s="8"/>
      <x:c r="AL88" s="8"/>
      <x:c r="AM88" s="8"/>
      <x:c r="AN88" s="8"/>
      <x:c r="AO88" s="8"/>
      <x:c r="AP88" s="8"/>
      <x:c r="AQ88" s="8"/>
      <x:c r="AR88" s="8"/>
      <x:c r="AS88" s="8"/>
      <x:c r="AT88" s="8"/>
      <x:c r="AU88" s="8"/>
      <x:c r="AV88" s="8" t="n">
        <x:v>0</x:v>
      </x:c>
      <x:c r="AW88" s="8" t="n">
        <x:v>68.766</x:v>
      </x:c>
      <x:c r="AX88" s="8" t="n">
        <x:v>0</x:v>
      </x:c>
      <x:c r="AY88" s="8" t="n">
        <x:v>74.496</x:v>
      </x:c>
      <x:c r="AZ88" s="8"/>
      <x:c r="BA88" s="8"/>
      <x:c r="BB88" s="8" t="str">
        <x:f>LET(m,MIN(IF(D88&gt;0,D88,1E+99),IF(F88&gt;0,F88,1E+99),IF(H88&gt;0,H88,1E+99),IF(J88&gt;0,J88,1E+99),IF(L88&gt;0,L88,1E+99),IF(N88&gt;0,N88,1E+99),IF(P88&gt;0,P88,1E+99),IF(R88&gt;0,R88,1E+99),IF(T88&gt;0,T88,1E+99),IF(V88&gt;0,V88,1E+99),IF(X88&gt;0,X88,1E+99),IF(Z88&gt;0,Z88,1E+99),IF(AB88&gt;0,AB88,1E+99),IF(AD88&gt;0,AD88,1E+99),IF(AF88&gt;0,AF88,1E+99),IF(AH88&gt;0,AH88,1E+99),IF(AJ88&gt;0,AJ88,1E+99),IF(AL88&gt;0,AL88,1E+99),IF(AN88&gt;0,AN88,1E+99),IF(AP88&gt;0,AP88,1E+99),IF(AR88&gt;0,AR88,1E+99),IF(AT88&gt;0,AT88,1E+99),IF(AV88&gt;0,AV88,1E+99),IF(AX88&gt;0,AX88,1E+99),IF(AZ88&gt;0,AZ88,1E+99)),IF(m=1E+99,"",m))</x:f>
      </x:c>
      <x:c r="BC88" s="12" t="str">
        <x:f>IF(BB88="","",INDEX({"v1.4.20","v1.4.20","v1.4.21","v1.4.21","v1.4.23","v1.4.23","v1.4.26","v1.4.26","v1.4.26.1","v1.4.26.1","v1.4.27","v1.4.27","v1.4.29","v1.4.29","v1.4.30","v1.4.30","v1.4.31","v1.4.31","v1.4.33","v1.4.33","v1.4.35","v1.4.35.2","v1.5","v1.5.1","v1.5.1"},MATCH(BB88,CHOOSE({1,2,3,4,5,6,7,8,9,10,11,12,13,14,15,16,17,18,19,20,21,22,23,24,25},D88,F88,H88,J88,L88,N88,P88,R88,T88,V88,X88,Z88,AB88,AD88,AF88,AH88,AJ88,AL88,AN88,AP88,AR88,AT88,AV88,AX88,AZ88),0)))</x:f>
      </x:c>
      <x:c r="BD88" s="14" t="n">
        <x:f>LET(m,MIN(IF(E88&gt;0,E88,1E+99),IF(G88&gt;0,G88,1E+99),IF(I88&gt;0,I88,1E+99),IF(K88&gt;0,K88,1E+99),IF(M88&gt;0,M88,1E+99),IF(O88&gt;0,O88,1E+99),IF(Q88&gt;0,Q88,1E+99),IF(S88&gt;0,S88,1E+99),IF(U88&gt;0,U88,1E+99),IF(W88&gt;0,W88,1E+99),IF(Y88&gt;0,Y88,1E+99),IF(AA88&gt;0,AA88,1E+99),IF(AC88&gt;0,AC88,1E+99),IF(AE88&gt;0,AE88,1E+99),IF(AG88&gt;0,AG88,1E+99),IF(AI88&gt;0,AI88,1E+99),IF(AK88&gt;0,AK88,1E+99),IF(AM88&gt;0,AM88,1E+99),IF(AO88&gt;0,AO88,1E+99),IF(AQ88&gt;0,AQ88,1E+99),IF(AS88&gt;0,AS88,1E+99),IF(AU88&gt;0,AU88,1E+99),IF(AW88&gt;0,AW88,1E+99),IF(AY88&gt;0,AY88,1E+99),IF(BA88&gt;0,BA88,1E+99)),IF(m=1E+99,"",m))</x:f>
        <x:v>68.766</x:v>
      </x:c>
      <x:c r="BE88" s="16" t="e">
        <x:f>IF(BD88="","",INDEX({"v1.4.20","v1.4.20","v1.4.21","v1.4.21","v1.4.23","v1.4.23","v1.4.26","v1.4.26","v1.4.26.1","v1.4.26.1","v1.4.27","v1.4.27","v1.4.29","v1.4.29","v1.4.30","v1.4.30","v1.4.31","v1.4.31","v1.4.33","v1.4.33","v1.4.35","v1.4.35.2","v1.5","v1.5.1","v1.5.1"},MATCH(BD88,CHOOSE({1,2,3,4,5,6,7,8,9,10,11,12,13,14,15,16,17,18,19,20,21,22,23,24,25},E88,G88,I88,K88,M88,O88,Q88,S88,U88,W88,Y88,AA88,AC88,AE88,AG88,AI88,AK88,AM88,AO88,AQ88,AS88,AU88,AW88,AY88,BA88),0)))</x:f>
      </x:c>
      <x:c r="BF88" s="10" t="str">
        <x:f>IFERROR((AX88-BB88)/BB88,"")</x:f>
      </x:c>
      <x:c r="BG88" s="10" t="n">
        <x:f>IFERROR((AY88-BD88)/BD88,"")</x:f>
        <x:v>0.08332606229822861</x:v>
      </x:c>
    </x:row>
    <x:row r="89">
      <x:c r="A89" t="str">
        <x:v>Care Plan Due</x:v>
      </x:c>
      <x:c r="B89" t="str">
        <x:v>Create / Refresh All Templates</x:v>
      </x:c>
      <x:c r="C89" t="str">
        <x:v>Apply full template formatting: Template - Care Plan Due</x:v>
      </x:c>
      <x:c r="D89" s="8" t="n">
        <x:v>0</x:v>
      </x:c>
      <x:c r="E89" s="8" t="n">
        <x:v>52.577</x:v>
      </x:c>
      <x:c r="F89" s="8"/>
      <x:c r="G89" s="8"/>
      <x:c r="H89" s="8" t="n">
        <x:v>0</x:v>
      </x:c>
      <x:c r="I89" s="8" t="n">
        <x:v>75.822</x:v>
      </x:c>
      <x:c r="J89" s="8"/>
      <x:c r="K89" s="8"/>
      <x:c r="L89" s="8"/>
      <x:c r="M89" s="8"/>
      <x:c r="N89" s="8"/>
      <x:c r="O89" s="8"/>
      <x:c r="P89" s="8" t="n">
        <x:v>0</x:v>
      </x:c>
      <x:c r="Q89" s="8" t="n">
        <x:v>43.412</x:v>
      </x:c>
      <x:c r="R89" s="8" t="n">
        <x:v>0</x:v>
      </x:c>
      <x:c r="S89" s="8" t="n">
        <x:v>43.412</x:v>
      </x:c>
      <x:c r="T89" s="8"/>
      <x:c r="U89" s="8"/>
      <x:c r="V89" s="8" t="n">
        <x:v>0</x:v>
      </x:c>
      <x:c r="W89" s="8" t="n">
        <x:v>59.536</x:v>
      </x:c>
      <x:c r="X89" s="8" t="n">
        <x:v>0</x:v>
      </x:c>
      <x:c r="Y89" s="8" t="n">
        <x:v>82.474</x:v>
      </x:c>
      <x:c r="Z89" s="8" t="n">
        <x:v>0</x:v>
      </x:c>
      <x:c r="AA89" s="8" t="n">
        <x:v>82.474</x:v>
      </x:c>
      <x:c r="AB89" s="8" t="n">
        <x:v>0</x:v>
      </x:c>
      <x:c r="AC89" s="8" t="n">
        <x:v>79.577</x:v>
      </x:c>
      <x:c r="AD89" s="8" t="n">
        <x:v>0</x:v>
      </x:c>
      <x:c r="AE89" s="8" t="n">
        <x:v>79.577</x:v>
      </x:c>
      <x:c r="AF89" s="8" t="n">
        <x:v>0</x:v>
      </x:c>
      <x:c r="AG89" s="8" t="n">
        <x:v>83.078</x:v>
      </x:c>
      <x:c r="AH89" s="8"/>
      <x:c r="AI89" s="8"/>
      <x:c r="AJ89" s="8" t="n">
        <x:v>0</x:v>
      </x:c>
      <x:c r="AK89" s="8" t="n">
        <x:v>59.1</x:v>
      </x:c>
      <x:c r="AL89" s="8" t="n">
        <x:v>0</x:v>
      </x:c>
      <x:c r="AM89" s="8" t="n">
        <x:v>59.1</x:v>
      </x:c>
      <x:c r="AN89" s="8" t="n">
        <x:v>0</x:v>
      </x:c>
      <x:c r="AO89" s="8" t="n">
        <x:v>61.953</x:v>
      </x:c>
      <x:c r="AP89" s="8"/>
      <x:c r="AQ89" s="8"/>
      <x:c r="AR89" s="8" t="n">
        <x:v>0</x:v>
      </x:c>
      <x:c r="AS89" s="8" t="n">
        <x:v>85.683</x:v>
      </x:c>
      <x:c r="AT89" s="8" t="n">
        <x:v>0</x:v>
      </x:c>
      <x:c r="AU89" s="8" t="n">
        <x:v>62.165</x:v>
      </x:c>
      <x:c r="AV89" s="8" t="n">
        <x:v>0</x:v>
      </x:c>
      <x:c r="AW89" s="8" t="n">
        <x:v>68.766</x:v>
      </x:c>
      <x:c r="AX89" s="8" t="n">
        <x:v>0</x:v>
      </x:c>
      <x:c r="AY89" s="8" t="n">
        <x:v>74.496</x:v>
      </x:c>
      <x:c r="AZ89" s="8"/>
      <x:c r="BA89" s="8"/>
      <x:c r="BB89" s="8" t="str">
        <x:f>LET(m,MIN(IF(D89&gt;0,D89,1E+99),IF(F89&gt;0,F89,1E+99),IF(H89&gt;0,H89,1E+99),IF(J89&gt;0,J89,1E+99),IF(L89&gt;0,L89,1E+99),IF(N89&gt;0,N89,1E+99),IF(P89&gt;0,P89,1E+99),IF(R89&gt;0,R89,1E+99),IF(T89&gt;0,T89,1E+99),IF(V89&gt;0,V89,1E+99),IF(X89&gt;0,X89,1E+99),IF(Z89&gt;0,Z89,1E+99),IF(AB89&gt;0,AB89,1E+99),IF(AD89&gt;0,AD89,1E+99),IF(AF89&gt;0,AF89,1E+99),IF(AH89&gt;0,AH89,1E+99),IF(AJ89&gt;0,AJ89,1E+99),IF(AL89&gt;0,AL89,1E+99),IF(AN89&gt;0,AN89,1E+99),IF(AP89&gt;0,AP89,1E+99),IF(AR89&gt;0,AR89,1E+99),IF(AT89&gt;0,AT89,1E+99),IF(AV89&gt;0,AV89,1E+99),IF(AX89&gt;0,AX89,1E+99),IF(AZ89&gt;0,AZ89,1E+99)),IF(m=1E+99,"",m))</x:f>
      </x:c>
      <x:c r="BC89" s="12" t="str">
        <x:f>IF(BB89="","",INDEX({"v1.4.20","v1.4.20","v1.4.21","v1.4.21","v1.4.23","v1.4.23","v1.4.26","v1.4.26","v1.4.26.1","v1.4.26.1","v1.4.27","v1.4.27","v1.4.29","v1.4.29","v1.4.30","v1.4.30","v1.4.31","v1.4.31","v1.4.33","v1.4.33","v1.4.35","v1.4.35.2","v1.5","v1.5.1","v1.5.1"},MATCH(BB89,CHOOSE({1,2,3,4,5,6,7,8,9,10,11,12,13,14,15,16,17,18,19,20,21,22,23,24,25},D89,F89,H89,J89,L89,N89,P89,R89,T89,V89,X89,Z89,AB89,AD89,AF89,AH89,AJ89,AL89,AN89,AP89,AR89,AT89,AV89,AX89,AZ89),0)))</x:f>
      </x:c>
      <x:c r="BD89" s="14" t="n">
        <x:f>LET(m,MIN(IF(E89&gt;0,E89,1E+99),IF(G89&gt;0,G89,1E+99),IF(I89&gt;0,I89,1E+99),IF(K89&gt;0,K89,1E+99),IF(M89&gt;0,M89,1E+99),IF(O89&gt;0,O89,1E+99),IF(Q89&gt;0,Q89,1E+99),IF(S89&gt;0,S89,1E+99),IF(U89&gt;0,U89,1E+99),IF(W89&gt;0,W89,1E+99),IF(Y89&gt;0,Y89,1E+99),IF(AA89&gt;0,AA89,1E+99),IF(AC89&gt;0,AC89,1E+99),IF(AE89&gt;0,AE89,1E+99),IF(AG89&gt;0,AG89,1E+99),IF(AI89&gt;0,AI89,1E+99),IF(AK89&gt;0,AK89,1E+99),IF(AM89&gt;0,AM89,1E+99),IF(AO89&gt;0,AO89,1E+99),IF(AQ89&gt;0,AQ89,1E+99),IF(AS89&gt;0,AS89,1E+99),IF(AU89&gt;0,AU89,1E+99),IF(AW89&gt;0,AW89,1E+99),IF(AY89&gt;0,AY89,1E+99),IF(BA89&gt;0,BA89,1E+99)),IF(m=1E+99,"",m))</x:f>
        <x:v>43.412</x:v>
      </x:c>
      <x:c r="BE89" s="16" t="e">
        <x:f>IF(BD89="","",INDEX({"v1.4.20","v1.4.20","v1.4.21","v1.4.21","v1.4.23","v1.4.23","v1.4.26","v1.4.26","v1.4.26.1","v1.4.26.1","v1.4.27","v1.4.27","v1.4.29","v1.4.29","v1.4.30","v1.4.30","v1.4.31","v1.4.31","v1.4.33","v1.4.33","v1.4.35","v1.4.35.2","v1.5","v1.5.1","v1.5.1"},MATCH(BD89,CHOOSE({1,2,3,4,5,6,7,8,9,10,11,12,13,14,15,16,17,18,19,20,21,22,23,24,25},E89,G89,I89,K89,M89,O89,Q89,S89,U89,W89,Y89,AA89,AC89,AE89,AG89,AI89,AK89,AM89,AO89,AQ89,AS89,AU89,AW89,AY89,BA89),0)))</x:f>
      </x:c>
      <x:c r="BF89" s="10" t="str">
        <x:f>IFERROR((AX89-BB89)/BB89,"")</x:f>
      </x:c>
      <x:c r="BG89" s="10" t="n">
        <x:f>IFERROR((AY89-BD89)/BD89,"")</x:f>
        <x:v>0.7160232193863447</x:v>
      </x:c>
    </x:row>
    <x:row r="90">
      <x:c r="A90" t="str">
        <x:v>Care Plan Due</x:v>
      </x:c>
      <x:c r="B90" t="str">
        <x:v>Create / Refresh All Templates</x:v>
      </x:c>
      <x:c r="C90" t="str">
        <x:v>Write metadata/signature: Template - Care Plan Due</x:v>
      </x:c>
      <x:c r="D90" s="8" t="n">
        <x:v>0.16</x:v>
      </x:c>
      <x:c r="E90" s="8" t="n">
        <x:v>52.737</x:v>
      </x:c>
      <x:c r="F90" s="8"/>
      <x:c r="G90" s="8"/>
      <x:c r="H90" s="8" t="n">
        <x:v>0.079</x:v>
      </x:c>
      <x:c r="I90" s="8" t="n">
        <x:v>75.901</x:v>
      </x:c>
      <x:c r="J90" s="8"/>
      <x:c r="K90" s="8"/>
      <x:c r="L90" s="8"/>
      <x:c r="M90" s="8"/>
      <x:c r="N90" s="8" t="n">
        <x:v>0.078</x:v>
      </x:c>
      <x:c r="O90" s="8" t="n">
        <x:v>67.36</x:v>
      </x:c>
      <x:c r="P90" s="8" t="n">
        <x:v>0.063</x:v>
      </x:c>
      <x:c r="Q90" s="8" t="n">
        <x:v>43.475</x:v>
      </x:c>
      <x:c r="R90" s="8" t="n">
        <x:v>0.063</x:v>
      </x:c>
      <x:c r="S90" s="8" t="n">
        <x:v>43.475</x:v>
      </x:c>
      <x:c r="T90" s="8"/>
      <x:c r="U90" s="8"/>
      <x:c r="V90" s="8" t="n">
        <x:v>0.34</x:v>
      </x:c>
      <x:c r="W90" s="8" t="n">
        <x:v>59.876</x:v>
      </x:c>
      <x:c r="X90" s="8" t="n">
        <x:v>0.152</x:v>
      </x:c>
      <x:c r="Y90" s="8" t="n">
        <x:v>82.626</x:v>
      </x:c>
      <x:c r="Z90" s="8" t="n">
        <x:v>0.152</x:v>
      </x:c>
      <x:c r="AA90" s="8" t="n">
        <x:v>82.626</x:v>
      </x:c>
      <x:c r="AB90" s="8" t="n">
        <x:v>0.076</x:v>
      </x:c>
      <x:c r="AC90" s="8" t="n">
        <x:v>79.653</x:v>
      </x:c>
      <x:c r="AD90" s="8" t="n">
        <x:v>0.076</x:v>
      </x:c>
      <x:c r="AE90" s="8" t="n">
        <x:v>79.653</x:v>
      </x:c>
      <x:c r="AF90" s="8" t="n">
        <x:v>0.118</x:v>
      </x:c>
      <x:c r="AG90" s="8" t="n">
        <x:v>83.196</x:v>
      </x:c>
      <x:c r="AH90" s="8"/>
      <x:c r="AI90" s="8"/>
      <x:c r="AJ90" s="8" t="n">
        <x:v>0.068</x:v>
      </x:c>
      <x:c r="AK90" s="8" t="n">
        <x:v>59.168</x:v>
      </x:c>
      <x:c r="AL90" s="8" t="n">
        <x:v>0.068</x:v>
      </x:c>
      <x:c r="AM90" s="8" t="n">
        <x:v>59.168</x:v>
      </x:c>
      <x:c r="AN90" s="8" t="n">
        <x:v>0.128</x:v>
      </x:c>
      <x:c r="AO90" s="8" t="n">
        <x:v>62.081</x:v>
      </x:c>
      <x:c r="AP90" s="8"/>
      <x:c r="AQ90" s="8"/>
      <x:c r="AR90" s="8" t="n">
        <x:v>0.139</x:v>
      </x:c>
      <x:c r="AS90" s="8" t="n">
        <x:v>85.822</x:v>
      </x:c>
      <x:c r="AT90" s="8" t="n">
        <x:v>0.073</x:v>
      </x:c>
      <x:c r="AU90" s="8" t="n">
        <x:v>62.238</x:v>
      </x:c>
      <x:c r="AV90" s="8" t="n">
        <x:v>0.066</x:v>
      </x:c>
      <x:c r="AW90" s="8" t="n">
        <x:v>68.832</x:v>
      </x:c>
      <x:c r="AX90" s="8" t="n">
        <x:v>0.144</x:v>
      </x:c>
      <x:c r="AY90" s="8" t="n">
        <x:v>74.64</x:v>
      </x:c>
      <x:c r="AZ90" s="8"/>
      <x:c r="BA90" s="8"/>
      <x:c r="BB90" s="8" t="n">
        <x:f>LET(m,MIN(IF(D90&gt;0,D90,1E+99),IF(F90&gt;0,F90,1E+99),IF(H90&gt;0,H90,1E+99),IF(J90&gt;0,J90,1E+99),IF(L90&gt;0,L90,1E+99),IF(N90&gt;0,N90,1E+99),IF(P90&gt;0,P90,1E+99),IF(R90&gt;0,R90,1E+99),IF(T90&gt;0,T90,1E+99),IF(V90&gt;0,V90,1E+99),IF(X90&gt;0,X90,1E+99),IF(Z90&gt;0,Z90,1E+99),IF(AB90&gt;0,AB90,1E+99),IF(AD90&gt;0,AD90,1E+99),IF(AF90&gt;0,AF90,1E+99),IF(AH90&gt;0,AH90,1E+99),IF(AJ90&gt;0,AJ90,1E+99),IF(AL90&gt;0,AL90,1E+99),IF(AN90&gt;0,AN90,1E+99),IF(AP90&gt;0,AP90,1E+99),IF(AR90&gt;0,AR90,1E+99),IF(AT90&gt;0,AT90,1E+99),IF(AV90&gt;0,AV90,1E+99),IF(AX90&gt;0,AX90,1E+99),IF(AZ90&gt;0,AZ90,1E+99)),IF(m=1E+99,"",m))</x:f>
        <x:v>0.063</x:v>
      </x:c>
      <x:c r="BC90" s="12" t="e">
        <x:f>IF(BB90="","",INDEX({"v1.4.20","v1.4.20","v1.4.21","v1.4.21","v1.4.23","v1.4.23","v1.4.26","v1.4.26","v1.4.26.1","v1.4.26.1","v1.4.27","v1.4.27","v1.4.29","v1.4.29","v1.4.30","v1.4.30","v1.4.31","v1.4.31","v1.4.33","v1.4.33","v1.4.35","v1.4.35.2","v1.5","v1.5.1","v1.5.1"},MATCH(BB90,CHOOSE({1,2,3,4,5,6,7,8,9,10,11,12,13,14,15,16,17,18,19,20,21,22,23,24,25},D90,F90,H90,J90,L90,N90,P90,R90,T90,V90,X90,Z90,AB90,AD90,AF90,AH90,AJ90,AL90,AN90,AP90,AR90,AT90,AV90,AX90,AZ90),0)))</x:f>
      </x:c>
      <x:c r="BD90" s="14" t="n">
        <x:f>LET(m,MIN(IF(E90&gt;0,E90,1E+99),IF(G90&gt;0,G90,1E+99),IF(I90&gt;0,I90,1E+99),IF(K90&gt;0,K90,1E+99),IF(M90&gt;0,M90,1E+99),IF(O90&gt;0,O90,1E+99),IF(Q90&gt;0,Q90,1E+99),IF(S90&gt;0,S90,1E+99),IF(U90&gt;0,U90,1E+99),IF(W90&gt;0,W90,1E+99),IF(Y90&gt;0,Y90,1E+99),IF(AA90&gt;0,AA90,1E+99),IF(AC90&gt;0,AC90,1E+99),IF(AE90&gt;0,AE90,1E+99),IF(AG90&gt;0,AG90,1E+99),IF(AI90&gt;0,AI90,1E+99),IF(AK90&gt;0,AK90,1E+99),IF(AM90&gt;0,AM90,1E+99),IF(AO90&gt;0,AO90,1E+99),IF(AQ90&gt;0,AQ90,1E+99),IF(AS90&gt;0,AS90,1E+99),IF(AU90&gt;0,AU90,1E+99),IF(AW90&gt;0,AW90,1E+99),IF(AY90&gt;0,AY90,1E+99),IF(BA90&gt;0,BA90,1E+99)),IF(m=1E+99,"",m))</x:f>
        <x:v>43.475</x:v>
      </x:c>
      <x:c r="BE90" s="16" t="e">
        <x:f>IF(BD90="","",INDEX({"v1.4.20","v1.4.20","v1.4.21","v1.4.21","v1.4.23","v1.4.23","v1.4.26","v1.4.26","v1.4.26.1","v1.4.26.1","v1.4.27","v1.4.27","v1.4.29","v1.4.29","v1.4.30","v1.4.30","v1.4.31","v1.4.31","v1.4.33","v1.4.33","v1.4.35","v1.4.35.2","v1.5","v1.5.1","v1.5.1"},MATCH(BD90,CHOOSE({1,2,3,4,5,6,7,8,9,10,11,12,13,14,15,16,17,18,19,20,21,22,23,24,25},E90,G90,I90,K90,M90,O90,Q90,S90,U90,W90,Y90,AA90,AC90,AE90,AG90,AI90,AK90,AM90,AO90,AQ90,AS90,AU90,AW90,AY90,BA90),0)))</x:f>
      </x:c>
      <x:c r="BF90" s="10" t="n">
        <x:f>IFERROR((AX90-BB90)/BB90,"")</x:f>
        <x:v>1.2857142857142856</x:v>
      </x:c>
      <x:c r="BG90" s="10" t="n">
        <x:f>IFERROR((AY90-BD90)/BD90,"")</x:f>
        <x:v>0.7168487636572742</x:v>
      </x:c>
    </x:row>
    <x:row r="91">
      <x:c r="A91" t="str">
        <x:v>Care Plan Due</x:v>
      </x:c>
      <x:c r="B91" t="str">
        <x:v>Create / Refresh All Templates</x:v>
      </x:c>
      <x:c r="C91" t="str">
        <x:v>Ensure frozen rows: Template - Care Plan Due</x:v>
      </x:c>
      <x:c r="D91" s="8" t="n">
        <x:v>0.941</x:v>
      </x:c>
      <x:c r="E91" s="8" t="n">
        <x:v>53.678</x:v>
      </x:c>
      <x:c r="F91" s="8"/>
      <x:c r="G91" s="8"/>
      <x:c r="H91" s="8" t="n">
        <x:v>0.928</x:v>
      </x:c>
      <x:c r="I91" s="8" t="n">
        <x:v>76.829</x:v>
      </x:c>
      <x:c r="J91" s="8"/>
      <x:c r="K91" s="8"/>
      <x:c r="L91" s="8"/>
      <x:c r="M91" s="8"/>
      <x:c r="N91" s="8" t="n">
        <x:v>1.616</x:v>
      </x:c>
      <x:c r="O91" s="8" t="n">
        <x:v>68.976</x:v>
      </x:c>
      <x:c r="P91" s="8" t="n">
        <x:v>0.755</x:v>
      </x:c>
      <x:c r="Q91" s="8" t="n">
        <x:v>44.23</x:v>
      </x:c>
      <x:c r="R91" s="8" t="n">
        <x:v>0.755</x:v>
      </x:c>
      <x:c r="S91" s="8" t="n">
        <x:v>44.23</x:v>
      </x:c>
      <x:c r="T91" s="8"/>
      <x:c r="U91" s="8"/>
      <x:c r="V91" s="8" t="n">
        <x:v>0.148</x:v>
      </x:c>
      <x:c r="W91" s="8" t="n">
        <x:v>60.024</x:v>
      </x:c>
      <x:c r="X91" s="8" t="n">
        <x:v>1.551</x:v>
      </x:c>
      <x:c r="Y91" s="8" t="n">
        <x:v>84.177</x:v>
      </x:c>
      <x:c r="Z91" s="8" t="n">
        <x:v>1.551</x:v>
      </x:c>
      <x:c r="AA91" s="8" t="n">
        <x:v>84.177</x:v>
      </x:c>
      <x:c r="AB91" s="8" t="n">
        <x:v>0.306</x:v>
      </x:c>
      <x:c r="AC91" s="8" t="n">
        <x:v>79.959</x:v>
      </x:c>
      <x:c r="AD91" s="8" t="n">
        <x:v>0.306</x:v>
      </x:c>
      <x:c r="AE91" s="8" t="n">
        <x:v>79.959</x:v>
      </x:c>
      <x:c r="AF91" s="8" t="n">
        <x:v>0.081</x:v>
      </x:c>
      <x:c r="AG91" s="8" t="n">
        <x:v>83.277</x:v>
      </x:c>
      <x:c r="AH91" s="8"/>
      <x:c r="AI91" s="8"/>
      <x:c r="AJ91" s="8" t="n">
        <x:v>0.266</x:v>
      </x:c>
      <x:c r="AK91" s="8" t="n">
        <x:v>59.434</x:v>
      </x:c>
      <x:c r="AL91" s="8" t="n">
        <x:v>0.266</x:v>
      </x:c>
      <x:c r="AM91" s="8" t="n">
        <x:v>59.434</x:v>
      </x:c>
      <x:c r="AN91" s="8" t="n">
        <x:v>0.138</x:v>
      </x:c>
      <x:c r="AO91" s="8" t="n">
        <x:v>62.219</x:v>
      </x:c>
      <x:c r="AP91" s="8"/>
      <x:c r="AQ91" s="8"/>
      <x:c r="AR91" s="8" t="n">
        <x:v>1.49</x:v>
      </x:c>
      <x:c r="AS91" s="8" t="n">
        <x:v>87.312</x:v>
      </x:c>
      <x:c r="AT91" s="8" t="n">
        <x:v>0.989</x:v>
      </x:c>
      <x:c r="AU91" s="8" t="n">
        <x:v>63.227</x:v>
      </x:c>
      <x:c r="AV91" s="8" t="n">
        <x:v>1.195</x:v>
      </x:c>
      <x:c r="AW91" s="8" t="n">
        <x:v>70.027</x:v>
      </x:c>
      <x:c r="AX91" s="8" t="n">
        <x:v>1.419</x:v>
      </x:c>
      <x:c r="AY91" s="8" t="n">
        <x:v>76.059</x:v>
      </x:c>
      <x:c r="AZ91" s="8"/>
      <x:c r="BA91" s="8"/>
      <x:c r="BB91" s="8" t="n">
        <x:f>LET(m,MIN(IF(D91&gt;0,D91,1E+99),IF(F91&gt;0,F91,1E+99),IF(H91&gt;0,H91,1E+99),IF(J91&gt;0,J91,1E+99),IF(L91&gt;0,L91,1E+99),IF(N91&gt;0,N91,1E+99),IF(P91&gt;0,P91,1E+99),IF(R91&gt;0,R91,1E+99),IF(T91&gt;0,T91,1E+99),IF(V91&gt;0,V91,1E+99),IF(X91&gt;0,X91,1E+99),IF(Z91&gt;0,Z91,1E+99),IF(AB91&gt;0,AB91,1E+99),IF(AD91&gt;0,AD91,1E+99),IF(AF91&gt;0,AF91,1E+99),IF(AH91&gt;0,AH91,1E+99),IF(AJ91&gt;0,AJ91,1E+99),IF(AL91&gt;0,AL91,1E+99),IF(AN91&gt;0,AN91,1E+99),IF(AP91&gt;0,AP91,1E+99),IF(AR91&gt;0,AR91,1E+99),IF(AT91&gt;0,AT91,1E+99),IF(AV91&gt;0,AV91,1E+99),IF(AX91&gt;0,AX91,1E+99),IF(AZ91&gt;0,AZ91,1E+99)),IF(m=1E+99,"",m))</x:f>
        <x:v>0.081</x:v>
      </x:c>
      <x:c r="BC91" s="12" t="e">
        <x:f>IF(BB91="","",INDEX({"v1.4.20","v1.4.20","v1.4.21","v1.4.21","v1.4.23","v1.4.23","v1.4.26","v1.4.26","v1.4.26.1","v1.4.26.1","v1.4.27","v1.4.27","v1.4.29","v1.4.29","v1.4.30","v1.4.30","v1.4.31","v1.4.31","v1.4.33","v1.4.33","v1.4.35","v1.4.35.2","v1.5","v1.5.1","v1.5.1"},MATCH(BB91,CHOOSE({1,2,3,4,5,6,7,8,9,10,11,12,13,14,15,16,17,18,19,20,21,22,23,24,25},D91,F91,H91,J91,L91,N91,P91,R91,T91,V91,X91,Z91,AB91,AD91,AF91,AH91,AJ91,AL91,AN91,AP91,AR91,AT91,AV91,AX91,AZ91),0)))</x:f>
      </x:c>
      <x:c r="BD91" s="14" t="n">
        <x:f>LET(m,MIN(IF(E91&gt;0,E91,1E+99),IF(G91&gt;0,G91,1E+99),IF(I91&gt;0,I91,1E+99),IF(K91&gt;0,K91,1E+99),IF(M91&gt;0,M91,1E+99),IF(O91&gt;0,O91,1E+99),IF(Q91&gt;0,Q91,1E+99),IF(S91&gt;0,S91,1E+99),IF(U91&gt;0,U91,1E+99),IF(W91&gt;0,W91,1E+99),IF(Y91&gt;0,Y91,1E+99),IF(AA91&gt;0,AA91,1E+99),IF(AC91&gt;0,AC91,1E+99),IF(AE91&gt;0,AE91,1E+99),IF(AG91&gt;0,AG91,1E+99),IF(AI91&gt;0,AI91,1E+99),IF(AK91&gt;0,AK91,1E+99),IF(AM91&gt;0,AM91,1E+99),IF(AO91&gt;0,AO91,1E+99),IF(AQ91&gt;0,AQ91,1E+99),IF(AS91&gt;0,AS91,1E+99),IF(AU91&gt;0,AU91,1E+99),IF(AW91&gt;0,AW91,1E+99),IF(AY91&gt;0,AY91,1E+99),IF(BA91&gt;0,BA91,1E+99)),IF(m=1E+99,"",m))</x:f>
        <x:v>44.23</x:v>
      </x:c>
      <x:c r="BE91" s="16" t="e">
        <x:f>IF(BD91="","",INDEX({"v1.4.20","v1.4.20","v1.4.21","v1.4.21","v1.4.23","v1.4.23","v1.4.26","v1.4.26","v1.4.26.1","v1.4.26.1","v1.4.27","v1.4.27","v1.4.29","v1.4.29","v1.4.30","v1.4.30","v1.4.31","v1.4.31","v1.4.33","v1.4.33","v1.4.35","v1.4.35.2","v1.5","v1.5.1","v1.5.1"},MATCH(BD91,CHOOSE({1,2,3,4,5,6,7,8,9,10,11,12,13,14,15,16,17,18,19,20,21,22,23,24,25},E91,G91,I91,K91,M91,O91,Q91,S91,U91,W91,Y91,AA91,AC91,AE91,AG91,AI91,AK91,AM91,AO91,AQ91,AS91,AU91,AW91,AY91,BA91),0)))</x:f>
      </x:c>
      <x:c r="BF91" s="10" t="n">
        <x:f>IFERROR((AX91-BB91)/BB91,"")</x:f>
        <x:v>16.51851851851852</x:v>
      </x:c>
      <x:c r="BG91" s="10" t="n">
        <x:f>IFERROR((AY91-BD91)/BD91,"")</x:f>
        <x:v>0.7196246891250283</x:v>
      </x:c>
    </x:row>
    <x:row r="92">
      <x:c r="A92" t="str">
        <x:v>Care Plan Due</x:v>
      </x:c>
      <x:c r="B92" t="str">
        <x:v>Create / Refresh All Templates</x:v>
      </x:c>
      <x:c r="C92" t="str">
        <x:v>Ensure frozen columns: Template - Care Plan Due</x:v>
      </x:c>
      <x:c r="D92" s="8" t="n">
        <x:v>0.56</x:v>
      </x:c>
      <x:c r="E92" s="8" t="n">
        <x:v>54.238</x:v>
      </x:c>
      <x:c r="F92" s="8"/>
      <x:c r="G92" s="8"/>
      <x:c r="H92" s="8" t="n">
        <x:v>0.52</x:v>
      </x:c>
      <x:c r="I92" s="8" t="n">
        <x:v>77.349</x:v>
      </x:c>
      <x:c r="J92" s="8"/>
      <x:c r="K92" s="8"/>
      <x:c r="L92" s="8"/>
      <x:c r="M92" s="8"/>
      <x:c r="N92" s="8" t="n">
        <x:v>0.194</x:v>
      </x:c>
      <x:c r="O92" s="8" t="n">
        <x:v>69.17</x:v>
      </x:c>
      <x:c r="P92" s="8" t="n">
        <x:v>0.422</x:v>
      </x:c>
      <x:c r="Q92" s="8" t="n">
        <x:v>44.652</x:v>
      </x:c>
      <x:c r="R92" s="8" t="n">
        <x:v>0.422</x:v>
      </x:c>
      <x:c r="S92" s="8" t="n">
        <x:v>44.652</x:v>
      </x:c>
      <x:c r="T92" s="8"/>
      <x:c r="U92" s="8"/>
      <x:c r="V92" s="8" t="n">
        <x:v>0.467</x:v>
      </x:c>
      <x:c r="W92" s="8" t="n">
        <x:v>60.491</x:v>
      </x:c>
      <x:c r="X92" s="8" t="n">
        <x:v>0.811</x:v>
      </x:c>
      <x:c r="Y92" s="8" t="n">
        <x:v>84.988</x:v>
      </x:c>
      <x:c r="Z92" s="8" t="n">
        <x:v>0.811</x:v>
      </x:c>
      <x:c r="AA92" s="8" t="n">
        <x:v>84.988</x:v>
      </x:c>
      <x:c r="AB92" s="8" t="n">
        <x:v>0.731</x:v>
      </x:c>
      <x:c r="AC92" s="8" t="n">
        <x:v>80.69</x:v>
      </x:c>
      <x:c r="AD92" s="8" t="n">
        <x:v>0.731</x:v>
      </x:c>
      <x:c r="AE92" s="8" t="n">
        <x:v>80.69</x:v>
      </x:c>
      <x:c r="AF92" s="8" t="n">
        <x:v>0.749</x:v>
      </x:c>
      <x:c r="AG92" s="8" t="n">
        <x:v>84.026</x:v>
      </x:c>
      <x:c r="AH92" s="8"/>
      <x:c r="AI92" s="8"/>
      <x:c r="AJ92" s="8" t="n">
        <x:v>0.982</x:v>
      </x:c>
      <x:c r="AK92" s="8" t="n">
        <x:v>60.416</x:v>
      </x:c>
      <x:c r="AL92" s="8" t="n">
        <x:v>0.982</x:v>
      </x:c>
      <x:c r="AM92" s="8" t="n">
        <x:v>60.416</x:v>
      </x:c>
      <x:c r="AN92" s="8" t="n">
        <x:v>0.528</x:v>
      </x:c>
      <x:c r="AO92" s="8" t="n">
        <x:v>62.747</x:v>
      </x:c>
      <x:c r="AP92" s="8"/>
      <x:c r="AQ92" s="8"/>
      <x:c r="AR92" s="8" t="n">
        <x:v>0.724</x:v>
      </x:c>
      <x:c r="AS92" s="8" t="n">
        <x:v>88.036</x:v>
      </x:c>
      <x:c r="AT92" s="8" t="n">
        <x:v>0.486</x:v>
      </x:c>
      <x:c r="AU92" s="8" t="n">
        <x:v>63.713</x:v>
      </x:c>
      <x:c r="AV92" s="8" t="n">
        <x:v>0.701</x:v>
      </x:c>
      <x:c r="AW92" s="8" t="n">
        <x:v>70.728</x:v>
      </x:c>
      <x:c r="AX92" s="8" t="n">
        <x:v>0.798</x:v>
      </x:c>
      <x:c r="AY92" s="8" t="n">
        <x:v>76.857</x:v>
      </x:c>
      <x:c r="AZ92" s="8"/>
      <x:c r="BA92" s="8"/>
      <x:c r="BB92" s="8" t="n">
        <x:f>LET(m,MIN(IF(D92&gt;0,D92,1E+99),IF(F92&gt;0,F92,1E+99),IF(H92&gt;0,H92,1E+99),IF(J92&gt;0,J92,1E+99),IF(L92&gt;0,L92,1E+99),IF(N92&gt;0,N92,1E+99),IF(P92&gt;0,P92,1E+99),IF(R92&gt;0,R92,1E+99),IF(T92&gt;0,T92,1E+99),IF(V92&gt;0,V92,1E+99),IF(X92&gt;0,X92,1E+99),IF(Z92&gt;0,Z92,1E+99),IF(AB92&gt;0,AB92,1E+99),IF(AD92&gt;0,AD92,1E+99),IF(AF92&gt;0,AF92,1E+99),IF(AH92&gt;0,AH92,1E+99),IF(AJ92&gt;0,AJ92,1E+99),IF(AL92&gt;0,AL92,1E+99),IF(AN92&gt;0,AN92,1E+99),IF(AP92&gt;0,AP92,1E+99),IF(AR92&gt;0,AR92,1E+99),IF(AT92&gt;0,AT92,1E+99),IF(AV92&gt;0,AV92,1E+99),IF(AX92&gt;0,AX92,1E+99),IF(AZ92&gt;0,AZ92,1E+99)),IF(m=1E+99,"",m))</x:f>
        <x:v>0.194</x:v>
      </x:c>
      <x:c r="BC92" s="12" t="e">
        <x:f>IF(BB92="","",INDEX({"v1.4.20","v1.4.20","v1.4.21","v1.4.21","v1.4.23","v1.4.23","v1.4.26","v1.4.26","v1.4.26.1","v1.4.26.1","v1.4.27","v1.4.27","v1.4.29","v1.4.29","v1.4.30","v1.4.30","v1.4.31","v1.4.31","v1.4.33","v1.4.33","v1.4.35","v1.4.35.2","v1.5","v1.5.1","v1.5.1"},MATCH(BB92,CHOOSE({1,2,3,4,5,6,7,8,9,10,11,12,13,14,15,16,17,18,19,20,21,22,23,24,25},D92,F92,H92,J92,L92,N92,P92,R92,T92,V92,X92,Z92,AB92,AD92,AF92,AH92,AJ92,AL92,AN92,AP92,AR92,AT92,AV92,AX92,AZ92),0)))</x:f>
      </x:c>
      <x:c r="BD92" s="14" t="n">
        <x:f>LET(m,MIN(IF(E92&gt;0,E92,1E+99),IF(G92&gt;0,G92,1E+99),IF(I92&gt;0,I92,1E+99),IF(K92&gt;0,K92,1E+99),IF(M92&gt;0,M92,1E+99),IF(O92&gt;0,O92,1E+99),IF(Q92&gt;0,Q92,1E+99),IF(S92&gt;0,S92,1E+99),IF(U92&gt;0,U92,1E+99),IF(W92&gt;0,W92,1E+99),IF(Y92&gt;0,Y92,1E+99),IF(AA92&gt;0,AA92,1E+99),IF(AC92&gt;0,AC92,1E+99),IF(AE92&gt;0,AE92,1E+99),IF(AG92&gt;0,AG92,1E+99),IF(AI92&gt;0,AI92,1E+99),IF(AK92&gt;0,AK92,1E+99),IF(AM92&gt;0,AM92,1E+99),IF(AO92&gt;0,AO92,1E+99),IF(AQ92&gt;0,AQ92,1E+99),IF(AS92&gt;0,AS92,1E+99),IF(AU92&gt;0,AU92,1E+99),IF(AW92&gt;0,AW92,1E+99),IF(AY92&gt;0,AY92,1E+99),IF(BA92&gt;0,BA92,1E+99)),IF(m=1E+99,"",m))</x:f>
        <x:v>44.652</x:v>
      </x:c>
      <x:c r="BE92" s="16" t="e">
        <x:f>IF(BD92="","",INDEX({"v1.4.20","v1.4.20","v1.4.21","v1.4.21","v1.4.23","v1.4.23","v1.4.26","v1.4.26","v1.4.26.1","v1.4.26.1","v1.4.27","v1.4.27","v1.4.29","v1.4.29","v1.4.30","v1.4.30","v1.4.31","v1.4.31","v1.4.33","v1.4.33","v1.4.35","v1.4.35.2","v1.5","v1.5.1","v1.5.1"},MATCH(BD92,CHOOSE({1,2,3,4,5,6,7,8,9,10,11,12,13,14,15,16,17,18,19,20,21,22,23,24,25},E92,G92,I92,K92,M92,O92,Q92,S92,U92,W92,Y92,AA92,AC92,AE92,AG92,AI92,AK92,AM92,AO92,AQ92,AS92,AU92,AW92,AY92,BA92),0)))</x:f>
      </x:c>
      <x:c r="BF92" s="10" t="n">
        <x:f>IFERROR((AX92-BB92)/BB92,"")</x:f>
        <x:v>3.1134020618556706</x:v>
      </x:c>
      <x:c r="BG92" s="10" t="n">
        <x:f>IFERROR((AY92-BD92)/BD92,"")</x:f>
        <x:v>0.7212442891695781</x:v>
      </x:c>
    </x:row>
    <x:row r="93">
      <x:c r="A93" t="str">
        <x:v>Care Plan Due</x:v>
      </x:c>
      <x:c r="B93" t="str">
        <x:v>Create / Refresh All Templates</x:v>
      </x:c>
      <x:c r="C93" t="str">
        <x:v>Ensure tab color: Template - Care Plan Due</x:v>
      </x:c>
      <x:c r="D93" s="8" t="n">
        <x:v>0.534</x:v>
      </x:c>
      <x:c r="E93" s="8" t="n">
        <x:v>54.772</x:v>
      </x:c>
      <x:c r="F93" s="8" t="n">
        <x:v>0.534</x:v>
      </x:c>
      <x:c r="G93" s="8" t="n">
        <x:v>54.772</x:v>
      </x:c>
      <x:c r="H93" s="8" t="n">
        <x:v>0.556</x:v>
      </x:c>
      <x:c r="I93" s="8" t="n">
        <x:v>77.905</x:v>
      </x:c>
      <x:c r="J93" s="8"/>
      <x:c r="K93" s="8"/>
      <x:c r="L93" s="8"/>
      <x:c r="M93" s="8"/>
      <x:c r="N93" s="8" t="n">
        <x:v>0.593</x:v>
      </x:c>
      <x:c r="O93" s="8" t="n">
        <x:v>69.763</x:v>
      </x:c>
      <x:c r="P93" s="8" t="n">
        <x:v>0.452</x:v>
      </x:c>
      <x:c r="Q93" s="8" t="n">
        <x:v>45.104</x:v>
      </x:c>
      <x:c r="R93" s="8" t="n">
        <x:v>0.452</x:v>
      </x:c>
      <x:c r="S93" s="8" t="n">
        <x:v>45.104</x:v>
      </x:c>
      <x:c r="T93" s="8"/>
      <x:c r="U93" s="8"/>
      <x:c r="V93" s="8" t="n">
        <x:v>0.526</x:v>
      </x:c>
      <x:c r="W93" s="8" t="n">
        <x:v>61.017</x:v>
      </x:c>
      <x:c r="X93" s="8" t="n">
        <x:v>0.758</x:v>
      </x:c>
      <x:c r="Y93" s="8" t="n">
        <x:v>85.746</x:v>
      </x:c>
      <x:c r="Z93" s="8" t="n">
        <x:v>0.758</x:v>
      </x:c>
      <x:c r="AA93" s="8" t="n">
        <x:v>85.746</x:v>
      </x:c>
      <x:c r="AB93" s="8" t="n">
        <x:v>0.635</x:v>
      </x:c>
      <x:c r="AC93" s="8" t="n">
        <x:v>81.325</x:v>
      </x:c>
      <x:c r="AD93" s="8" t="n">
        <x:v>0.635</x:v>
      </x:c>
      <x:c r="AE93" s="8" t="n">
        <x:v>81.325</x:v>
      </x:c>
      <x:c r="AF93" s="8" t="n">
        <x:v>0.693</x:v>
      </x:c>
      <x:c r="AG93" s="8" t="n">
        <x:v>84.719</x:v>
      </x:c>
      <x:c r="AH93" s="8"/>
      <x:c r="AI93" s="8"/>
      <x:c r="AJ93" s="8" t="n">
        <x:v>0.81</x:v>
      </x:c>
      <x:c r="AK93" s="8" t="n">
        <x:v>61.226</x:v>
      </x:c>
      <x:c r="AL93" s="8" t="n">
        <x:v>0.81</x:v>
      </x:c>
      <x:c r="AM93" s="8" t="n">
        <x:v>61.226</x:v>
      </x:c>
      <x:c r="AN93" s="8" t="n">
        <x:v>0.57</x:v>
      </x:c>
      <x:c r="AO93" s="8" t="n">
        <x:v>63.317</x:v>
      </x:c>
      <x:c r="AP93" s="8"/>
      <x:c r="AQ93" s="8"/>
      <x:c r="AR93" s="8" t="n">
        <x:v>0.705</x:v>
      </x:c>
      <x:c r="AS93" s="8" t="n">
        <x:v>88.741</x:v>
      </x:c>
      <x:c r="AT93" s="8" t="n">
        <x:v>0.493</x:v>
      </x:c>
      <x:c r="AU93" s="8" t="n">
        <x:v>64.206</x:v>
      </x:c>
      <x:c r="AV93" s="8" t="n">
        <x:v>0.733</x:v>
      </x:c>
      <x:c r="AW93" s="8" t="n">
        <x:v>71.461</x:v>
      </x:c>
      <x:c r="AX93" s="8" t="n">
        <x:v>0.801</x:v>
      </x:c>
      <x:c r="AY93" s="8" t="n">
        <x:v>77.658</x:v>
      </x:c>
      <x:c r="AZ93" s="8"/>
      <x:c r="BA93" s="8"/>
      <x:c r="BB93" s="8" t="n">
        <x:f>LET(m,MIN(IF(D93&gt;0,D93,1E+99),IF(F93&gt;0,F93,1E+99),IF(H93&gt;0,H93,1E+99),IF(J93&gt;0,J93,1E+99),IF(L93&gt;0,L93,1E+99),IF(N93&gt;0,N93,1E+99),IF(P93&gt;0,P93,1E+99),IF(R93&gt;0,R93,1E+99),IF(T93&gt;0,T93,1E+99),IF(V93&gt;0,V93,1E+99),IF(X93&gt;0,X93,1E+99),IF(Z93&gt;0,Z93,1E+99),IF(AB93&gt;0,AB93,1E+99),IF(AD93&gt;0,AD93,1E+99),IF(AF93&gt;0,AF93,1E+99),IF(AH93&gt;0,AH93,1E+99),IF(AJ93&gt;0,AJ93,1E+99),IF(AL93&gt;0,AL93,1E+99),IF(AN93&gt;0,AN93,1E+99),IF(AP93&gt;0,AP93,1E+99),IF(AR93&gt;0,AR93,1E+99),IF(AT93&gt;0,AT93,1E+99),IF(AV93&gt;0,AV93,1E+99),IF(AX93&gt;0,AX93,1E+99),IF(AZ93&gt;0,AZ93,1E+99)),IF(m=1E+99,"",m))</x:f>
        <x:v>0.452</x:v>
      </x:c>
      <x:c r="BC93" s="12" t="e">
        <x:f>IF(BB93="","",INDEX({"v1.4.20","v1.4.20","v1.4.21","v1.4.21","v1.4.23","v1.4.23","v1.4.26","v1.4.26","v1.4.26.1","v1.4.26.1","v1.4.27","v1.4.27","v1.4.29","v1.4.29","v1.4.30","v1.4.30","v1.4.31","v1.4.31","v1.4.33","v1.4.33","v1.4.35","v1.4.35.2","v1.5","v1.5.1","v1.5.1"},MATCH(BB93,CHOOSE({1,2,3,4,5,6,7,8,9,10,11,12,13,14,15,16,17,18,19,20,21,22,23,24,25},D93,F93,H93,J93,L93,N93,P93,R93,T93,V93,X93,Z93,AB93,AD93,AF93,AH93,AJ93,AL93,AN93,AP93,AR93,AT93,AV93,AX93,AZ93),0)))</x:f>
      </x:c>
      <x:c r="BD93" s="14" t="n">
        <x:f>LET(m,MIN(IF(E93&gt;0,E93,1E+99),IF(G93&gt;0,G93,1E+99),IF(I93&gt;0,I93,1E+99),IF(K93&gt;0,K93,1E+99),IF(M93&gt;0,M93,1E+99),IF(O93&gt;0,O93,1E+99),IF(Q93&gt;0,Q93,1E+99),IF(S93&gt;0,S93,1E+99),IF(U93&gt;0,U93,1E+99),IF(W93&gt;0,W93,1E+99),IF(Y93&gt;0,Y93,1E+99),IF(AA93&gt;0,AA93,1E+99),IF(AC93&gt;0,AC93,1E+99),IF(AE93&gt;0,AE93,1E+99),IF(AG93&gt;0,AG93,1E+99),IF(AI93&gt;0,AI93,1E+99),IF(AK93&gt;0,AK93,1E+99),IF(AM93&gt;0,AM93,1E+99),IF(AO93&gt;0,AO93,1E+99),IF(AQ93&gt;0,AQ93,1E+99),IF(AS93&gt;0,AS93,1E+99),IF(AU93&gt;0,AU93,1E+99),IF(AW93&gt;0,AW93,1E+99),IF(AY93&gt;0,AY93,1E+99),IF(BA93&gt;0,BA93,1E+99)),IF(m=1E+99,"",m))</x:f>
        <x:v>45.104</x:v>
      </x:c>
      <x:c r="BE93" s="16" t="e">
        <x:f>IF(BD93="","",INDEX({"v1.4.20","v1.4.20","v1.4.21","v1.4.21","v1.4.23","v1.4.23","v1.4.26","v1.4.26","v1.4.26.1","v1.4.26.1","v1.4.27","v1.4.27","v1.4.29","v1.4.29","v1.4.30","v1.4.30","v1.4.31","v1.4.31","v1.4.33","v1.4.33","v1.4.35","v1.4.35.2","v1.5","v1.5.1","v1.5.1"},MATCH(BD93,CHOOSE({1,2,3,4,5,6,7,8,9,10,11,12,13,14,15,16,17,18,19,20,21,22,23,24,25},E93,G93,I93,K93,M93,O93,Q93,S93,U93,W93,Y93,AA93,AC93,AE93,AG93,AI93,AK93,AM93,AO93,AQ93,AS93,AU93,AW93,AY93,BA93),0)))</x:f>
      </x:c>
      <x:c r="BF93" s="10" t="n">
        <x:f>IFERROR((AX93-BB93)/BB93,"")</x:f>
        <x:v>0.7721238938053098</x:v>
      </x:c>
      <x:c r="BG93" s="10" t="n">
        <x:f>IFERROR((AY93-BD93)/BD93,"")</x:f>
        <x:v>0.7217541681447323</x:v>
      </x:c>
    </x:row>
    <x:row r="94">
      <x:c r="A94" t="str">
        <x:v>Care Plan Due</x:v>
      </x:c>
      <x:c r="B94" t="str">
        <x:v>Create / Refresh All Templates</x:v>
      </x:c>
      <x:c r="C94" t="str">
        <x:v>Final date/number format enforcement: Template - Care Plan Due</x:v>
      </x:c>
      <x:c r="D94" s="8" t="n">
        <x:v>0.941</x:v>
      </x:c>
      <x:c r="E94" s="8" t="n">
        <x:v>55.713</x:v>
      </x:c>
      <x:c r="F94" s="8" t="n">
        <x:v>0.941</x:v>
      </x:c>
      <x:c r="G94" s="8" t="n">
        <x:v>55.713</x:v>
      </x:c>
      <x:c r="H94" s="8" t="n">
        <x:v>0.582</x:v>
      </x:c>
      <x:c r="I94" s="8" t="n">
        <x:v>78.487</x:v>
      </x:c>
      <x:c r="J94" s="8"/>
      <x:c r="K94" s="8"/>
      <x:c r="L94" s="8"/>
      <x:c r="M94" s="8"/>
      <x:c r="N94" s="8" t="n">
        <x:v>1.486</x:v>
      </x:c>
      <x:c r="O94" s="8" t="n">
        <x:v>71.249</x:v>
      </x:c>
      <x:c r="P94" s="8" t="n">
        <x:v>0.5</x:v>
      </x:c>
      <x:c r="Q94" s="8" t="n">
        <x:v>45.604</x:v>
      </x:c>
      <x:c r="R94" s="8" t="n">
        <x:v>0.5</x:v>
      </x:c>
      <x:c r="S94" s="8" t="n">
        <x:v>45.604</x:v>
      </x:c>
      <x:c r="T94" s="8"/>
      <x:c r="U94" s="8"/>
      <x:c r="V94" s="8" t="n">
        <x:v>0.663</x:v>
      </x:c>
      <x:c r="W94" s="8" t="n">
        <x:v>61.68</x:v>
      </x:c>
      <x:c r="X94" s="8" t="n">
        <x:v>0.848</x:v>
      </x:c>
      <x:c r="Y94" s="8" t="n">
        <x:v>86.594</x:v>
      </x:c>
      <x:c r="Z94" s="8" t="n">
        <x:v>0.848</x:v>
      </x:c>
      <x:c r="AA94" s="8" t="n">
        <x:v>86.594</x:v>
      </x:c>
      <x:c r="AB94" s="8" t="n">
        <x:v>0.66</x:v>
      </x:c>
      <x:c r="AC94" s="8" t="n">
        <x:v>81.985</x:v>
      </x:c>
      <x:c r="AD94" s="8" t="n">
        <x:v>0.66</x:v>
      </x:c>
      <x:c r="AE94" s="8" t="n">
        <x:v>81.985</x:v>
      </x:c>
      <x:c r="AF94" s="8" t="n">
        <x:v>0.76</x:v>
      </x:c>
      <x:c r="AG94" s="8" t="n">
        <x:v>85.479</x:v>
      </x:c>
      <x:c r="AH94" s="8"/>
      <x:c r="AI94" s="8"/>
      <x:c r="AJ94" s="8" t="n">
        <x:v>0.898</x:v>
      </x:c>
      <x:c r="AK94" s="8" t="n">
        <x:v>62.124</x:v>
      </x:c>
      <x:c r="AL94" s="8" t="n">
        <x:v>0.898</x:v>
      </x:c>
      <x:c r="AM94" s="8" t="n">
        <x:v>62.124</x:v>
      </x:c>
      <x:c r="AN94" s="8" t="n">
        <x:v>0.65</x:v>
      </x:c>
      <x:c r="AO94" s="8" t="n">
        <x:v>63.967</x:v>
      </x:c>
      <x:c r="AP94" s="8"/>
      <x:c r="AQ94" s="8"/>
      <x:c r="AR94" s="8" t="n">
        <x:v>0.848</x:v>
      </x:c>
      <x:c r="AS94" s="8" t="n">
        <x:v>89.589</x:v>
      </x:c>
      <x:c r="AT94" s="8" t="n">
        <x:v>0.674</x:v>
      </x:c>
      <x:c r="AU94" s="8" t="n">
        <x:v>64.88</x:v>
      </x:c>
      <x:c r="AV94" s="8" t="n">
        <x:v>0.72</x:v>
      </x:c>
      <x:c r="AW94" s="8" t="n">
        <x:v>72.181</x:v>
      </x:c>
      <x:c r="AX94" s="8" t="n">
        <x:v>0.975</x:v>
      </x:c>
      <x:c r="AY94" s="8" t="n">
        <x:v>78.633</x:v>
      </x:c>
      <x:c r="AZ94" s="8"/>
      <x:c r="BA94" s="8"/>
      <x:c r="BB94" s="8" t="n">
        <x:f>LET(m,MIN(IF(D94&gt;0,D94,1E+99),IF(F94&gt;0,F94,1E+99),IF(H94&gt;0,H94,1E+99),IF(J94&gt;0,J94,1E+99),IF(L94&gt;0,L94,1E+99),IF(N94&gt;0,N94,1E+99),IF(P94&gt;0,P94,1E+99),IF(R94&gt;0,R94,1E+99),IF(T94&gt;0,T94,1E+99),IF(V94&gt;0,V94,1E+99),IF(X94&gt;0,X94,1E+99),IF(Z94&gt;0,Z94,1E+99),IF(AB94&gt;0,AB94,1E+99),IF(AD94&gt;0,AD94,1E+99),IF(AF94&gt;0,AF94,1E+99),IF(AH94&gt;0,AH94,1E+99),IF(AJ94&gt;0,AJ94,1E+99),IF(AL94&gt;0,AL94,1E+99),IF(AN94&gt;0,AN94,1E+99),IF(AP94&gt;0,AP94,1E+99),IF(AR94&gt;0,AR94,1E+99),IF(AT94&gt;0,AT94,1E+99),IF(AV94&gt;0,AV94,1E+99),IF(AX94&gt;0,AX94,1E+99),IF(AZ94&gt;0,AZ94,1E+99)),IF(m=1E+99,"",m))</x:f>
        <x:v>0.5</x:v>
      </x:c>
      <x:c r="BC94" s="12" t="e">
        <x:f>IF(BB94="","",INDEX({"v1.4.20","v1.4.20","v1.4.21","v1.4.21","v1.4.23","v1.4.23","v1.4.26","v1.4.26","v1.4.26.1","v1.4.26.1","v1.4.27","v1.4.27","v1.4.29","v1.4.29","v1.4.30","v1.4.30","v1.4.31","v1.4.31","v1.4.33","v1.4.33","v1.4.35","v1.4.35.2","v1.5","v1.5.1","v1.5.1"},MATCH(BB94,CHOOSE({1,2,3,4,5,6,7,8,9,10,11,12,13,14,15,16,17,18,19,20,21,22,23,24,25},D94,F94,H94,J94,L94,N94,P94,R94,T94,V94,X94,Z94,AB94,AD94,AF94,AH94,AJ94,AL94,AN94,AP94,AR94,AT94,AV94,AX94,AZ94),0)))</x:f>
      </x:c>
      <x:c r="BD94" s="14" t="n">
        <x:f>LET(m,MIN(IF(E94&gt;0,E94,1E+99),IF(G94&gt;0,G94,1E+99),IF(I94&gt;0,I94,1E+99),IF(K94&gt;0,K94,1E+99),IF(M94&gt;0,M94,1E+99),IF(O94&gt;0,O94,1E+99),IF(Q94&gt;0,Q94,1E+99),IF(S94&gt;0,S94,1E+99),IF(U94&gt;0,U94,1E+99),IF(W94&gt;0,W94,1E+99),IF(Y94&gt;0,Y94,1E+99),IF(AA94&gt;0,AA94,1E+99),IF(AC94&gt;0,AC94,1E+99),IF(AE94&gt;0,AE94,1E+99),IF(AG94&gt;0,AG94,1E+99),IF(AI94&gt;0,AI94,1E+99),IF(AK94&gt;0,AK94,1E+99),IF(AM94&gt;0,AM94,1E+99),IF(AO94&gt;0,AO94,1E+99),IF(AQ94&gt;0,AQ94,1E+99),IF(AS94&gt;0,AS94,1E+99),IF(AU94&gt;0,AU94,1E+99),IF(AW94&gt;0,AW94,1E+99),IF(AY94&gt;0,AY94,1E+99),IF(BA94&gt;0,BA94,1E+99)),IF(m=1E+99,"",m))</x:f>
        <x:v>45.604</x:v>
      </x:c>
      <x:c r="BE94" s="16" t="e">
        <x:f>IF(BD94="","",INDEX({"v1.4.20","v1.4.20","v1.4.21","v1.4.21","v1.4.23","v1.4.23","v1.4.26","v1.4.26","v1.4.26.1","v1.4.26.1","v1.4.27","v1.4.27","v1.4.29","v1.4.29","v1.4.30","v1.4.30","v1.4.31","v1.4.31","v1.4.33","v1.4.33","v1.4.35","v1.4.35.2","v1.5","v1.5.1","v1.5.1"},MATCH(BD94,CHOOSE({1,2,3,4,5,6,7,8,9,10,11,12,13,14,15,16,17,18,19,20,21,22,23,24,25},E94,G94,I94,K94,M94,O94,Q94,S94,U94,W94,Y94,AA94,AC94,AE94,AG94,AI94,AK94,AM94,AO94,AQ94,AS94,AU94,AW94,AY94,BA94),0)))</x:f>
      </x:c>
      <x:c r="BF94" s="10" t="n">
        <x:f>IFERROR((AX94-BB94)/BB94,"")</x:f>
        <x:v>0.95</x:v>
      </x:c>
      <x:c r="BG94" s="10" t="n">
        <x:f>IFERROR((AY94-BD94)/BD94,"")</x:f>
        <x:v>0.7242566441540215</x:v>
      </x:c>
    </x:row>
    <x:row r="95">
      <x:c r="A95" t="str">
        <x:v>Care Plan Due</x:v>
      </x:c>
      <x:c r="B95" t="str">
        <x:v>Create / Refresh All Templates</x:v>
      </x:c>
      <x:c r="C95" t="str">
        <x:v>Hide template: Template - Care Plan Due</x:v>
      </x:c>
      <x:c r="D95" s="8" t="n">
        <x:v>1.258</x:v>
      </x:c>
      <x:c r="E95" s="8" t="n">
        <x:v>56.971</x:v>
      </x:c>
      <x:c r="F95" s="8" t="n">
        <x:v>1.258</x:v>
      </x:c>
      <x:c r="G95" s="8" t="n">
        <x:v>56.971</x:v>
      </x:c>
      <x:c r="H95" s="8" t="n">
        <x:v>1.322</x:v>
      </x:c>
      <x:c r="I95" s="8" t="n">
        <x:v>79.809</x:v>
      </x:c>
      <x:c r="J95" s="8"/>
      <x:c r="K95" s="8"/>
      <x:c r="L95" s="8"/>
      <x:c r="M95" s="8"/>
      <x:c r="N95" s="8" t="n">
        <x:v>1.208</x:v>
      </x:c>
      <x:c r="O95" s="8" t="n">
        <x:v>72.457</x:v>
      </x:c>
      <x:c r="P95" s="8" t="n">
        <x:v>0.964</x:v>
      </x:c>
      <x:c r="Q95" s="8" t="n">
        <x:v>46.568</x:v>
      </x:c>
      <x:c r="R95" s="8" t="n">
        <x:v>0.964</x:v>
      </x:c>
      <x:c r="S95" s="8" t="n">
        <x:v>46.568</x:v>
      </x:c>
      <x:c r="T95" s="8"/>
      <x:c r="U95" s="8"/>
      <x:c r="V95" s="8" t="n">
        <x:v>1.145</x:v>
      </x:c>
      <x:c r="W95" s="8" t="n">
        <x:v>62.825</x:v>
      </x:c>
      <x:c r="X95" s="8" t="n">
        <x:v>1.821</x:v>
      </x:c>
      <x:c r="Y95" s="8" t="n">
        <x:v>88.415</x:v>
      </x:c>
      <x:c r="Z95" s="8" t="n">
        <x:v>1.821</x:v>
      </x:c>
      <x:c r="AA95" s="8" t="n">
        <x:v>88.415</x:v>
      </x:c>
      <x:c r="AB95" s="8" t="n">
        <x:v>2.634</x:v>
      </x:c>
      <x:c r="AC95" s="8" t="n">
        <x:v>84.619</x:v>
      </x:c>
      <x:c r="AD95" s="8" t="n">
        <x:v>2.634</x:v>
      </x:c>
      <x:c r="AE95" s="8" t="n">
        <x:v>84.619</x:v>
      </x:c>
      <x:c r="AF95" s="8" t="n">
        <x:v>1.939</x:v>
      </x:c>
      <x:c r="AG95" s="8" t="n">
        <x:v>87.418</x:v>
      </x:c>
      <x:c r="AH95" s="8"/>
      <x:c r="AI95" s="8"/>
      <x:c r="AJ95" s="8" t="n">
        <x:v>2.226</x:v>
      </x:c>
      <x:c r="AK95" s="8" t="n">
        <x:v>64.35</x:v>
      </x:c>
      <x:c r="AL95" s="8" t="n">
        <x:v>2.226</x:v>
      </x:c>
      <x:c r="AM95" s="8" t="n">
        <x:v>64.35</x:v>
      </x:c>
      <x:c r="AN95" s="8" t="n">
        <x:v>1.149</x:v>
      </x:c>
      <x:c r="AO95" s="8" t="n">
        <x:v>65.116</x:v>
      </x:c>
      <x:c r="AP95" s="8"/>
      <x:c r="AQ95" s="8"/>
      <x:c r="AR95" s="8" t="n">
        <x:v>1.904</x:v>
      </x:c>
      <x:c r="AS95" s="8" t="n">
        <x:v>91.493</x:v>
      </x:c>
      <x:c r="AT95" s="8" t="n">
        <x:v>1.283</x:v>
      </x:c>
      <x:c r="AU95" s="8" t="n">
        <x:v>66.163</x:v>
      </x:c>
      <x:c r="AV95" s="8" t="n">
        <x:v>2.66</x:v>
      </x:c>
      <x:c r="AW95" s="8" t="n">
        <x:v>74.841</x:v>
      </x:c>
      <x:c r="AX95" s="8" t="n">
        <x:v>1.739</x:v>
      </x:c>
      <x:c r="AY95" s="8" t="n">
        <x:v>80.372</x:v>
      </x:c>
      <x:c r="AZ95" s="8"/>
      <x:c r="BA95" s="8"/>
      <x:c r="BB95" s="8" t="n">
        <x:f>LET(m,MIN(IF(D95&gt;0,D95,1E+99),IF(F95&gt;0,F95,1E+99),IF(H95&gt;0,H95,1E+99),IF(J95&gt;0,J95,1E+99),IF(L95&gt;0,L95,1E+99),IF(N95&gt;0,N95,1E+99),IF(P95&gt;0,P95,1E+99),IF(R95&gt;0,R95,1E+99),IF(T95&gt;0,T95,1E+99),IF(V95&gt;0,V95,1E+99),IF(X95&gt;0,X95,1E+99),IF(Z95&gt;0,Z95,1E+99),IF(AB95&gt;0,AB95,1E+99),IF(AD95&gt;0,AD95,1E+99),IF(AF95&gt;0,AF95,1E+99),IF(AH95&gt;0,AH95,1E+99),IF(AJ95&gt;0,AJ95,1E+99),IF(AL95&gt;0,AL95,1E+99),IF(AN95&gt;0,AN95,1E+99),IF(AP95&gt;0,AP95,1E+99),IF(AR95&gt;0,AR95,1E+99),IF(AT95&gt;0,AT95,1E+99),IF(AV95&gt;0,AV95,1E+99),IF(AX95&gt;0,AX95,1E+99),IF(AZ95&gt;0,AZ95,1E+99)),IF(m=1E+99,"",m))</x:f>
        <x:v>0.964</x:v>
      </x:c>
      <x:c r="BC95" s="12" t="e">
        <x:f>IF(BB95="","",INDEX({"v1.4.20","v1.4.20","v1.4.21","v1.4.21","v1.4.23","v1.4.23","v1.4.26","v1.4.26","v1.4.26.1","v1.4.26.1","v1.4.27","v1.4.27","v1.4.29","v1.4.29","v1.4.30","v1.4.30","v1.4.31","v1.4.31","v1.4.33","v1.4.33","v1.4.35","v1.4.35.2","v1.5","v1.5.1","v1.5.1"},MATCH(BB95,CHOOSE({1,2,3,4,5,6,7,8,9,10,11,12,13,14,15,16,17,18,19,20,21,22,23,24,25},D95,F95,H95,J95,L95,N95,P95,R95,T95,V95,X95,Z95,AB95,AD95,AF95,AH95,AJ95,AL95,AN95,AP95,AR95,AT95,AV95,AX95,AZ95),0)))</x:f>
      </x:c>
      <x:c r="BD95" s="14" t="n">
        <x:f>LET(m,MIN(IF(E95&gt;0,E95,1E+99),IF(G95&gt;0,G95,1E+99),IF(I95&gt;0,I95,1E+99),IF(K95&gt;0,K95,1E+99),IF(M95&gt;0,M95,1E+99),IF(O95&gt;0,O95,1E+99),IF(Q95&gt;0,Q95,1E+99),IF(S95&gt;0,S95,1E+99),IF(U95&gt;0,U95,1E+99),IF(W95&gt;0,W95,1E+99),IF(Y95&gt;0,Y95,1E+99),IF(AA95&gt;0,AA95,1E+99),IF(AC95&gt;0,AC95,1E+99),IF(AE95&gt;0,AE95,1E+99),IF(AG95&gt;0,AG95,1E+99),IF(AI95&gt;0,AI95,1E+99),IF(AK95&gt;0,AK95,1E+99),IF(AM95&gt;0,AM95,1E+99),IF(AO95&gt;0,AO95,1E+99),IF(AQ95&gt;0,AQ95,1E+99),IF(AS95&gt;0,AS95,1E+99),IF(AU95&gt;0,AU95,1E+99),IF(AW95&gt;0,AW95,1E+99),IF(AY95&gt;0,AY95,1E+99),IF(BA95&gt;0,BA95,1E+99)),IF(m=1E+99,"",m))</x:f>
        <x:v>46.568</x:v>
      </x:c>
      <x:c r="BE95" s="16" t="e">
        <x:f>IF(BD95="","",INDEX({"v1.4.20","v1.4.20","v1.4.21","v1.4.21","v1.4.23","v1.4.23","v1.4.26","v1.4.26","v1.4.26.1","v1.4.26.1","v1.4.27","v1.4.27","v1.4.29","v1.4.29","v1.4.30","v1.4.30","v1.4.31","v1.4.31","v1.4.33","v1.4.33","v1.4.35","v1.4.35.2","v1.5","v1.5.1","v1.5.1"},MATCH(BD95,CHOOSE({1,2,3,4,5,6,7,8,9,10,11,12,13,14,15,16,17,18,19,20,21,22,23,24,25},E95,G95,I95,K95,M95,O95,Q95,S95,U95,W95,Y95,AA95,AC95,AE95,AG95,AI95,AK95,AM95,AO95,AQ95,AS95,AU95,AW95,AY95,BA95),0)))</x:f>
      </x:c>
      <x:c r="BF95" s="10" t="n">
        <x:f>IFERROR((AX95-BB95)/BB95,"")</x:f>
        <x:v>0.8039419087136931</x:v>
      </x:c>
      <x:c r="BG95" s="10" t="n">
        <x:f>IFERROR((AY95-BD95)/BD95,"")</x:f>
        <x:v>0.7259062016835596</x:v>
      </x:c>
    </x:row>
    <x:row r="96">
      <x:c r="A96" t="str">
        <x:v>Care Plan Due</x:v>
      </x:c>
      <x:c r="B96" t="str">
        <x:v>Create / Refresh All Templates</x:v>
      </x:c>
      <x:c r="C96" t="str">
        <x:v>Complete full template build: Template - Care Plan Due</x:v>
      </x:c>
      <x:c r="D96" s="8" t="n">
        <x:v>0</x:v>
      </x:c>
      <x:c r="E96" s="8" t="n">
        <x:v>56.971</x:v>
      </x:c>
      <x:c r="F96" s="8" t="n">
        <x:v>0</x:v>
      </x:c>
      <x:c r="G96" s="8" t="n">
        <x:v>56.971</x:v>
      </x:c>
      <x:c r="H96" s="8" t="n">
        <x:v>0</x:v>
      </x:c>
      <x:c r="I96" s="8" t="n">
        <x:v>79.809</x:v>
      </x:c>
      <x:c r="J96" s="8"/>
      <x:c r="K96" s="8"/>
      <x:c r="L96" s="8"/>
      <x:c r="M96" s="8"/>
      <x:c r="N96" s="8" t="n">
        <x:v>0</x:v>
      </x:c>
      <x:c r="O96" s="8" t="n">
        <x:v>72.457</x:v>
      </x:c>
      <x:c r="P96" s="8" t="n">
        <x:v>0</x:v>
      </x:c>
      <x:c r="Q96" s="8" t="n">
        <x:v>46.568</x:v>
      </x:c>
      <x:c r="R96" s="8" t="n">
        <x:v>0</x:v>
      </x:c>
      <x:c r="S96" s="8" t="n">
        <x:v>46.568</x:v>
      </x:c>
      <x:c r="T96" s="8"/>
      <x:c r="U96" s="8"/>
      <x:c r="V96" s="8" t="n">
        <x:v>0</x:v>
      </x:c>
      <x:c r="W96" s="8" t="n">
        <x:v>62.825</x:v>
      </x:c>
      <x:c r="X96" s="8" t="n">
        <x:v>0</x:v>
      </x:c>
      <x:c r="Y96" s="8" t="n">
        <x:v>88.415</x:v>
      </x:c>
      <x:c r="Z96" s="8" t="n">
        <x:v>0</x:v>
      </x:c>
      <x:c r="AA96" s="8" t="n">
        <x:v>88.415</x:v>
      </x:c>
      <x:c r="AB96" s="8" t="n">
        <x:v>0</x:v>
      </x:c>
      <x:c r="AC96" s="8" t="n">
        <x:v>84.619</x:v>
      </x:c>
      <x:c r="AD96" s="8" t="n">
        <x:v>0</x:v>
      </x:c>
      <x:c r="AE96" s="8" t="n">
        <x:v>84.619</x:v>
      </x:c>
      <x:c r="AF96" s="8" t="n">
        <x:v>0</x:v>
      </x:c>
      <x:c r="AG96" s="8" t="n">
        <x:v>87.418</x:v>
      </x:c>
      <x:c r="AH96" s="8"/>
      <x:c r="AI96" s="8"/>
      <x:c r="AJ96" s="8" t="n">
        <x:v>0</x:v>
      </x:c>
      <x:c r="AK96" s="8" t="n">
        <x:v>64.35</x:v>
      </x:c>
      <x:c r="AL96" s="8" t="n">
        <x:v>0</x:v>
      </x:c>
      <x:c r="AM96" s="8" t="n">
        <x:v>64.35</x:v>
      </x:c>
      <x:c r="AN96" s="8" t="n">
        <x:v>0</x:v>
      </x:c>
      <x:c r="AO96" s="8" t="n">
        <x:v>65.116</x:v>
      </x:c>
      <x:c r="AP96" s="8"/>
      <x:c r="AQ96" s="8"/>
      <x:c r="AR96" s="8" t="n">
        <x:v>0</x:v>
      </x:c>
      <x:c r="AS96" s="8" t="n">
        <x:v>91.493</x:v>
      </x:c>
      <x:c r="AT96" s="8" t="n">
        <x:v>0</x:v>
      </x:c>
      <x:c r="AU96" s="8" t="n">
        <x:v>66.163</x:v>
      </x:c>
      <x:c r="AV96" s="8" t="n">
        <x:v>0</x:v>
      </x:c>
      <x:c r="AW96" s="8" t="n">
        <x:v>74.841</x:v>
      </x:c>
      <x:c r="AX96" s="8" t="n">
        <x:v>0</x:v>
      </x:c>
      <x:c r="AY96" s="8" t="n">
        <x:v>80.372</x:v>
      </x:c>
      <x:c r="AZ96" s="8"/>
      <x:c r="BA96" s="8"/>
      <x:c r="BB96" s="8" t="str">
        <x:f>LET(m,MIN(IF(D96&gt;0,D96,1E+99),IF(F96&gt;0,F96,1E+99),IF(H96&gt;0,H96,1E+99),IF(J96&gt;0,J96,1E+99),IF(L96&gt;0,L96,1E+99),IF(N96&gt;0,N96,1E+99),IF(P96&gt;0,P96,1E+99),IF(R96&gt;0,R96,1E+99),IF(T96&gt;0,T96,1E+99),IF(V96&gt;0,V96,1E+99),IF(X96&gt;0,X96,1E+99),IF(Z96&gt;0,Z96,1E+99),IF(AB96&gt;0,AB96,1E+99),IF(AD96&gt;0,AD96,1E+99),IF(AF96&gt;0,AF96,1E+99),IF(AH96&gt;0,AH96,1E+99),IF(AJ96&gt;0,AJ96,1E+99),IF(AL96&gt;0,AL96,1E+99),IF(AN96&gt;0,AN96,1E+99),IF(AP96&gt;0,AP96,1E+99),IF(AR96&gt;0,AR96,1E+99),IF(AT96&gt;0,AT96,1E+99),IF(AV96&gt;0,AV96,1E+99),IF(AX96&gt;0,AX96,1E+99),IF(AZ96&gt;0,AZ96,1E+99)),IF(m=1E+99,"",m))</x:f>
      </x:c>
      <x:c r="BC96" s="12" t="str">
        <x:f>IF(BB96="","",INDEX({"v1.4.20","v1.4.20","v1.4.21","v1.4.21","v1.4.23","v1.4.23","v1.4.26","v1.4.26","v1.4.26.1","v1.4.26.1","v1.4.27","v1.4.27","v1.4.29","v1.4.29","v1.4.30","v1.4.30","v1.4.31","v1.4.31","v1.4.33","v1.4.33","v1.4.35","v1.4.35.2","v1.5","v1.5.1","v1.5.1"},MATCH(BB96,CHOOSE({1,2,3,4,5,6,7,8,9,10,11,12,13,14,15,16,17,18,19,20,21,22,23,24,25},D96,F96,H96,J96,L96,N96,P96,R96,T96,V96,X96,Z96,AB96,AD96,AF96,AH96,AJ96,AL96,AN96,AP96,AR96,AT96,AV96,AX96,AZ96),0)))</x:f>
      </x:c>
      <x:c r="BD96" s="14" t="n">
        <x:f>LET(m,MIN(IF(E96&gt;0,E96,1E+99),IF(G96&gt;0,G96,1E+99),IF(I96&gt;0,I96,1E+99),IF(K96&gt;0,K96,1E+99),IF(M96&gt;0,M96,1E+99),IF(O96&gt;0,O96,1E+99),IF(Q96&gt;0,Q96,1E+99),IF(S96&gt;0,S96,1E+99),IF(U96&gt;0,U96,1E+99),IF(W96&gt;0,W96,1E+99),IF(Y96&gt;0,Y96,1E+99),IF(AA96&gt;0,AA96,1E+99),IF(AC96&gt;0,AC96,1E+99),IF(AE96&gt;0,AE96,1E+99),IF(AG96&gt;0,AG96,1E+99),IF(AI96&gt;0,AI96,1E+99),IF(AK96&gt;0,AK96,1E+99),IF(AM96&gt;0,AM96,1E+99),IF(AO96&gt;0,AO96,1E+99),IF(AQ96&gt;0,AQ96,1E+99),IF(AS96&gt;0,AS96,1E+99),IF(AU96&gt;0,AU96,1E+99),IF(AW96&gt;0,AW96,1E+99),IF(AY96&gt;0,AY96,1E+99),IF(BA96&gt;0,BA96,1E+99)),IF(m=1E+99,"",m))</x:f>
        <x:v>46.568</x:v>
      </x:c>
      <x:c r="BE96" s="16" t="e">
        <x:f>IF(BD96="","",INDEX({"v1.4.20","v1.4.20","v1.4.21","v1.4.21","v1.4.23","v1.4.23","v1.4.26","v1.4.26","v1.4.26.1","v1.4.26.1","v1.4.27","v1.4.27","v1.4.29","v1.4.29","v1.4.30","v1.4.30","v1.4.31","v1.4.31","v1.4.33","v1.4.33","v1.4.35","v1.4.35.2","v1.5","v1.5.1","v1.5.1"},MATCH(BD96,CHOOSE({1,2,3,4,5,6,7,8,9,10,11,12,13,14,15,16,17,18,19,20,21,22,23,24,25},E96,G96,I96,K96,M96,O96,Q96,S96,U96,W96,Y96,AA96,AC96,AE96,AG96,AI96,AK96,AM96,AO96,AQ96,AS96,AU96,AW96,AY96,BA96),0)))</x:f>
      </x:c>
      <x:c r="BF96" s="10" t="str">
        <x:f>IFERROR((AX96-BB96)/BB96,"")</x:f>
      </x:c>
      <x:c r="BG96" s="10" t="n">
        <x:f>IFERROR((AY96-BD96)/BD96,"")</x:f>
        <x:v>0.7259062016835596</x:v>
      </x:c>
    </x:row>
    <x:row r="97">
      <x:c r="A97" t="str">
        <x:v>Care Plan Due</x:v>
      </x:c>
      <x:c r="B97" t="str">
        <x:v>Create / Refresh All Templates</x:v>
      </x:c>
      <x:c r="C97" t="str">
        <x:v>Apply row heights: Template - Care Plan Due</x:v>
      </x:c>
      <x:c r="D97" s="8" t="n">
        <x:v>0.009</x:v>
      </x:c>
      <x:c r="E97" s="8" t="n">
        <x:v>52.577</x:v>
      </x:c>
      <x:c r="F97" s="8"/>
      <x:c r="G97" s="8"/>
      <x:c r="H97" s="8" t="n">
        <x:v>0.01</x:v>
      </x:c>
      <x:c r="I97" s="8" t="n">
        <x:v>75.822</x:v>
      </x:c>
      <x:c r="J97" s="8"/>
      <x:c r="K97" s="8"/>
      <x:c r="L97" s="8"/>
      <x:c r="M97" s="8"/>
      <x:c r="N97" s="8" t="n">
        <x:v>0.01</x:v>
      </x:c>
      <x:c r="O97" s="8" t="n">
        <x:v>67.282</x:v>
      </x:c>
      <x:c r="P97" s="8" t="n">
        <x:v>0.006</x:v>
      </x:c>
      <x:c r="Q97" s="8" t="n">
        <x:v>43.412</x:v>
      </x:c>
      <x:c r="R97" s="8" t="n">
        <x:v>0.006</x:v>
      </x:c>
      <x:c r="S97" s="8" t="n">
        <x:v>43.412</x:v>
      </x:c>
      <x:c r="T97" s="8"/>
      <x:c r="U97" s="8"/>
      <x:c r="V97" s="8" t="n">
        <x:v>0.886</x:v>
      </x:c>
      <x:c r="W97" s="8" t="n">
        <x:v>59.536</x:v>
      </x:c>
      <x:c r="X97" s="8" t="n">
        <x:v>0.007</x:v>
      </x:c>
      <x:c r="Y97" s="8" t="n">
        <x:v>82.474</x:v>
      </x:c>
      <x:c r="Z97" s="8" t="n">
        <x:v>0.007</x:v>
      </x:c>
      <x:c r="AA97" s="8" t="n">
        <x:v>82.474</x:v>
      </x:c>
      <x:c r="AB97" s="8" t="n">
        <x:v>1.307</x:v>
      </x:c>
      <x:c r="AC97" s="8" t="n">
        <x:v>79.577</x:v>
      </x:c>
      <x:c r="AD97" s="8" t="n">
        <x:v>1.307</x:v>
      </x:c>
      <x:c r="AE97" s="8" t="n">
        <x:v>79.577</x:v>
      </x:c>
      <x:c r="AF97" s="8" t="n">
        <x:v>1.329</x:v>
      </x:c>
      <x:c r="AG97" s="8" t="n">
        <x:v>83.078</x:v>
      </x:c>
      <x:c r="AH97" s="8"/>
      <x:c r="AI97" s="8"/>
      <x:c r="AJ97" s="8" t="n">
        <x:v>1.859</x:v>
      </x:c>
      <x:c r="AK97" s="8" t="n">
        <x:v>59.1</x:v>
      </x:c>
      <x:c r="AL97" s="8" t="n">
        <x:v>1.859</x:v>
      </x:c>
      <x:c r="AM97" s="8" t="n">
        <x:v>59.1</x:v>
      </x:c>
      <x:c r="AN97" s="8" t="n">
        <x:v>0.787</x:v>
      </x:c>
      <x:c r="AO97" s="8" t="n">
        <x:v>61.953</x:v>
      </x:c>
      <x:c r="AP97" s="8"/>
      <x:c r="AQ97" s="8"/>
      <x:c r="AR97" s="8" t="n">
        <x:v>0.018</x:v>
      </x:c>
      <x:c r="AS97" s="8" t="n">
        <x:v>85.683</x:v>
      </x:c>
      <x:c r="AT97" s="8" t="n">
        <x:v>0.017</x:v>
      </x:c>
      <x:c r="AU97" s="8" t="n">
        <x:v>62.165</x:v>
      </x:c>
      <x:c r="AV97" s="8"/>
      <x:c r="AW97" s="8"/>
      <x:c r="AX97" s="8"/>
      <x:c r="AY97" s="8"/>
      <x:c r="AZ97" s="8"/>
      <x:c r="BA97" s="8"/>
      <x:c r="BB97" s="8" t="n">
        <x:f>LET(m,MIN(IF(D97&gt;0,D97,1E+99),IF(F97&gt;0,F97,1E+99),IF(H97&gt;0,H97,1E+99),IF(J97&gt;0,J97,1E+99),IF(L97&gt;0,L97,1E+99),IF(N97&gt;0,N97,1E+99),IF(P97&gt;0,P97,1E+99),IF(R97&gt;0,R97,1E+99),IF(T97&gt;0,T97,1E+99),IF(V97&gt;0,V97,1E+99),IF(X97&gt;0,X97,1E+99),IF(Z97&gt;0,Z97,1E+99),IF(AB97&gt;0,AB97,1E+99),IF(AD97&gt;0,AD97,1E+99),IF(AF97&gt;0,AF97,1E+99),IF(AH97&gt;0,AH97,1E+99),IF(AJ97&gt;0,AJ97,1E+99),IF(AL97&gt;0,AL97,1E+99),IF(AN97&gt;0,AN97,1E+99),IF(AP97&gt;0,AP97,1E+99),IF(AR97&gt;0,AR97,1E+99),IF(AT97&gt;0,AT97,1E+99),IF(AV97&gt;0,AV97,1E+99),IF(AX97&gt;0,AX97,1E+99),IF(AZ97&gt;0,AZ97,1E+99)),IF(m=1E+99,"",m))</x:f>
        <x:v>0.006</x:v>
      </x:c>
      <x:c r="BC97" s="12" t="e">
        <x:f>IF(BB97="","",INDEX({"v1.4.20","v1.4.20","v1.4.21","v1.4.21","v1.4.23","v1.4.23","v1.4.26","v1.4.26","v1.4.26.1","v1.4.26.1","v1.4.27","v1.4.27","v1.4.29","v1.4.29","v1.4.30","v1.4.30","v1.4.31","v1.4.31","v1.4.33","v1.4.33","v1.4.35","v1.4.35.2","v1.5","v1.5.1","v1.5.1"},MATCH(BB97,CHOOSE({1,2,3,4,5,6,7,8,9,10,11,12,13,14,15,16,17,18,19,20,21,22,23,24,25},D97,F97,H97,J97,L97,N97,P97,R97,T97,V97,X97,Z97,AB97,AD97,AF97,AH97,AJ97,AL97,AN97,AP97,AR97,AT97,AV97,AX97,AZ97),0)))</x:f>
      </x:c>
      <x:c r="BD97" s="14" t="n">
        <x:f>LET(m,MIN(IF(E97&gt;0,E97,1E+99),IF(G97&gt;0,G97,1E+99),IF(I97&gt;0,I97,1E+99),IF(K97&gt;0,K97,1E+99),IF(M97&gt;0,M97,1E+99),IF(O97&gt;0,O97,1E+99),IF(Q97&gt;0,Q97,1E+99),IF(S97&gt;0,S97,1E+99),IF(U97&gt;0,U97,1E+99),IF(W97&gt;0,W97,1E+99),IF(Y97&gt;0,Y97,1E+99),IF(AA97&gt;0,AA97,1E+99),IF(AC97&gt;0,AC97,1E+99),IF(AE97&gt;0,AE97,1E+99),IF(AG97&gt;0,AG97,1E+99),IF(AI97&gt;0,AI97,1E+99),IF(AK97&gt;0,AK97,1E+99),IF(AM97&gt;0,AM97,1E+99),IF(AO97&gt;0,AO97,1E+99),IF(AQ97&gt;0,AQ97,1E+99),IF(AS97&gt;0,AS97,1E+99),IF(AU97&gt;0,AU97,1E+99),IF(AW97&gt;0,AW97,1E+99),IF(AY97&gt;0,AY97,1E+99),IF(BA97&gt;0,BA97,1E+99)),IF(m=1E+99,"",m))</x:f>
        <x:v>43.412</x:v>
      </x:c>
      <x:c r="BE97" s="16" t="e">
        <x:f>IF(BD97="","",INDEX({"v1.4.20","v1.4.20","v1.4.21","v1.4.21","v1.4.23","v1.4.23","v1.4.26","v1.4.26","v1.4.26.1","v1.4.26.1","v1.4.27","v1.4.27","v1.4.29","v1.4.29","v1.4.30","v1.4.30","v1.4.31","v1.4.31","v1.4.33","v1.4.33","v1.4.35","v1.4.35.2","v1.5","v1.5.1","v1.5.1"},MATCH(BD97,CHOOSE({1,2,3,4,5,6,7,8,9,10,11,12,13,14,15,16,17,18,19,20,21,22,23,24,25},E97,G97,I97,K97,M97,O97,Q97,S97,U97,W97,Y97,AA97,AC97,AE97,AG97,AI97,AK97,AM97,AO97,AQ97,AS97,AU97,AW97,AY97,BA97),0)))</x:f>
      </x:c>
      <x:c r="BF97" s="10" t="n">
        <x:f>IFERROR((AX97-BB97)/BB97,"")</x:f>
        <x:v>-1</x:v>
      </x:c>
      <x:c r="BG97" s="10" t="n">
        <x:f>IFERROR((AY97-BD97)/BD97,"")</x:f>
        <x:v>-1</x:v>
      </x:c>
    </x:row>
    <x:row r="98">
      <x:c r="A98" t="str">
        <x:v>Care Plan Due</x:v>
      </x:c>
      <x:c r="B98" t="str">
        <x:v>Create / Refresh All Templates</x:v>
      </x:c>
      <x:c r="C98" t="str">
        <x:v>Clear sheet/formats for full build: Template - Care Plan Due</x:v>
      </x:c>
      <x:c r="D98" s="8" t="n">
        <x:v>5.288</x:v>
      </x:c>
      <x:c r="E98" s="8" t="n">
        <x:v>46.783</x:v>
      </x:c>
      <x:c r="F98" s="8"/>
      <x:c r="G98" s="8"/>
      <x:c r="H98" s="8" t="n">
        <x:v>9.412</x:v>
      </x:c>
      <x:c r="I98" s="8" t="n">
        <x:v>67.721</x:v>
      </x:c>
      <x:c r="J98" s="8"/>
      <x:c r="K98" s="8"/>
      <x:c r="L98" s="8"/>
      <x:c r="M98" s="8"/>
      <x:c r="N98" s="8"/>
      <x:c r="O98" s="8"/>
      <x:c r="P98" s="8"/>
      <x:c r="Q98" s="8"/>
      <x:c r="R98" s="8" t="n">
        <x:v>5.592</x:v>
      </x:c>
      <x:c r="S98" s="8" t="n">
        <x:v>38.962</x:v>
      </x:c>
      <x:c r="T98" s="8"/>
      <x:c r="U98" s="8"/>
      <x:c r="V98" s="8"/>
      <x:c r="W98" s="8"/>
      <x:c r="X98" s="8"/>
      <x:c r="Y98" s="8"/>
      <x:c r="Z98" s="8" t="n">
        <x:v>12.064</x:v>
      </x:c>
      <x:c r="AA98" s="8" t="n">
        <x:v>73.387</x:v>
      </x:c>
      <x:c r="AB98" s="8"/>
      <x:c r="AC98" s="8"/>
      <x:c r="AD98" s="8"/>
      <x:c r="AE98" s="8"/>
      <x:c r="AF98" s="8"/>
      <x:c r="AG98" s="8"/>
      <x:c r="AH98" s="8"/>
      <x:c r="AI98" s="8"/>
      <x:c r="AJ98" s="8"/>
      <x:c r="AK98" s="8"/>
      <x:c r="AL98" s="8"/>
      <x:c r="AM98" s="8"/>
      <x:c r="AN98" s="8"/>
      <x:c r="AO98" s="8"/>
      <x:c r="AP98" s="8"/>
      <x:c r="AQ98" s="8"/>
      <x:c r="AR98" s="8" t="n">
        <x:v>10.235</x:v>
      </x:c>
      <x:c r="AS98" s="8" t="n">
        <x:v>77.392</x:v>
      </x:c>
      <x:c r="AT98" s="8" t="n">
        <x:v>7.864</x:v>
      </x:c>
      <x:c r="AU98" s="8" t="n">
        <x:v>55.974</x:v>
      </x:c>
      <x:c r="AV98" s="8"/>
      <x:c r="AW98" s="8"/>
      <x:c r="AX98" s="8"/>
      <x:c r="AY98" s="8"/>
      <x:c r="AZ98" s="8"/>
      <x:c r="BA98" s="8"/>
      <x:c r="BB98" s="8" t="n">
        <x:f>LET(m,MIN(IF(D98&gt;0,D98,1E+99),IF(F98&gt;0,F98,1E+99),IF(H98&gt;0,H98,1E+99),IF(J98&gt;0,J98,1E+99),IF(L98&gt;0,L98,1E+99),IF(N98&gt;0,N98,1E+99),IF(P98&gt;0,P98,1E+99),IF(R98&gt;0,R98,1E+99),IF(T98&gt;0,T98,1E+99),IF(V98&gt;0,V98,1E+99),IF(X98&gt;0,X98,1E+99),IF(Z98&gt;0,Z98,1E+99),IF(AB98&gt;0,AB98,1E+99),IF(AD98&gt;0,AD98,1E+99),IF(AF98&gt;0,AF98,1E+99),IF(AH98&gt;0,AH98,1E+99),IF(AJ98&gt;0,AJ98,1E+99),IF(AL98&gt;0,AL98,1E+99),IF(AN98&gt;0,AN98,1E+99),IF(AP98&gt;0,AP98,1E+99),IF(AR98&gt;0,AR98,1E+99),IF(AT98&gt;0,AT98,1E+99),IF(AV98&gt;0,AV98,1E+99),IF(AX98&gt;0,AX98,1E+99),IF(AZ98&gt;0,AZ98,1E+99)),IF(m=1E+99,"",m))</x:f>
        <x:v>5.288</x:v>
      </x:c>
      <x:c r="BC98" s="12" t="str">
        <x:f>IF(BB98="","",INDEX({"v1.4.20","v1.4.20","v1.4.21","v1.4.21","v1.4.23","v1.4.23","v1.4.26","v1.4.26","v1.4.26.1","v1.4.26.1","v1.4.27","v1.4.27","v1.4.29","v1.4.29","v1.4.30","v1.4.30","v1.4.31","v1.4.31","v1.4.33","v1.4.33","v1.4.35","v1.4.35.2","v1.5","v1.5.1","v1.5.1"},MATCH(BB98,CHOOSE({1,2,3,4,5,6,7,8,9,10,11,12,13,14,15,16,17,18,19,20,21,22,23,24,25},D98,F98,H98,J98,L98,N98,P98,R98,T98,V98,X98,Z98,AB98,AD98,AF98,AH98,AJ98,AL98,AN98,AP98,AR98,AT98,AV98,AX98,AZ98),0)))</x:f>
        <x:v>v1.4.20</x:v>
      </x:c>
      <x:c r="BD98" s="14" t="n">
        <x:f>LET(m,MIN(IF(E98&gt;0,E98,1E+99),IF(G98&gt;0,G98,1E+99),IF(I98&gt;0,I98,1E+99),IF(K98&gt;0,K98,1E+99),IF(M98&gt;0,M98,1E+99),IF(O98&gt;0,O98,1E+99),IF(Q98&gt;0,Q98,1E+99),IF(S98&gt;0,S98,1E+99),IF(U98&gt;0,U98,1E+99),IF(W98&gt;0,W98,1E+99),IF(Y98&gt;0,Y98,1E+99),IF(AA98&gt;0,AA98,1E+99),IF(AC98&gt;0,AC98,1E+99),IF(AE98&gt;0,AE98,1E+99),IF(AG98&gt;0,AG98,1E+99),IF(AI98&gt;0,AI98,1E+99),IF(AK98&gt;0,AK98,1E+99),IF(AM98&gt;0,AM98,1E+99),IF(AO98&gt;0,AO98,1E+99),IF(AQ98&gt;0,AQ98,1E+99),IF(AS98&gt;0,AS98,1E+99),IF(AU98&gt;0,AU98,1E+99),IF(AW98&gt;0,AW98,1E+99),IF(AY98&gt;0,AY98,1E+99),IF(BA98&gt;0,BA98,1E+99)),IF(m=1E+99,"",m))</x:f>
        <x:v>38.962</x:v>
      </x:c>
      <x:c r="BE98" s="16" t="e">
        <x:f>IF(BD98="","",INDEX({"v1.4.20","v1.4.20","v1.4.21","v1.4.21","v1.4.23","v1.4.23","v1.4.26","v1.4.26","v1.4.26.1","v1.4.26.1","v1.4.27","v1.4.27","v1.4.29","v1.4.29","v1.4.30","v1.4.30","v1.4.31","v1.4.31","v1.4.33","v1.4.33","v1.4.35","v1.4.35.2","v1.5","v1.5.1","v1.5.1"},MATCH(BD98,CHOOSE({1,2,3,4,5,6,7,8,9,10,11,12,13,14,15,16,17,18,19,20,21,22,23,24,25},E98,G98,I98,K98,M98,O98,Q98,S98,U98,W98,Y98,AA98,AC98,AE98,AG98,AI98,AK98,AM98,AO98,AQ98,AS98,AU98,AW98,AY98,BA98),0)))</x:f>
      </x:c>
      <x:c r="BF98" s="10" t="n">
        <x:f>IFERROR((AX98-BB98)/BB98,"")</x:f>
        <x:v>-1</x:v>
      </x:c>
      <x:c r="BG98" s="10" t="n">
        <x:f>IFERROR((AY98-BD98)/BD98,"")</x:f>
        <x:v>-1</x:v>
      </x:c>
    </x:row>
    <x:row r="99">
      <x:c r="A99" t="str">
        <x:v>Care Plan Due</x:v>
      </x:c>
      <x:c r="B99" t="str">
        <x:v>Create / Refresh All Templates</x:v>
      </x:c>
      <x:c r="C99" t="str">
        <x:v>Resize columns: Template - Care Plan Due (5 cols)</x:v>
      </x:c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 t="n">
        <x:v>0.147</x:v>
      </x:c>
      <x:c r="W99" s="8" t="n">
        <x:v>53.652</x:v>
      </x:c>
      <x:c r="X99" s="8"/>
      <x:c r="Y99" s="8"/>
      <x:c r="Z99" s="8"/>
      <x:c r="AA99" s="8"/>
      <x:c r="AB99" s="8"/>
      <x:c r="AC99" s="8"/>
      <x:c r="AD99" s="8"/>
      <x:c r="AE99" s="8"/>
      <x:c r="AF99" s="8" t="n">
        <x:v>0.675</x:v>
      </x:c>
      <x:c r="AG99" s="8" t="n">
        <x:v>75.647</x:v>
      </x:c>
      <x:c r="AH99" s="8"/>
      <x:c r="AI99" s="8"/>
      <x:c r="AJ99" s="8" t="n">
        <x:v>0.781</x:v>
      </x:c>
      <x:c r="AK99" s="8" t="n">
        <x:v>49.595</x:v>
      </x:c>
      <x:c r="AL99" s="8" t="n">
        <x:v>0.781</x:v>
      </x:c>
      <x:c r="AM99" s="8" t="n">
        <x:v>49.595</x:v>
      </x:c>
      <x:c r="AN99" s="8" t="n">
        <x:v>0.152</x:v>
      </x:c>
      <x:c r="AO99" s="8" t="n">
        <x:v>56.575</x:v>
      </x:c>
      <x:c r="AP99" s="8"/>
      <x:c r="AQ99" s="8"/>
      <x:c r="AR99" s="8"/>
      <x:c r="AS99" s="8"/>
      <x:c r="AT99" s="8"/>
      <x:c r="AU99" s="8"/>
      <x:c r="AV99" s="8"/>
      <x:c r="AW99" s="8"/>
      <x:c r="AX99" s="8"/>
      <x:c r="AY99" s="8"/>
      <x:c r="AZ99" s="8"/>
      <x:c r="BA99" s="8"/>
      <x:c r="BB99" s="8" t="n">
        <x:f>LET(m,MIN(IF(D99&gt;0,D99,1E+99),IF(F99&gt;0,F99,1E+99),IF(H99&gt;0,H99,1E+99),IF(J99&gt;0,J99,1E+99),IF(L99&gt;0,L99,1E+99),IF(N99&gt;0,N99,1E+99),IF(P99&gt;0,P99,1E+99),IF(R99&gt;0,R99,1E+99),IF(T99&gt;0,T99,1E+99),IF(V99&gt;0,V99,1E+99),IF(X99&gt;0,X99,1E+99),IF(Z99&gt;0,Z99,1E+99),IF(AB99&gt;0,AB99,1E+99),IF(AD99&gt;0,AD99,1E+99),IF(AF99&gt;0,AF99,1E+99),IF(AH99&gt;0,AH99,1E+99),IF(AJ99&gt;0,AJ99,1E+99),IF(AL99&gt;0,AL99,1E+99),IF(AN99&gt;0,AN99,1E+99),IF(AP99&gt;0,AP99,1E+99),IF(AR99&gt;0,AR99,1E+99),IF(AT99&gt;0,AT99,1E+99),IF(AV99&gt;0,AV99,1E+99),IF(AX99&gt;0,AX99,1E+99),IF(AZ99&gt;0,AZ99,1E+99)),IF(m=1E+99,"",m))</x:f>
        <x:v>0.147</x:v>
      </x:c>
      <x:c r="BC99" s="12" t="e">
        <x:f>IF(BB99="","",INDEX({"v1.4.20","v1.4.20","v1.4.21","v1.4.21","v1.4.23","v1.4.23","v1.4.26","v1.4.26","v1.4.26.1","v1.4.26.1","v1.4.27","v1.4.27","v1.4.29","v1.4.29","v1.4.30","v1.4.30","v1.4.31","v1.4.31","v1.4.33","v1.4.33","v1.4.35","v1.4.35.2","v1.5","v1.5.1","v1.5.1"},MATCH(BB99,CHOOSE({1,2,3,4,5,6,7,8,9,10,11,12,13,14,15,16,17,18,19,20,21,22,23,24,25},D99,F99,H99,J99,L99,N99,P99,R99,T99,V99,X99,Z99,AB99,AD99,AF99,AH99,AJ99,AL99,AN99,AP99,AR99,AT99,AV99,AX99,AZ99),0)))</x:f>
      </x:c>
      <x:c r="BD99" s="14" t="n">
        <x:f>LET(m,MIN(IF(E99&gt;0,E99,1E+99),IF(G99&gt;0,G99,1E+99),IF(I99&gt;0,I99,1E+99),IF(K99&gt;0,K99,1E+99),IF(M99&gt;0,M99,1E+99),IF(O99&gt;0,O99,1E+99),IF(Q99&gt;0,Q99,1E+99),IF(S99&gt;0,S99,1E+99),IF(U99&gt;0,U99,1E+99),IF(W99&gt;0,W99,1E+99),IF(Y99&gt;0,Y99,1E+99),IF(AA99&gt;0,AA99,1E+99),IF(AC99&gt;0,AC99,1E+99),IF(AE99&gt;0,AE99,1E+99),IF(AG99&gt;0,AG99,1E+99),IF(AI99&gt;0,AI99,1E+99),IF(AK99&gt;0,AK99,1E+99),IF(AM99&gt;0,AM99,1E+99),IF(AO99&gt;0,AO99,1E+99),IF(AQ99&gt;0,AQ99,1E+99),IF(AS99&gt;0,AS99,1E+99),IF(AU99&gt;0,AU99,1E+99),IF(AW99&gt;0,AW99,1E+99),IF(AY99&gt;0,AY99,1E+99),IF(BA99&gt;0,BA99,1E+99)),IF(m=1E+99,"",m))</x:f>
        <x:v>49.595</x:v>
      </x:c>
      <x:c r="BE99" s="16" t="e">
        <x:f>IF(BD99="","",INDEX({"v1.4.20","v1.4.20","v1.4.21","v1.4.21","v1.4.23","v1.4.23","v1.4.26","v1.4.26","v1.4.26.1","v1.4.26.1","v1.4.27","v1.4.27","v1.4.29","v1.4.29","v1.4.30","v1.4.30","v1.4.31","v1.4.31","v1.4.33","v1.4.33","v1.4.35","v1.4.35.2","v1.5","v1.5.1","v1.5.1"},MATCH(BD99,CHOOSE({1,2,3,4,5,6,7,8,9,10,11,12,13,14,15,16,17,18,19,20,21,22,23,24,25},E99,G99,I99,K99,M99,O99,Q99,S99,U99,W99,Y99,AA99,AC99,AE99,AG99,AI99,AK99,AM99,AO99,AQ99,AS99,AU99,AW99,AY99,BA99),0)))</x:f>
      </x:c>
      <x:c r="BF99" s="10" t="n">
        <x:f>IFERROR((AX99-BB99)/BB99,"")</x:f>
        <x:v>-1</x:v>
      </x:c>
      <x:c r="BG99" s="10" t="n">
        <x:f>IFERROR((AY99-BD99)/BD99,"")</x:f>
        <x:v>-1</x:v>
      </x:c>
    </x:row>
    <x:row r="100">
      <x:c r="A100" t="str">
        <x:v>Care Plan Due</x:v>
      </x:c>
      <x:c r="B100" t="str">
        <x:v>Create / Refresh All Templates</x:v>
      </x:c>
      <x:c r="C100" t="str">
        <x:v>Resize rows: Template - Care Plan Due (500 rows)</x:v>
      </x:c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 t="n">
        <x:v>7.276</x:v>
      </x:c>
      <x:c r="W100" s="8" t="n">
        <x:v>53.505</x:v>
      </x:c>
      <x:c r="X100" s="8"/>
      <x:c r="Y100" s="8"/>
      <x:c r="Z100" s="8"/>
      <x:c r="AA100" s="8"/>
      <x:c r="AB100" s="8"/>
      <x:c r="AC100" s="8"/>
      <x:c r="AD100" s="8"/>
      <x:c r="AE100" s="8"/>
      <x:c r="AF100" s="8" t="n">
        <x:v>9.518</x:v>
      </x:c>
      <x:c r="AG100" s="8" t="n">
        <x:v>74.972</x:v>
      </x:c>
      <x:c r="AH100" s="8"/>
      <x:c r="AI100" s="8"/>
      <x:c r="AJ100" s="8" t="n">
        <x:v>11.152</x:v>
      </x:c>
      <x:c r="AK100" s="8" t="n">
        <x:v>48.814</x:v>
      </x:c>
      <x:c r="AL100" s="8" t="n">
        <x:v>11.152</x:v>
      </x:c>
      <x:c r="AM100" s="8" t="n">
        <x:v>48.814</x:v>
      </x:c>
      <x:c r="AN100" s="8" t="n">
        <x:v>5.775</x:v>
      </x:c>
      <x:c r="AO100" s="8" t="n">
        <x:v>56.423</x:v>
      </x:c>
      <x:c r="AP100" s="8"/>
      <x:c r="AQ100" s="8"/>
      <x:c r="AR100" s="8"/>
      <x:c r="AS100" s="8"/>
      <x:c r="AT100" s="8"/>
      <x:c r="AU100" s="8"/>
      <x:c r="AV100" s="8"/>
      <x:c r="AW100" s="8"/>
      <x:c r="AX100" s="8"/>
      <x:c r="AY100" s="8"/>
      <x:c r="AZ100" s="8"/>
      <x:c r="BA100" s="8"/>
      <x:c r="BB100" s="8" t="n">
        <x:f>LET(m,MIN(IF(D100&gt;0,D100,1E+99),IF(F100&gt;0,F100,1E+99),IF(H100&gt;0,H100,1E+99),IF(J100&gt;0,J100,1E+99),IF(L100&gt;0,L100,1E+99),IF(N100&gt;0,N100,1E+99),IF(P100&gt;0,P100,1E+99),IF(R100&gt;0,R100,1E+99),IF(T100&gt;0,T100,1E+99),IF(V100&gt;0,V100,1E+99),IF(X100&gt;0,X100,1E+99),IF(Z100&gt;0,Z100,1E+99),IF(AB100&gt;0,AB100,1E+99),IF(AD100&gt;0,AD100,1E+99),IF(AF100&gt;0,AF100,1E+99),IF(AH100&gt;0,AH100,1E+99),IF(AJ100&gt;0,AJ100,1E+99),IF(AL100&gt;0,AL100,1E+99),IF(AN100&gt;0,AN100,1E+99),IF(AP100&gt;0,AP100,1E+99),IF(AR100&gt;0,AR100,1E+99),IF(AT100&gt;0,AT100,1E+99),IF(AV100&gt;0,AV100,1E+99),IF(AX100&gt;0,AX100,1E+99),IF(AZ100&gt;0,AZ100,1E+99)),IF(m=1E+99,"",m))</x:f>
        <x:v>5.775</x:v>
      </x:c>
      <x:c r="BC100" s="12" t="e">
        <x:f>IF(BB100="","",INDEX({"v1.4.20","v1.4.20","v1.4.21","v1.4.21","v1.4.23","v1.4.23","v1.4.26","v1.4.26","v1.4.26.1","v1.4.26.1","v1.4.27","v1.4.27","v1.4.29","v1.4.29","v1.4.30","v1.4.30","v1.4.31","v1.4.31","v1.4.33","v1.4.33","v1.4.35","v1.4.35.2","v1.5","v1.5.1","v1.5.1"},MATCH(BB100,CHOOSE({1,2,3,4,5,6,7,8,9,10,11,12,13,14,15,16,17,18,19,20,21,22,23,24,25},D100,F100,H100,J100,L100,N100,P100,R100,T100,V100,X100,Z100,AB100,AD100,AF100,AH100,AJ100,AL100,AN100,AP100,AR100,AT100,AV100,AX100,AZ100),0)))</x:f>
      </x:c>
      <x:c r="BD100" s="14" t="n">
        <x:f>LET(m,MIN(IF(E100&gt;0,E100,1E+99),IF(G100&gt;0,G100,1E+99),IF(I100&gt;0,I100,1E+99),IF(K100&gt;0,K100,1E+99),IF(M100&gt;0,M100,1E+99),IF(O100&gt;0,O100,1E+99),IF(Q100&gt;0,Q100,1E+99),IF(S100&gt;0,S100,1E+99),IF(U100&gt;0,U100,1E+99),IF(W100&gt;0,W100,1E+99),IF(Y100&gt;0,Y100,1E+99),IF(AA100&gt;0,AA100,1E+99),IF(AC100&gt;0,AC100,1E+99),IF(AE100&gt;0,AE100,1E+99),IF(AG100&gt;0,AG100,1E+99),IF(AI100&gt;0,AI100,1E+99),IF(AK100&gt;0,AK100,1E+99),IF(AM100&gt;0,AM100,1E+99),IF(AO100&gt;0,AO100,1E+99),IF(AQ100&gt;0,AQ100,1E+99),IF(AS100&gt;0,AS100,1E+99),IF(AU100&gt;0,AU100,1E+99),IF(AW100&gt;0,AW100,1E+99),IF(AY100&gt;0,AY100,1E+99),IF(BA100&gt;0,BA100,1E+99)),IF(m=1E+99,"",m))</x:f>
        <x:v>48.814</x:v>
      </x:c>
      <x:c r="BE100" s="16" t="e">
        <x:f>IF(BD100="","",INDEX({"v1.4.20","v1.4.20","v1.4.21","v1.4.21","v1.4.23","v1.4.23","v1.4.26","v1.4.26","v1.4.26.1","v1.4.26.1","v1.4.27","v1.4.27","v1.4.29","v1.4.29","v1.4.30","v1.4.30","v1.4.31","v1.4.31","v1.4.33","v1.4.33","v1.4.35","v1.4.35.2","v1.5","v1.5.1","v1.5.1"},MATCH(BD100,CHOOSE({1,2,3,4,5,6,7,8,9,10,11,12,13,14,15,16,17,18,19,20,21,22,23,24,25},E100,G100,I100,K100,M100,O100,Q100,S100,U100,W100,Y100,AA100,AC100,AE100,AG100,AI100,AK100,AM100,AO100,AQ100,AS100,AU100,AW100,AY100,BA100),0)))</x:f>
      </x:c>
      <x:c r="BF100" s="10" t="n">
        <x:f>IFERROR((AX100-BB100)/BB100,"")</x:f>
        <x:v>-1</x:v>
      </x:c>
      <x:c r="BG100" s="10" t="n">
        <x:f>IFERROR((AY100-BD100)/BD100,"")</x:f>
        <x:v>-1</x:v>
      </x:c>
    </x:row>
    <x:row r="101">
      <x:c r="A101" t="str">
        <x:v>Unlocked Care Plan</x:v>
      </x:c>
      <x:c r="B101" t="str">
        <x:v>Create / Refresh All Templates</x:v>
      </x:c>
      <x:c r="C101" t="str">
        <x:v>Open/create sheet: Template - Unlocked Care Plan</x:v>
      </x:c>
      <x:c r="D101" s="8" t="n">
        <x:v>1.895</x:v>
      </x:c>
      <x:c r="E101" s="8" t="n">
        <x:v>58.866</x:v>
      </x:c>
      <x:c r="F101" s="8" t="n">
        <x:v>1.895</x:v>
      </x:c>
      <x:c r="G101" s="8" t="n">
        <x:v>58.866</x:v>
      </x:c>
      <x:c r="H101" s="8" t="n">
        <x:v>1.973</x:v>
      </x:c>
      <x:c r="I101" s="8" t="n">
        <x:v>81.782</x:v>
      </x:c>
      <x:c r="J101" s="8"/>
      <x:c r="K101" s="8"/>
      <x:c r="L101" s="8"/>
      <x:c r="M101" s="8"/>
      <x:c r="N101" s="8" t="n">
        <x:v>2.438</x:v>
      </x:c>
      <x:c r="O101" s="8" t="n">
        <x:v>74.895</x:v>
      </x:c>
      <x:c r="P101" s="8" t="n">
        <x:v>1.356</x:v>
      </x:c>
      <x:c r="Q101" s="8" t="n">
        <x:v>47.924</x:v>
      </x:c>
      <x:c r="R101" s="8" t="n">
        <x:v>1.356</x:v>
      </x:c>
      <x:c r="S101" s="8" t="n">
        <x:v>47.924</x:v>
      </x:c>
      <x:c r="T101" s="8"/>
      <x:c r="U101" s="8"/>
      <x:c r="V101" s="8" t="n">
        <x:v>1.719</x:v>
      </x:c>
      <x:c r="W101" s="8" t="n">
        <x:v>64.544</x:v>
      </x:c>
      <x:c r="X101" s="8" t="n">
        <x:v>2.594</x:v>
      </x:c>
      <x:c r="Y101" s="8" t="n">
        <x:v>91.009</x:v>
      </x:c>
      <x:c r="Z101" s="8" t="n">
        <x:v>2.594</x:v>
      </x:c>
      <x:c r="AA101" s="8" t="n">
        <x:v>91.009</x:v>
      </x:c>
      <x:c r="AB101" s="8" t="n">
        <x:v>2.21</x:v>
      </x:c>
      <x:c r="AC101" s="8" t="n">
        <x:v>86.829</x:v>
      </x:c>
      <x:c r="AD101" s="8" t="n">
        <x:v>2.21</x:v>
      </x:c>
      <x:c r="AE101" s="8" t="n">
        <x:v>86.829</x:v>
      </x:c>
      <x:c r="AF101" s="8" t="n">
        <x:v>2.589</x:v>
      </x:c>
      <x:c r="AG101" s="8" t="n">
        <x:v>90.007</x:v>
      </x:c>
      <x:c r="AH101" s="8"/>
      <x:c r="AI101" s="8"/>
      <x:c r="AJ101" s="8" t="n">
        <x:v>2.959</x:v>
      </x:c>
      <x:c r="AK101" s="8" t="n">
        <x:v>67.309</x:v>
      </x:c>
      <x:c r="AL101" s="8" t="n">
        <x:v>2.959</x:v>
      </x:c>
      <x:c r="AM101" s="8" t="n">
        <x:v>67.309</x:v>
      </x:c>
      <x:c r="AN101" s="8" t="n">
        <x:v>1.75</x:v>
      </x:c>
      <x:c r="AO101" s="8" t="n">
        <x:v>66.866</x:v>
      </x:c>
      <x:c r="AP101" s="8"/>
      <x:c r="AQ101" s="8"/>
      <x:c r="AR101" s="8" t="n">
        <x:v>2.66</x:v>
      </x:c>
      <x:c r="AS101" s="8" t="n">
        <x:v>94.153</x:v>
      </x:c>
      <x:c r="AT101" s="8" t="n">
        <x:v>1.782</x:v>
      </x:c>
      <x:c r="AU101" s="8" t="n">
        <x:v>67.945</x:v>
      </x:c>
      <x:c r="AV101" s="8" t="n">
        <x:v>2.343</x:v>
      </x:c>
      <x:c r="AW101" s="8" t="n">
        <x:v>77.184</x:v>
      </x:c>
      <x:c r="AX101" s="8" t="n">
        <x:v>3.599</x:v>
      </x:c>
      <x:c r="AY101" s="8" t="n">
        <x:v>83.971</x:v>
      </x:c>
      <x:c r="AZ101" s="8"/>
      <x:c r="BA101" s="8"/>
      <x:c r="BB101" s="8" t="n">
        <x:f>LET(m,MIN(IF(D101&gt;0,D101,1E+99),IF(F101&gt;0,F101,1E+99),IF(H101&gt;0,H101,1E+99),IF(J101&gt;0,J101,1E+99),IF(L101&gt;0,L101,1E+99),IF(N101&gt;0,N101,1E+99),IF(P101&gt;0,P101,1E+99),IF(R101&gt;0,R101,1E+99),IF(T101&gt;0,T101,1E+99),IF(V101&gt;0,V101,1E+99),IF(X101&gt;0,X101,1E+99),IF(Z101&gt;0,Z101,1E+99),IF(AB101&gt;0,AB101,1E+99),IF(AD101&gt;0,AD101,1E+99),IF(AF101&gt;0,AF101,1E+99),IF(AH101&gt;0,AH101,1E+99),IF(AJ101&gt;0,AJ101,1E+99),IF(AL101&gt;0,AL101,1E+99),IF(AN101&gt;0,AN101,1E+99),IF(AP101&gt;0,AP101,1E+99),IF(AR101&gt;0,AR101,1E+99),IF(AT101&gt;0,AT101,1E+99),IF(AV101&gt;0,AV101,1E+99),IF(AX101&gt;0,AX101,1E+99),IF(AZ101&gt;0,AZ101,1E+99)),IF(m=1E+99,"",m))</x:f>
        <x:v>1.356</x:v>
      </x:c>
      <x:c r="BC101" s="12" t="e">
        <x:f>IF(BB101="","",INDEX({"v1.4.20","v1.4.20","v1.4.21","v1.4.21","v1.4.23","v1.4.23","v1.4.26","v1.4.26","v1.4.26.1","v1.4.26.1","v1.4.27","v1.4.27","v1.4.29","v1.4.29","v1.4.30","v1.4.30","v1.4.31","v1.4.31","v1.4.33","v1.4.33","v1.4.35","v1.4.35.2","v1.5","v1.5.1","v1.5.1"},MATCH(BB101,CHOOSE({1,2,3,4,5,6,7,8,9,10,11,12,13,14,15,16,17,18,19,20,21,22,23,24,25},D101,F101,H101,J101,L101,N101,P101,R101,T101,V101,X101,Z101,AB101,AD101,AF101,AH101,AJ101,AL101,AN101,AP101,AR101,AT101,AV101,AX101,AZ101),0)))</x:f>
      </x:c>
      <x:c r="BD101" s="14" t="n">
        <x:f>LET(m,MIN(IF(E101&gt;0,E101,1E+99),IF(G101&gt;0,G101,1E+99),IF(I101&gt;0,I101,1E+99),IF(K101&gt;0,K101,1E+99),IF(M101&gt;0,M101,1E+99),IF(O101&gt;0,O101,1E+99),IF(Q101&gt;0,Q101,1E+99),IF(S101&gt;0,S101,1E+99),IF(U101&gt;0,U101,1E+99),IF(W101&gt;0,W101,1E+99),IF(Y101&gt;0,Y101,1E+99),IF(AA101&gt;0,AA101,1E+99),IF(AC101&gt;0,AC101,1E+99),IF(AE101&gt;0,AE101,1E+99),IF(AG101&gt;0,AG101,1E+99),IF(AI101&gt;0,AI101,1E+99),IF(AK101&gt;0,AK101,1E+99),IF(AM101&gt;0,AM101,1E+99),IF(AO101&gt;0,AO101,1E+99),IF(AQ101&gt;0,AQ101,1E+99),IF(AS101&gt;0,AS101,1E+99),IF(AU101&gt;0,AU101,1E+99),IF(AW101&gt;0,AW101,1E+99),IF(AY101&gt;0,AY101,1E+99),IF(BA101&gt;0,BA101,1E+99)),IF(m=1E+99,"",m))</x:f>
        <x:v>47.924</x:v>
      </x:c>
      <x:c r="BE101" s="16" t="e">
        <x:f>IF(BD101="","",INDEX({"v1.4.20","v1.4.20","v1.4.21","v1.4.21","v1.4.23","v1.4.23","v1.4.26","v1.4.26","v1.4.26.1","v1.4.26.1","v1.4.27","v1.4.27","v1.4.29","v1.4.29","v1.4.30","v1.4.30","v1.4.31","v1.4.31","v1.4.33","v1.4.33","v1.4.35","v1.4.35.2","v1.5","v1.5.1","v1.5.1"},MATCH(BD101,CHOOSE({1,2,3,4,5,6,7,8,9,10,11,12,13,14,15,16,17,18,19,20,21,22,23,24,25},E101,G101,I101,K101,M101,O101,Q101,S101,U101,W101,Y101,AA101,AC101,AE101,AG101,AI101,AK101,AM101,AO101,AQ101,AS101,AU101,AW101,AY101,BA101),0)))</x:f>
      </x:c>
      <x:c r="BF101" s="10" t="n">
        <x:f>IFERROR((AX101-BB101)/BB101,"")</x:f>
        <x:v>1.6541297935103245</x:v>
      </x:c>
      <x:c r="BG101" s="10" t="n">
        <x:f>IFERROR((AY101-BD101)/BD101,"")</x:f>
        <x:v>0.7521701026625491</x:v>
      </x:c>
    </x:row>
    <x:row r="102">
      <x:c r="A102" t="str">
        <x:v>Unlocked Care Plan</x:v>
      </x:c>
      <x:c r="B102" t="str">
        <x:v>Create / Refresh All Templates</x:v>
      </x:c>
      <x:c r="C102" t="str">
        <x:v>Template signature mismatch - full build required: Template - Unlocked Care Plan</x:v>
      </x:c>
      <x:c r="D102" s="8" t="n">
        <x:v>0.047</x:v>
      </x:c>
      <x:c r="E102" s="8" t="n">
        <x:v>58.913</x:v>
      </x:c>
      <x:c r="F102" s="8" t="n">
        <x:v>0.047</x:v>
      </x:c>
      <x:c r="G102" s="8" t="n">
        <x:v>58.913</x:v>
      </x:c>
      <x:c r="H102" s="8" t="n">
        <x:v>0.022</x:v>
      </x:c>
      <x:c r="I102" s="8" t="n">
        <x:v>81.804</x:v>
      </x:c>
      <x:c r="J102" s="8"/>
      <x:c r="K102" s="8"/>
      <x:c r="L102" s="8"/>
      <x:c r="M102" s="8"/>
      <x:c r="N102" s="8" t="n">
        <x:v>0.068</x:v>
      </x:c>
      <x:c r="O102" s="8" t="n">
        <x:v>74.963</x:v>
      </x:c>
      <x:c r="P102" s="8" t="n">
        <x:v>0.024</x:v>
      </x:c>
      <x:c r="Q102" s="8" t="n">
        <x:v>47.948</x:v>
      </x:c>
      <x:c r="R102" s="8" t="n">
        <x:v>0.024</x:v>
      </x:c>
      <x:c r="S102" s="8" t="n">
        <x:v>47.948</x:v>
      </x:c>
      <x:c r="T102" s="8"/>
      <x:c r="U102" s="8"/>
      <x:c r="V102" s="8" t="n">
        <x:v>0.203</x:v>
      </x:c>
      <x:c r="W102" s="8" t="n">
        <x:v>64.747</x:v>
      </x:c>
      <x:c r="X102" s="8" t="n">
        <x:v>0.053</x:v>
      </x:c>
      <x:c r="Y102" s="8" t="n">
        <x:v>91.062</x:v>
      </x:c>
      <x:c r="Z102" s="8" t="n">
        <x:v>0.053</x:v>
      </x:c>
      <x:c r="AA102" s="8" t="n">
        <x:v>91.062</x:v>
      </x:c>
      <x:c r="AB102" s="8" t="n">
        <x:v>0.034</x:v>
      </x:c>
      <x:c r="AC102" s="8" t="n">
        <x:v>86.863</x:v>
      </x:c>
      <x:c r="AD102" s="8" t="n">
        <x:v>0.034</x:v>
      </x:c>
      <x:c r="AE102" s="8" t="n">
        <x:v>86.863</x:v>
      </x:c>
      <x:c r="AF102" s="8" t="n">
        <x:v>0.031</x:v>
      </x:c>
      <x:c r="AG102" s="8" t="n">
        <x:v>90.038</x:v>
      </x:c>
      <x:c r="AH102" s="8"/>
      <x:c r="AI102" s="8"/>
      <x:c r="AJ102" s="8" t="n">
        <x:v>0.033</x:v>
      </x:c>
      <x:c r="AK102" s="8" t="n">
        <x:v>67.342</x:v>
      </x:c>
      <x:c r="AL102" s="8" t="n">
        <x:v>0.033</x:v>
      </x:c>
      <x:c r="AM102" s="8" t="n">
        <x:v>67.342</x:v>
      </x:c>
      <x:c r="AN102" s="8" t="n">
        <x:v>0.036</x:v>
      </x:c>
      <x:c r="AO102" s="8" t="n">
        <x:v>66.902</x:v>
      </x:c>
      <x:c r="AP102" s="8"/>
      <x:c r="AQ102" s="8"/>
      <x:c r="AR102" s="8" t="n">
        <x:v>0.045</x:v>
      </x:c>
      <x:c r="AS102" s="8" t="n">
        <x:v>94.198</x:v>
      </x:c>
      <x:c r="AT102" s="8" t="n">
        <x:v>0.02</x:v>
      </x:c>
      <x:c r="AU102" s="8" t="n">
        <x:v>67.965</x:v>
      </x:c>
      <x:c r="AV102" s="8" t="n">
        <x:v>0.044</x:v>
      </x:c>
      <x:c r="AW102" s="8" t="n">
        <x:v>77.228</x:v>
      </x:c>
      <x:c r="AX102" s="8" t="n">
        <x:v>0.054</x:v>
      </x:c>
      <x:c r="AY102" s="8" t="n">
        <x:v>84.025</x:v>
      </x:c>
      <x:c r="AZ102" s="8"/>
      <x:c r="BA102" s="8"/>
      <x:c r="BB102" s="8" t="n">
        <x:f>LET(m,MIN(IF(D102&gt;0,D102,1E+99),IF(F102&gt;0,F102,1E+99),IF(H102&gt;0,H102,1E+99),IF(J102&gt;0,J102,1E+99),IF(L102&gt;0,L102,1E+99),IF(N102&gt;0,N102,1E+99),IF(P102&gt;0,P102,1E+99),IF(R102&gt;0,R102,1E+99),IF(T102&gt;0,T102,1E+99),IF(V102&gt;0,V102,1E+99),IF(X102&gt;0,X102,1E+99),IF(Z102&gt;0,Z102,1E+99),IF(AB102&gt;0,AB102,1E+99),IF(AD102&gt;0,AD102,1E+99),IF(AF102&gt;0,AF102,1E+99),IF(AH102&gt;0,AH102,1E+99),IF(AJ102&gt;0,AJ102,1E+99),IF(AL102&gt;0,AL102,1E+99),IF(AN102&gt;0,AN102,1E+99),IF(AP102&gt;0,AP102,1E+99),IF(AR102&gt;0,AR102,1E+99),IF(AT102&gt;0,AT102,1E+99),IF(AV102&gt;0,AV102,1E+99),IF(AX102&gt;0,AX102,1E+99),IF(AZ102&gt;0,AZ102,1E+99)),IF(m=1E+99,"",m))</x:f>
        <x:v>0.02</x:v>
      </x:c>
      <x:c r="BC102" s="12" t="e">
        <x:f>IF(BB102="","",INDEX({"v1.4.20","v1.4.20","v1.4.21","v1.4.21","v1.4.23","v1.4.23","v1.4.26","v1.4.26","v1.4.26.1","v1.4.26.1","v1.4.27","v1.4.27","v1.4.29","v1.4.29","v1.4.30","v1.4.30","v1.4.31","v1.4.31","v1.4.33","v1.4.33","v1.4.35","v1.4.35.2","v1.5","v1.5.1","v1.5.1"},MATCH(BB102,CHOOSE({1,2,3,4,5,6,7,8,9,10,11,12,13,14,15,16,17,18,19,20,21,22,23,24,25},D102,F102,H102,J102,L102,N102,P102,R102,T102,V102,X102,Z102,AB102,AD102,AF102,AH102,AJ102,AL102,AN102,AP102,AR102,AT102,AV102,AX102,AZ102),0)))</x:f>
      </x:c>
      <x:c r="BD102" s="14" t="n">
        <x:f>LET(m,MIN(IF(E102&gt;0,E102,1E+99),IF(G102&gt;0,G102,1E+99),IF(I102&gt;0,I102,1E+99),IF(K102&gt;0,K102,1E+99),IF(M102&gt;0,M102,1E+99),IF(O102&gt;0,O102,1E+99),IF(Q102&gt;0,Q102,1E+99),IF(S102&gt;0,S102,1E+99),IF(U102&gt;0,U102,1E+99),IF(W102&gt;0,W102,1E+99),IF(Y102&gt;0,Y102,1E+99),IF(AA102&gt;0,AA102,1E+99),IF(AC102&gt;0,AC102,1E+99),IF(AE102&gt;0,AE102,1E+99),IF(AG102&gt;0,AG102,1E+99),IF(AI102&gt;0,AI102,1E+99),IF(AK102&gt;0,AK102,1E+99),IF(AM102&gt;0,AM102,1E+99),IF(AO102&gt;0,AO102,1E+99),IF(AQ102&gt;0,AQ102,1E+99),IF(AS102&gt;0,AS102,1E+99),IF(AU102&gt;0,AU102,1E+99),IF(AW102&gt;0,AW102,1E+99),IF(AY102&gt;0,AY102,1E+99),IF(BA102&gt;0,BA102,1E+99)),IF(m=1E+99,"",m))</x:f>
        <x:v>47.948</x:v>
      </x:c>
      <x:c r="BE102" s="16" t="e">
        <x:f>IF(BD102="","",INDEX({"v1.4.20","v1.4.20","v1.4.21","v1.4.21","v1.4.23","v1.4.23","v1.4.26","v1.4.26","v1.4.26.1","v1.4.26.1","v1.4.27","v1.4.27","v1.4.29","v1.4.29","v1.4.30","v1.4.30","v1.4.31","v1.4.31","v1.4.33","v1.4.33","v1.4.35","v1.4.35.2","v1.5","v1.5.1","v1.5.1"},MATCH(BD102,CHOOSE({1,2,3,4,5,6,7,8,9,10,11,12,13,14,15,16,17,18,19,20,21,22,23,24,25},E102,G102,I102,K102,M102,O102,Q102,S102,U102,W102,Y102,AA102,AC102,AE102,AG102,AI102,AK102,AM102,AO102,AQ102,AS102,AU102,AW102,AY102,BA102),0)))</x:f>
      </x:c>
      <x:c r="BF102" s="10" t="n">
        <x:f>IFERROR((AX102-BB102)/BB102,"")</x:f>
        <x:v>1.7000000000000002</x:v>
      </x:c>
      <x:c r="BG102" s="10" t="n">
        <x:f>IFERROR((AY102-BD102)/BD102,"")</x:f>
        <x:v>0.7524192875615251</x:v>
      </x:c>
    </x:row>
    <x:row r="103">
      <x:c r="A103" t="str">
        <x:v>Unlocked Care Plan</x:v>
      </x:c>
      <x:c r="B103" t="str">
        <x:v>Create / Refresh All Templates</x:v>
      </x:c>
      <x:c r="C103" t="str">
        <x:v>Template refresh decision: FULL_BUILD - Template - Unlocked Care Plan (template sheet did not exist; no stored signature)</x:v>
      </x:c>
      <x:c r="D103" s="8" t="n">
        <x:v>0</x:v>
      </x:c>
      <x:c r="E103" s="8" t="n">
        <x:v>58.913</x:v>
      </x:c>
      <x:c r="F103" s="8" t="n">
        <x:v>0</x:v>
      </x:c>
      <x:c r="G103" s="8" t="n">
        <x:v>58.913</x:v>
      </x:c>
      <x:c r="H103" s="8" t="n">
        <x:v>0</x:v>
      </x:c>
      <x:c r="I103" s="8" t="n">
        <x:v>81.804</x:v>
      </x:c>
      <x:c r="J103" s="8"/>
      <x:c r="K103" s="8"/>
      <x:c r="L103" s="8"/>
      <x:c r="M103" s="8"/>
      <x:c r="N103" s="8" t="n">
        <x:v>0</x:v>
      </x:c>
      <x:c r="O103" s="8" t="n">
        <x:v>74.963</x:v>
      </x:c>
      <x:c r="P103" s="8" t="n">
        <x:v>0</x:v>
      </x:c>
      <x:c r="Q103" s="8" t="n">
        <x:v>47.948</x:v>
      </x:c>
      <x:c r="R103" s="8" t="n">
        <x:v>0</x:v>
      </x:c>
      <x:c r="S103" s="8" t="n">
        <x:v>47.948</x:v>
      </x:c>
      <x:c r="T103" s="8"/>
      <x:c r="U103" s="8"/>
      <x:c r="V103" s="8" t="n">
        <x:v>0</x:v>
      </x:c>
      <x:c r="W103" s="8" t="n">
        <x:v>64.747</x:v>
      </x:c>
      <x:c r="X103" s="8" t="n">
        <x:v>0</x:v>
      </x:c>
      <x:c r="Y103" s="8" t="n">
        <x:v>91.062</x:v>
      </x:c>
      <x:c r="Z103" s="8" t="n">
        <x:v>0</x:v>
      </x:c>
      <x:c r="AA103" s="8" t="n">
        <x:v>91.062</x:v>
      </x:c>
      <x:c r="AB103" s="8" t="n">
        <x:v>0</x:v>
      </x:c>
      <x:c r="AC103" s="8" t="n">
        <x:v>86.863</x:v>
      </x:c>
      <x:c r="AD103" s="8" t="n">
        <x:v>0</x:v>
      </x:c>
      <x:c r="AE103" s="8" t="n">
        <x:v>86.863</x:v>
      </x:c>
      <x:c r="AF103" s="8" t="n">
        <x:v>0</x:v>
      </x:c>
      <x:c r="AG103" s="8" t="n">
        <x:v>90.038</x:v>
      </x:c>
      <x:c r="AH103" s="8"/>
      <x:c r="AI103" s="8"/>
      <x:c r="AJ103" s="8" t="n">
        <x:v>0</x:v>
      </x:c>
      <x:c r="AK103" s="8" t="n">
        <x:v>67.342</x:v>
      </x:c>
      <x:c r="AL103" s="8" t="n">
        <x:v>0</x:v>
      </x:c>
      <x:c r="AM103" s="8" t="n">
        <x:v>67.342</x:v>
      </x:c>
      <x:c r="AN103" s="8" t="n">
        <x:v>0</x:v>
      </x:c>
      <x:c r="AO103" s="8" t="n">
        <x:v>66.902</x:v>
      </x:c>
      <x:c r="AP103" s="8"/>
      <x:c r="AQ103" s="8"/>
      <x:c r="AR103" s="8" t="n">
        <x:v>0</x:v>
      </x:c>
      <x:c r="AS103" s="8" t="n">
        <x:v>94.198</x:v>
      </x:c>
      <x:c r="AT103" s="8" t="n">
        <x:v>0</x:v>
      </x:c>
      <x:c r="AU103" s="8" t="n">
        <x:v>67.965</x:v>
      </x:c>
      <x:c r="AV103" s="8" t="n">
        <x:v>0</x:v>
      </x:c>
      <x:c r="AW103" s="8" t="n">
        <x:v>77.228</x:v>
      </x:c>
      <x:c r="AX103" s="8" t="n">
        <x:v>0</x:v>
      </x:c>
      <x:c r="AY103" s="8" t="n">
        <x:v>84.025</x:v>
      </x:c>
      <x:c r="AZ103" s="8"/>
      <x:c r="BA103" s="8"/>
      <x:c r="BB103" s="8" t="str">
        <x:f>LET(m,MIN(IF(D103&gt;0,D103,1E+99),IF(F103&gt;0,F103,1E+99),IF(H103&gt;0,H103,1E+99),IF(J103&gt;0,J103,1E+99),IF(L103&gt;0,L103,1E+99),IF(N103&gt;0,N103,1E+99),IF(P103&gt;0,P103,1E+99),IF(R103&gt;0,R103,1E+99),IF(T103&gt;0,T103,1E+99),IF(V103&gt;0,V103,1E+99),IF(X103&gt;0,X103,1E+99),IF(Z103&gt;0,Z103,1E+99),IF(AB103&gt;0,AB103,1E+99),IF(AD103&gt;0,AD103,1E+99),IF(AF103&gt;0,AF103,1E+99),IF(AH103&gt;0,AH103,1E+99),IF(AJ103&gt;0,AJ103,1E+99),IF(AL103&gt;0,AL103,1E+99),IF(AN103&gt;0,AN103,1E+99),IF(AP103&gt;0,AP103,1E+99),IF(AR103&gt;0,AR103,1E+99),IF(AT103&gt;0,AT103,1E+99),IF(AV103&gt;0,AV103,1E+99),IF(AX103&gt;0,AX103,1E+99),IF(AZ103&gt;0,AZ103,1E+99)),IF(m=1E+99,"",m))</x:f>
      </x:c>
      <x:c r="BC103" s="12" t="str">
        <x:f>IF(BB103="","",INDEX({"v1.4.20","v1.4.20","v1.4.21","v1.4.21","v1.4.23","v1.4.23","v1.4.26","v1.4.26","v1.4.26.1","v1.4.26.1","v1.4.27","v1.4.27","v1.4.29","v1.4.29","v1.4.30","v1.4.30","v1.4.31","v1.4.31","v1.4.33","v1.4.33","v1.4.35","v1.4.35.2","v1.5","v1.5.1","v1.5.1"},MATCH(BB103,CHOOSE({1,2,3,4,5,6,7,8,9,10,11,12,13,14,15,16,17,18,19,20,21,22,23,24,25},D103,F103,H103,J103,L103,N103,P103,R103,T103,V103,X103,Z103,AB103,AD103,AF103,AH103,AJ103,AL103,AN103,AP103,AR103,AT103,AV103,AX103,AZ103),0)))</x:f>
      </x:c>
      <x:c r="BD103" s="14" t="n">
        <x:f>LET(m,MIN(IF(E103&gt;0,E103,1E+99),IF(G103&gt;0,G103,1E+99),IF(I103&gt;0,I103,1E+99),IF(K103&gt;0,K103,1E+99),IF(M103&gt;0,M103,1E+99),IF(O103&gt;0,O103,1E+99),IF(Q103&gt;0,Q103,1E+99),IF(S103&gt;0,S103,1E+99),IF(U103&gt;0,U103,1E+99),IF(W103&gt;0,W103,1E+99),IF(Y103&gt;0,Y103,1E+99),IF(AA103&gt;0,AA103,1E+99),IF(AC103&gt;0,AC103,1E+99),IF(AE103&gt;0,AE103,1E+99),IF(AG103&gt;0,AG103,1E+99),IF(AI103&gt;0,AI103,1E+99),IF(AK103&gt;0,AK103,1E+99),IF(AM103&gt;0,AM103,1E+99),IF(AO103&gt;0,AO103,1E+99),IF(AQ103&gt;0,AQ103,1E+99),IF(AS103&gt;0,AS103,1E+99),IF(AU103&gt;0,AU103,1E+99),IF(AW103&gt;0,AW103,1E+99),IF(AY103&gt;0,AY103,1E+99),IF(BA103&gt;0,BA103,1E+99)),IF(m=1E+99,"",m))</x:f>
        <x:v>47.948</x:v>
      </x:c>
      <x:c r="BE103" s="16" t="e">
        <x:f>IF(BD103="","",INDEX({"v1.4.20","v1.4.20","v1.4.21","v1.4.21","v1.4.23","v1.4.23","v1.4.26","v1.4.26","v1.4.26.1","v1.4.26.1","v1.4.27","v1.4.27","v1.4.29","v1.4.29","v1.4.30","v1.4.30","v1.4.31","v1.4.31","v1.4.33","v1.4.33","v1.4.35","v1.4.35.2","v1.5","v1.5.1","v1.5.1"},MATCH(BD103,CHOOSE({1,2,3,4,5,6,7,8,9,10,11,12,13,14,15,16,17,18,19,20,21,22,23,24,25},E103,G103,I103,K103,M103,O103,Q103,S103,U103,W103,Y103,AA103,AC103,AE103,AG103,AI103,AK103,AM103,AO103,AQ103,AS103,AU103,AW103,AY103,BA103),0)))</x:f>
      </x:c>
      <x:c r="BF103" s="10" t="str">
        <x:f>IFERROR((AX103-BB103)/BB103,"")</x:f>
      </x:c>
      <x:c r="BG103" s="10" t="n">
        <x:f>IFERROR((AY103-BD103)/BD103,"")</x:f>
        <x:v>0.7524192875615251</x:v>
      </x:c>
    </x:row>
    <x:row r="104">
      <x:c r="A104" t="str">
        <x:v>Unlocked Care Plan</x:v>
      </x:c>
      <x:c r="B104" t="str">
        <x:v>Create / Refresh All Templates</x:v>
      </x:c>
      <x:c r="C104" t="str">
        <x:v>Full template build required: Template - Unlocked Care Plan</x:v>
      </x:c>
      <x:c r="D104" s="8" t="n">
        <x:v>0</x:v>
      </x:c>
      <x:c r="E104" s="8" t="n">
        <x:v>58.913</x:v>
      </x:c>
      <x:c r="F104" s="8" t="n">
        <x:v>0</x:v>
      </x:c>
      <x:c r="G104" s="8" t="n">
        <x:v>58.913</x:v>
      </x:c>
      <x:c r="H104" s="8" t="n">
        <x:v>0</x:v>
      </x:c>
      <x:c r="I104" s="8" t="n">
        <x:v>81.804</x:v>
      </x:c>
      <x:c r="J104" s="8"/>
      <x:c r="K104" s="8"/>
      <x:c r="L104" s="8"/>
      <x:c r="M104" s="8"/>
      <x:c r="N104" s="8" t="n">
        <x:v>0</x:v>
      </x:c>
      <x:c r="O104" s="8" t="n">
        <x:v>74.963</x:v>
      </x:c>
      <x:c r="P104" s="8" t="n">
        <x:v>0</x:v>
      </x:c>
      <x:c r="Q104" s="8" t="n">
        <x:v>47.948</x:v>
      </x:c>
      <x:c r="R104" s="8" t="n">
        <x:v>0</x:v>
      </x:c>
      <x:c r="S104" s="8" t="n">
        <x:v>47.948</x:v>
      </x:c>
      <x:c r="T104" s="8"/>
      <x:c r="U104" s="8"/>
      <x:c r="V104" s="8" t="n">
        <x:v>0</x:v>
      </x:c>
      <x:c r="W104" s="8" t="n">
        <x:v>64.747</x:v>
      </x:c>
      <x:c r="X104" s="8" t="n">
        <x:v>0</x:v>
      </x:c>
      <x:c r="Y104" s="8" t="n">
        <x:v>91.062</x:v>
      </x:c>
      <x:c r="Z104" s="8" t="n">
        <x:v>0</x:v>
      </x:c>
      <x:c r="AA104" s="8" t="n">
        <x:v>91.062</x:v>
      </x:c>
      <x:c r="AB104" s="8" t="n">
        <x:v>0</x:v>
      </x:c>
      <x:c r="AC104" s="8" t="n">
        <x:v>86.863</x:v>
      </x:c>
      <x:c r="AD104" s="8" t="n">
        <x:v>0</x:v>
      </x:c>
      <x:c r="AE104" s="8" t="n">
        <x:v>86.863</x:v>
      </x:c>
      <x:c r="AF104" s="8" t="n">
        <x:v>0</x:v>
      </x:c>
      <x:c r="AG104" s="8" t="n">
        <x:v>90.038</x:v>
      </x:c>
      <x:c r="AH104" s="8"/>
      <x:c r="AI104" s="8"/>
      <x:c r="AJ104" s="8" t="n">
        <x:v>0</x:v>
      </x:c>
      <x:c r="AK104" s="8" t="n">
        <x:v>67.342</x:v>
      </x:c>
      <x:c r="AL104" s="8" t="n">
        <x:v>0</x:v>
      </x:c>
      <x:c r="AM104" s="8" t="n">
        <x:v>67.342</x:v>
      </x:c>
      <x:c r="AN104" s="8" t="n">
        <x:v>0</x:v>
      </x:c>
      <x:c r="AO104" s="8" t="n">
        <x:v>66.902</x:v>
      </x:c>
      <x:c r="AP104" s="8"/>
      <x:c r="AQ104" s="8"/>
      <x:c r="AR104" s="8" t="n">
        <x:v>0</x:v>
      </x:c>
      <x:c r="AS104" s="8" t="n">
        <x:v>94.198</x:v>
      </x:c>
      <x:c r="AT104" s="8" t="n">
        <x:v>0</x:v>
      </x:c>
      <x:c r="AU104" s="8" t="n">
        <x:v>67.965</x:v>
      </x:c>
      <x:c r="AV104" s="8" t="n">
        <x:v>0</x:v>
      </x:c>
      <x:c r="AW104" s="8" t="n">
        <x:v>77.228</x:v>
      </x:c>
      <x:c r="AX104" s="8" t="n">
        <x:v>0</x:v>
      </x:c>
      <x:c r="AY104" s="8" t="n">
        <x:v>84.025</x:v>
      </x:c>
      <x:c r="AZ104" s="8"/>
      <x:c r="BA104" s="8"/>
      <x:c r="BB104" s="8" t="str">
        <x:f>LET(m,MIN(IF(D104&gt;0,D104,1E+99),IF(F104&gt;0,F104,1E+99),IF(H104&gt;0,H104,1E+99),IF(J104&gt;0,J104,1E+99),IF(L104&gt;0,L104,1E+99),IF(N104&gt;0,N104,1E+99),IF(P104&gt;0,P104,1E+99),IF(R104&gt;0,R104,1E+99),IF(T104&gt;0,T104,1E+99),IF(V104&gt;0,V104,1E+99),IF(X104&gt;0,X104,1E+99),IF(Z104&gt;0,Z104,1E+99),IF(AB104&gt;0,AB104,1E+99),IF(AD104&gt;0,AD104,1E+99),IF(AF104&gt;0,AF104,1E+99),IF(AH104&gt;0,AH104,1E+99),IF(AJ104&gt;0,AJ104,1E+99),IF(AL104&gt;0,AL104,1E+99),IF(AN104&gt;0,AN104,1E+99),IF(AP104&gt;0,AP104,1E+99),IF(AR104&gt;0,AR104,1E+99),IF(AT104&gt;0,AT104,1E+99),IF(AV104&gt;0,AV104,1E+99),IF(AX104&gt;0,AX104,1E+99),IF(AZ104&gt;0,AZ104,1E+99)),IF(m=1E+99,"",m))</x:f>
      </x:c>
      <x:c r="BC104" s="12" t="str">
        <x:f>IF(BB104="","",INDEX({"v1.4.20","v1.4.20","v1.4.21","v1.4.21","v1.4.23","v1.4.23","v1.4.26","v1.4.26","v1.4.26.1","v1.4.26.1","v1.4.27","v1.4.27","v1.4.29","v1.4.29","v1.4.30","v1.4.30","v1.4.31","v1.4.31","v1.4.33","v1.4.33","v1.4.35","v1.4.35.2","v1.5","v1.5.1","v1.5.1"},MATCH(BB104,CHOOSE({1,2,3,4,5,6,7,8,9,10,11,12,13,14,15,16,17,18,19,20,21,22,23,24,25},D104,F104,H104,J104,L104,N104,P104,R104,T104,V104,X104,Z104,AB104,AD104,AF104,AH104,AJ104,AL104,AN104,AP104,AR104,AT104,AV104,AX104,AZ104),0)))</x:f>
      </x:c>
      <x:c r="BD104" s="14" t="n">
        <x:f>LET(m,MIN(IF(E104&gt;0,E104,1E+99),IF(G104&gt;0,G104,1E+99),IF(I104&gt;0,I104,1E+99),IF(K104&gt;0,K104,1E+99),IF(M104&gt;0,M104,1E+99),IF(O104&gt;0,O104,1E+99),IF(Q104&gt;0,Q104,1E+99),IF(S104&gt;0,S104,1E+99),IF(U104&gt;0,U104,1E+99),IF(W104&gt;0,W104,1E+99),IF(Y104&gt;0,Y104,1E+99),IF(AA104&gt;0,AA104,1E+99),IF(AC104&gt;0,AC104,1E+99),IF(AE104&gt;0,AE104,1E+99),IF(AG104&gt;0,AG104,1E+99),IF(AI104&gt;0,AI104,1E+99),IF(AK104&gt;0,AK104,1E+99),IF(AM104&gt;0,AM104,1E+99),IF(AO104&gt;0,AO104,1E+99),IF(AQ104&gt;0,AQ104,1E+99),IF(AS104&gt;0,AS104,1E+99),IF(AU104&gt;0,AU104,1E+99),IF(AW104&gt;0,AW104,1E+99),IF(AY104&gt;0,AY104,1E+99),IF(BA104&gt;0,BA104,1E+99)),IF(m=1E+99,"",m))</x:f>
        <x:v>47.948</x:v>
      </x:c>
      <x:c r="BE104" s="16" t="e">
        <x:f>IF(BD104="","",INDEX({"v1.4.20","v1.4.20","v1.4.21","v1.4.21","v1.4.23","v1.4.23","v1.4.26","v1.4.26","v1.4.26.1","v1.4.26.1","v1.4.27","v1.4.27","v1.4.29","v1.4.29","v1.4.30","v1.4.30","v1.4.31","v1.4.31","v1.4.33","v1.4.33","v1.4.35","v1.4.35.2","v1.5","v1.5.1","v1.5.1"},MATCH(BD104,CHOOSE({1,2,3,4,5,6,7,8,9,10,11,12,13,14,15,16,17,18,19,20,21,22,23,24,25},E104,G104,I104,K104,M104,O104,Q104,S104,U104,W104,Y104,AA104,AC104,AE104,AG104,AI104,AK104,AM104,AO104,AQ104,AS104,AU104,AW104,AY104,BA104),0)))</x:f>
      </x:c>
      <x:c r="BF104" s="10" t="str">
        <x:f>IFERROR((AX104-BB104)/BB104,"")</x:f>
      </x:c>
      <x:c r="BG104" s="10" t="n">
        <x:f>IFERROR((AY104-BD104)/BD104,"")</x:f>
        <x:v>0.7524192875615251</x:v>
      </x:c>
    </x:row>
    <x:row r="105">
      <x:c r="A105" t="str">
        <x:v>Unlocked Care Plan</x:v>
      </x:c>
      <x:c r="B105" t="str">
        <x:v>Create / Refresh All Templates</x:v>
      </x:c>
      <x:c r="C105" t="str">
        <x:v>Create template fast path - clear skipped for blank sheet: Template - Unlocked Care Plan</x:v>
      </x:c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 t="n">
        <x:v>0</x:v>
      </x:c>
      <x:c r="W105" s="8" t="n">
        <x:v>64.747</x:v>
      </x:c>
      <x:c r="X105" s="8"/>
      <x:c r="Y105" s="8"/>
      <x:c r="Z105" s="8"/>
      <x:c r="AA105" s="8"/>
      <x:c r="AB105" s="8" t="n">
        <x:v>0</x:v>
      </x:c>
      <x:c r="AC105" s="8" t="n">
        <x:v>86.863</x:v>
      </x:c>
      <x:c r="AD105" s="8" t="n">
        <x:v>0</x:v>
      </x:c>
      <x:c r="AE105" s="8" t="n">
        <x:v>86.863</x:v>
      </x:c>
      <x:c r="AF105" s="8" t="n">
        <x:v>0</x:v>
      </x:c>
      <x:c r="AG105" s="8" t="n">
        <x:v>90.038</x:v>
      </x:c>
      <x:c r="AH105" s="8"/>
      <x:c r="AI105" s="8"/>
      <x:c r="AJ105" s="8" t="n">
        <x:v>0</x:v>
      </x:c>
      <x:c r="AK105" s="8" t="n">
        <x:v>67.342</x:v>
      </x:c>
      <x:c r="AL105" s="8" t="n">
        <x:v>0</x:v>
      </x:c>
      <x:c r="AM105" s="8" t="n">
        <x:v>67.342</x:v>
      </x:c>
      <x:c r="AN105" s="8" t="n">
        <x:v>0</x:v>
      </x:c>
      <x:c r="AO105" s="8" t="n">
        <x:v>66.902</x:v>
      </x:c>
      <x:c r="AP105" s="8"/>
      <x:c r="AQ105" s="8"/>
      <x:c r="AR105" s="8"/>
      <x:c r="AS105" s="8"/>
      <x:c r="AT105" s="8"/>
      <x:c r="AU105" s="8"/>
      <x:c r="AV105" s="8" t="n">
        <x:v>10.244</x:v>
      </x:c>
      <x:c r="AW105" s="8" t="n">
        <x:v>87.472</x:v>
      </x:c>
      <x:c r="AX105" s="8" t="n">
        <x:v>7.214</x:v>
      </x:c>
      <x:c r="AY105" s="8" t="n">
        <x:v>91.239</x:v>
      </x:c>
      <x:c r="AZ105" s="8"/>
      <x:c r="BA105" s="8"/>
      <x:c r="BB105" s="8" t="n">
        <x:f>LET(m,MIN(IF(D105&gt;0,D105,1E+99),IF(F105&gt;0,F105,1E+99),IF(H105&gt;0,H105,1E+99),IF(J105&gt;0,J105,1E+99),IF(L105&gt;0,L105,1E+99),IF(N105&gt;0,N105,1E+99),IF(P105&gt;0,P105,1E+99),IF(R105&gt;0,R105,1E+99),IF(T105&gt;0,T105,1E+99),IF(V105&gt;0,V105,1E+99),IF(X105&gt;0,X105,1E+99),IF(Z105&gt;0,Z105,1E+99),IF(AB105&gt;0,AB105,1E+99),IF(AD105&gt;0,AD105,1E+99),IF(AF105&gt;0,AF105,1E+99),IF(AH105&gt;0,AH105,1E+99),IF(AJ105&gt;0,AJ105,1E+99),IF(AL105&gt;0,AL105,1E+99),IF(AN105&gt;0,AN105,1E+99),IF(AP105&gt;0,AP105,1E+99),IF(AR105&gt;0,AR105,1E+99),IF(AT105&gt;0,AT105,1E+99),IF(AV105&gt;0,AV105,1E+99),IF(AX105&gt;0,AX105,1E+99),IF(AZ105&gt;0,AZ105,1E+99)),IF(m=1E+99,"",m))</x:f>
        <x:v>7.214</x:v>
      </x:c>
      <x:c r="BC105" s="12" t="e">
        <x:f>IF(BB105="","",INDEX({"v1.4.20","v1.4.20","v1.4.21","v1.4.21","v1.4.23","v1.4.23","v1.4.26","v1.4.26","v1.4.26.1","v1.4.26.1","v1.4.27","v1.4.27","v1.4.29","v1.4.29","v1.4.30","v1.4.30","v1.4.31","v1.4.31","v1.4.33","v1.4.33","v1.4.35","v1.4.35.2","v1.5","v1.5.1","v1.5.1"},MATCH(BB105,CHOOSE({1,2,3,4,5,6,7,8,9,10,11,12,13,14,15,16,17,18,19,20,21,22,23,24,25},D105,F105,H105,J105,L105,N105,P105,R105,T105,V105,X105,Z105,AB105,AD105,AF105,AH105,AJ105,AL105,AN105,AP105,AR105,AT105,AV105,AX105,AZ105),0)))</x:f>
      </x:c>
      <x:c r="BD105" s="14" t="n">
        <x:f>LET(m,MIN(IF(E105&gt;0,E105,1E+99),IF(G105&gt;0,G105,1E+99),IF(I105&gt;0,I105,1E+99),IF(K105&gt;0,K105,1E+99),IF(M105&gt;0,M105,1E+99),IF(O105&gt;0,O105,1E+99),IF(Q105&gt;0,Q105,1E+99),IF(S105&gt;0,S105,1E+99),IF(U105&gt;0,U105,1E+99),IF(W105&gt;0,W105,1E+99),IF(Y105&gt;0,Y105,1E+99),IF(AA105&gt;0,AA105,1E+99),IF(AC105&gt;0,AC105,1E+99),IF(AE105&gt;0,AE105,1E+99),IF(AG105&gt;0,AG105,1E+99),IF(AI105&gt;0,AI105,1E+99),IF(AK105&gt;0,AK105,1E+99),IF(AM105&gt;0,AM105,1E+99),IF(AO105&gt;0,AO105,1E+99),IF(AQ105&gt;0,AQ105,1E+99),IF(AS105&gt;0,AS105,1E+99),IF(AU105&gt;0,AU105,1E+99),IF(AW105&gt;0,AW105,1E+99),IF(AY105&gt;0,AY105,1E+99),IF(BA105&gt;0,BA105,1E+99)),IF(m=1E+99,"",m))</x:f>
        <x:v>64.747</x:v>
      </x:c>
      <x:c r="BE105" s="16" t="e">
        <x:f>IF(BD105="","",INDEX({"v1.4.20","v1.4.20","v1.4.21","v1.4.21","v1.4.23","v1.4.23","v1.4.26","v1.4.26","v1.4.26.1","v1.4.26.1","v1.4.27","v1.4.27","v1.4.29","v1.4.29","v1.4.30","v1.4.30","v1.4.31","v1.4.31","v1.4.33","v1.4.33","v1.4.35","v1.4.35.2","v1.5","v1.5.1","v1.5.1"},MATCH(BD105,CHOOSE({1,2,3,4,5,6,7,8,9,10,11,12,13,14,15,16,17,18,19,20,21,22,23,24,25},E105,G105,I105,K105,M105,O105,Q105,S105,U105,W105,Y105,AA105,AC105,AE105,AG105,AI105,AK105,AM105,AO105,AQ105,AS105,AU105,AW105,AY105,BA105),0)))</x:f>
      </x:c>
      <x:c r="BF105" s="10" t="n">
        <x:f>IFERROR((AX105-BB105)/BB105,"")</x:f>
        <x:v>0</x:v>
      </x:c>
      <x:c r="BG105" s="10" t="n">
        <x:f>IFERROR((AY105-BD105)/BD105,"")</x:f>
        <x:v>0.40916181444700145</x:v>
      </x:c>
    </x:row>
    <x:row r="106">
      <x:c r="A106" t="str">
        <x:v>Unlocked Care Plan</x:v>
      </x:c>
      <x:c r="B106" t="str">
        <x:v>Create / Refresh All Templates</x:v>
      </x:c>
      <x:c r="C106" t="str">
        <x:v>Resize sheet: Template - Unlocked Care Plan (500 rows x 4 cols)</x:v>
      </x:c>
      <x:c r="D106" s="8" t="n">
        <x:v>1.38</x:v>
      </x:c>
      <x:c r="E106" s="8" t="n">
        <x:v>66.674</x:v>
      </x:c>
      <x:c r="F106" s="8" t="n">
        <x:v>1.38</x:v>
      </x:c>
      <x:c r="G106" s="8" t="n">
        <x:v>66.674</x:v>
      </x:c>
      <x:c r="H106" s="8" t="n">
        <x:v>1.107</x:v>
      </x:c>
      <x:c r="I106" s="8" t="n">
        <x:v>91.585</x:v>
      </x:c>
      <x:c r="J106" s="8"/>
      <x:c r="K106" s="8"/>
      <x:c r="L106" s="8"/>
      <x:c r="M106" s="8"/>
      <x:c r="N106" s="8" t="n">
        <x:v>1.372</x:v>
      </x:c>
      <x:c r="O106" s="8" t="n">
        <x:v>84.307</x:v>
      </x:c>
      <x:c r="P106" s="8" t="n">
        <x:v>0.8</x:v>
      </x:c>
      <x:c r="Q106" s="8" t="n">
        <x:v>53.751</x:v>
      </x:c>
      <x:c r="R106" s="8" t="n">
        <x:v>0.8</x:v>
      </x:c>
      <x:c r="S106" s="8" t="n">
        <x:v>53.751</x:v>
      </x:c>
      <x:c r="T106" s="8"/>
      <x:c r="U106" s="8"/>
      <x:c r="V106" s="8"/>
      <x:c r="W106" s="8"/>
      <x:c r="X106" s="8" t="n">
        <x:v>1.891</x:v>
      </x:c>
      <x:c r="Y106" s="8" t="n">
        <x:v>102.724</x:v>
      </x:c>
      <x:c r="Z106" s="8" t="n">
        <x:v>1.891</x:v>
      </x:c>
      <x:c r="AA106" s="8" t="n">
        <x:v>102.724</x:v>
      </x:c>
      <x:c r="AB106" s="8" t="n">
        <x:v>9.27</x:v>
      </x:c>
      <x:c r="AC106" s="8" t="n">
        <x:v>96.133</x:v>
      </x:c>
      <x:c r="AD106" s="8" t="n">
        <x:v>9.27</x:v>
      </x:c>
      <x:c r="AE106" s="8" t="n">
        <x:v>96.133</x:v>
      </x:c>
      <x:c r="AF106" s="8"/>
      <x:c r="AG106" s="8"/>
      <x:c r="AH106" s="8"/>
      <x:c r="AI106" s="8"/>
      <x:c r="AJ106" s="8"/>
      <x:c r="AK106" s="8"/>
      <x:c r="AL106" s="8"/>
      <x:c r="AM106" s="8"/>
      <x:c r="AN106" s="8"/>
      <x:c r="AO106" s="8"/>
      <x:c r="AP106" s="8"/>
      <x:c r="AQ106" s="8"/>
      <x:c r="AR106" s="8" t="n">
        <x:v>1.515</x:v>
      </x:c>
      <x:c r="AS106" s="8" t="n">
        <x:v>105.652</x:v>
      </x:c>
      <x:c r="AT106" s="8" t="n">
        <x:v>1.006</x:v>
      </x:c>
      <x:c r="AU106" s="8" t="n">
        <x:v>77.411</x:v>
      </x:c>
      <x:c r="AV106" s="8" t="n">
        <x:v>0.887</x:v>
      </x:c>
      <x:c r="AW106" s="8" t="n">
        <x:v>88.359</x:v>
      </x:c>
      <x:c r="AX106" s="8" t="n">
        <x:v>0.813</x:v>
      </x:c>
      <x:c r="AY106" s="8" t="n">
        <x:v>92.052</x:v>
      </x:c>
      <x:c r="AZ106" s="8"/>
      <x:c r="BA106" s="8"/>
      <x:c r="BB106" s="8" t="n">
        <x:f>LET(m,MIN(IF(D106&gt;0,D106,1E+99),IF(F106&gt;0,F106,1E+99),IF(H106&gt;0,H106,1E+99),IF(J106&gt;0,J106,1E+99),IF(L106&gt;0,L106,1E+99),IF(N106&gt;0,N106,1E+99),IF(P106&gt;0,P106,1E+99),IF(R106&gt;0,R106,1E+99),IF(T106&gt;0,T106,1E+99),IF(V106&gt;0,V106,1E+99),IF(X106&gt;0,X106,1E+99),IF(Z106&gt;0,Z106,1E+99),IF(AB106&gt;0,AB106,1E+99),IF(AD106&gt;0,AD106,1E+99),IF(AF106&gt;0,AF106,1E+99),IF(AH106&gt;0,AH106,1E+99),IF(AJ106&gt;0,AJ106,1E+99),IF(AL106&gt;0,AL106,1E+99),IF(AN106&gt;0,AN106,1E+99),IF(AP106&gt;0,AP106,1E+99),IF(AR106&gt;0,AR106,1E+99),IF(AT106&gt;0,AT106,1E+99),IF(AV106&gt;0,AV106,1E+99),IF(AX106&gt;0,AX106,1E+99),IF(AZ106&gt;0,AZ106,1E+99)),IF(m=1E+99,"",m))</x:f>
        <x:v>0.8</x:v>
      </x:c>
      <x:c r="BC106" s="12" t="e">
        <x:f>IF(BB106="","",INDEX({"v1.4.20","v1.4.20","v1.4.21","v1.4.21","v1.4.23","v1.4.23","v1.4.26","v1.4.26","v1.4.26.1","v1.4.26.1","v1.4.27","v1.4.27","v1.4.29","v1.4.29","v1.4.30","v1.4.30","v1.4.31","v1.4.31","v1.4.33","v1.4.33","v1.4.35","v1.4.35.2","v1.5","v1.5.1","v1.5.1"},MATCH(BB106,CHOOSE({1,2,3,4,5,6,7,8,9,10,11,12,13,14,15,16,17,18,19,20,21,22,23,24,25},D106,F106,H106,J106,L106,N106,P106,R106,T106,V106,X106,Z106,AB106,AD106,AF106,AH106,AJ106,AL106,AN106,AP106,AR106,AT106,AV106,AX106,AZ106),0)))</x:f>
      </x:c>
      <x:c r="BD106" s="14" t="n">
        <x:f>LET(m,MIN(IF(E106&gt;0,E106,1E+99),IF(G106&gt;0,G106,1E+99),IF(I106&gt;0,I106,1E+99),IF(K106&gt;0,K106,1E+99),IF(M106&gt;0,M106,1E+99),IF(O106&gt;0,O106,1E+99),IF(Q106&gt;0,Q106,1E+99),IF(S106&gt;0,S106,1E+99),IF(U106&gt;0,U106,1E+99),IF(W106&gt;0,W106,1E+99),IF(Y106&gt;0,Y106,1E+99),IF(AA106&gt;0,AA106,1E+99),IF(AC106&gt;0,AC106,1E+99),IF(AE106&gt;0,AE106,1E+99),IF(AG106&gt;0,AG106,1E+99),IF(AI106&gt;0,AI106,1E+99),IF(AK106&gt;0,AK106,1E+99),IF(AM106&gt;0,AM106,1E+99),IF(AO106&gt;0,AO106,1E+99),IF(AQ106&gt;0,AQ106,1E+99),IF(AS106&gt;0,AS106,1E+99),IF(AU106&gt;0,AU106,1E+99),IF(AW106&gt;0,AW106,1E+99),IF(AY106&gt;0,AY106,1E+99),IF(BA106&gt;0,BA106,1E+99)),IF(m=1E+99,"",m))</x:f>
        <x:v>53.751</x:v>
      </x:c>
      <x:c r="BE106" s="16" t="e">
        <x:f>IF(BD106="","",INDEX({"v1.4.20","v1.4.20","v1.4.21","v1.4.21","v1.4.23","v1.4.23","v1.4.26","v1.4.26","v1.4.26.1","v1.4.26.1","v1.4.27","v1.4.27","v1.4.29","v1.4.29","v1.4.30","v1.4.30","v1.4.31","v1.4.31","v1.4.33","v1.4.33","v1.4.35","v1.4.35.2","v1.5","v1.5.1","v1.5.1"},MATCH(BD106,CHOOSE({1,2,3,4,5,6,7,8,9,10,11,12,13,14,15,16,17,18,19,20,21,22,23,24,25},E106,G106,I106,K106,M106,O106,Q106,S106,U106,W106,Y106,AA106,AC106,AE106,AG106,AI106,AK106,AM106,AO106,AQ106,AS106,AU106,AW106,AY106,BA106),0)))</x:f>
      </x:c>
      <x:c r="BF106" s="10" t="n">
        <x:f>IFERROR((AX106-BB106)/BB106,"")</x:f>
        <x:v>0.016249999999999876</x:v>
      </x:c>
      <x:c r="BG106" s="10" t="n">
        <x:f>IFERROR((AY106-BD106)/BD106,"")</x:f>
        <x:v>0.7125634871909362</x:v>
      </x:c>
    </x:row>
    <x:row r="107">
      <x:c r="A107" t="str">
        <x:v>Unlocked Care Plan</x:v>
      </x:c>
      <x:c r="B107" t="str">
        <x:v>Create / Refresh All Templates</x:v>
      </x:c>
      <x:c r="C107" t="str">
        <x:v>Apply title rows: Template - Unlocked Care Plan</x:v>
      </x:c>
      <x:c r="D107" s="8" t="n">
        <x:v>0.569</x:v>
      </x:c>
      <x:c r="E107" s="8" t="n">
        <x:v>67.243</x:v>
      </x:c>
      <x:c r="F107" s="8" t="n">
        <x:v>0.569</x:v>
      </x:c>
      <x:c r="G107" s="8" t="n">
        <x:v>67.243</x:v>
      </x:c>
      <x:c r="H107" s="8" t="n">
        <x:v>0.479</x:v>
      </x:c>
      <x:c r="I107" s="8" t="n">
        <x:v>92.064</x:v>
      </x:c>
      <x:c r="J107" s="8"/>
      <x:c r="K107" s="8"/>
      <x:c r="L107" s="8"/>
      <x:c r="M107" s="8"/>
      <x:c r="N107" s="8" t="n">
        <x:v>0.739</x:v>
      </x:c>
      <x:c r="O107" s="8" t="n">
        <x:v>85.046</x:v>
      </x:c>
      <x:c r="P107" s="8" t="n">
        <x:v>0.389</x:v>
      </x:c>
      <x:c r="Q107" s="8" t="n">
        <x:v>54.14</x:v>
      </x:c>
      <x:c r="R107" s="8" t="n">
        <x:v>0.389</x:v>
      </x:c>
      <x:c r="S107" s="8" t="n">
        <x:v>54.14</x:v>
      </x:c>
      <x:c r="T107" s="8"/>
      <x:c r="U107" s="8"/>
      <x:c r="V107" s="8" t="n">
        <x:v>0.441</x:v>
      </x:c>
      <x:c r="W107" s="8" t="n">
        <x:v>70.972</x:v>
      </x:c>
      <x:c r="X107" s="8" t="n">
        <x:v>0.703</x:v>
      </x:c>
      <x:c r="Y107" s="8" t="n">
        <x:v>103.427</x:v>
      </x:c>
      <x:c r="Z107" s="8" t="n">
        <x:v>0.703</x:v>
      </x:c>
      <x:c r="AA107" s="8" t="n">
        <x:v>103.427</x:v>
      </x:c>
      <x:c r="AB107" s="8" t="n">
        <x:v>0.63</x:v>
      </x:c>
      <x:c r="AC107" s="8" t="n">
        <x:v>96.763</x:v>
      </x:c>
      <x:c r="AD107" s="8" t="n">
        <x:v>0.63</x:v>
      </x:c>
      <x:c r="AE107" s="8" t="n">
        <x:v>96.763</x:v>
      </x:c>
      <x:c r="AF107" s="8" t="n">
        <x:v>0.746</x:v>
      </x:c>
      <x:c r="AG107" s="8" t="n">
        <x:v>101.992</x:v>
      </x:c>
      <x:c r="AH107" s="8"/>
      <x:c r="AI107" s="8"/>
      <x:c r="AJ107" s="8" t="n">
        <x:v>1.169</x:v>
      </x:c>
      <x:c r="AK107" s="8" t="n">
        <x:v>82.496</x:v>
      </x:c>
      <x:c r="AL107" s="8" t="n">
        <x:v>1.169</x:v>
      </x:c>
      <x:c r="AM107" s="8" t="n">
        <x:v>82.496</x:v>
      </x:c>
      <x:c r="AN107" s="8" t="n">
        <x:v>0.415</x:v>
      </x:c>
      <x:c r="AO107" s="8" t="n">
        <x:v>72.935</x:v>
      </x:c>
      <x:c r="AP107" s="8"/>
      <x:c r="AQ107" s="8"/>
      <x:c r="AR107" s="8" t="n">
        <x:v>0.762</x:v>
      </x:c>
      <x:c r="AS107" s="8" t="n">
        <x:v>106.414</x:v>
      </x:c>
      <x:c r="AT107" s="8" t="n">
        <x:v>0.616</x:v>
      </x:c>
      <x:c r="AU107" s="8" t="n">
        <x:v>78.027</x:v>
      </x:c>
      <x:c r="AV107" s="8" t="n">
        <x:v>0.705</x:v>
      </x:c>
      <x:c r="AW107" s="8" t="n">
        <x:v>89.064</x:v>
      </x:c>
      <x:c r="AX107" s="8" t="n">
        <x:v>0.749</x:v>
      </x:c>
      <x:c r="AY107" s="8" t="n">
        <x:v>92.801</x:v>
      </x:c>
      <x:c r="AZ107" s="8"/>
      <x:c r="BA107" s="8"/>
      <x:c r="BB107" s="8" t="n">
        <x:f>LET(m,MIN(IF(D107&gt;0,D107,1E+99),IF(F107&gt;0,F107,1E+99),IF(H107&gt;0,H107,1E+99),IF(J107&gt;0,J107,1E+99),IF(L107&gt;0,L107,1E+99),IF(N107&gt;0,N107,1E+99),IF(P107&gt;0,P107,1E+99),IF(R107&gt;0,R107,1E+99),IF(T107&gt;0,T107,1E+99),IF(V107&gt;0,V107,1E+99),IF(X107&gt;0,X107,1E+99),IF(Z107&gt;0,Z107,1E+99),IF(AB107&gt;0,AB107,1E+99),IF(AD107&gt;0,AD107,1E+99),IF(AF107&gt;0,AF107,1E+99),IF(AH107&gt;0,AH107,1E+99),IF(AJ107&gt;0,AJ107,1E+99),IF(AL107&gt;0,AL107,1E+99),IF(AN107&gt;0,AN107,1E+99),IF(AP107&gt;0,AP107,1E+99),IF(AR107&gt;0,AR107,1E+99),IF(AT107&gt;0,AT107,1E+99),IF(AV107&gt;0,AV107,1E+99),IF(AX107&gt;0,AX107,1E+99),IF(AZ107&gt;0,AZ107,1E+99)),IF(m=1E+99,"",m))</x:f>
        <x:v>0.389</x:v>
      </x:c>
      <x:c r="BC107" s="12" t="e">
        <x:f>IF(BB107="","",INDEX({"v1.4.20","v1.4.20","v1.4.21","v1.4.21","v1.4.23","v1.4.23","v1.4.26","v1.4.26","v1.4.26.1","v1.4.26.1","v1.4.27","v1.4.27","v1.4.29","v1.4.29","v1.4.30","v1.4.30","v1.4.31","v1.4.31","v1.4.33","v1.4.33","v1.4.35","v1.4.35.2","v1.5","v1.5.1","v1.5.1"},MATCH(BB107,CHOOSE({1,2,3,4,5,6,7,8,9,10,11,12,13,14,15,16,17,18,19,20,21,22,23,24,25},D107,F107,H107,J107,L107,N107,P107,R107,T107,V107,X107,Z107,AB107,AD107,AF107,AH107,AJ107,AL107,AN107,AP107,AR107,AT107,AV107,AX107,AZ107),0)))</x:f>
      </x:c>
      <x:c r="BD107" s="14" t="n">
        <x:f>LET(m,MIN(IF(E107&gt;0,E107,1E+99),IF(G107&gt;0,G107,1E+99),IF(I107&gt;0,I107,1E+99),IF(K107&gt;0,K107,1E+99),IF(M107&gt;0,M107,1E+99),IF(O107&gt;0,O107,1E+99),IF(Q107&gt;0,Q107,1E+99),IF(S107&gt;0,S107,1E+99),IF(U107&gt;0,U107,1E+99),IF(W107&gt;0,W107,1E+99),IF(Y107&gt;0,Y107,1E+99),IF(AA107&gt;0,AA107,1E+99),IF(AC107&gt;0,AC107,1E+99),IF(AE107&gt;0,AE107,1E+99),IF(AG107&gt;0,AG107,1E+99),IF(AI107&gt;0,AI107,1E+99),IF(AK107&gt;0,AK107,1E+99),IF(AM107&gt;0,AM107,1E+99),IF(AO107&gt;0,AO107,1E+99),IF(AQ107&gt;0,AQ107,1E+99),IF(AS107&gt;0,AS107,1E+99),IF(AU107&gt;0,AU107,1E+99),IF(AW107&gt;0,AW107,1E+99),IF(AY107&gt;0,AY107,1E+99),IF(BA107&gt;0,BA107,1E+99)),IF(m=1E+99,"",m))</x:f>
        <x:v>54.14</x:v>
      </x:c>
      <x:c r="BE107" s="16" t="e">
        <x:f>IF(BD107="","",INDEX({"v1.4.20","v1.4.20","v1.4.21","v1.4.21","v1.4.23","v1.4.23","v1.4.26","v1.4.26","v1.4.26.1","v1.4.26.1","v1.4.27","v1.4.27","v1.4.29","v1.4.29","v1.4.30","v1.4.30","v1.4.31","v1.4.31","v1.4.33","v1.4.33","v1.4.35","v1.4.35.2","v1.5","v1.5.1","v1.5.1"},MATCH(BD107,CHOOSE({1,2,3,4,5,6,7,8,9,10,11,12,13,14,15,16,17,18,19,20,21,22,23,24,25},E107,G107,I107,K107,M107,O107,Q107,S107,U107,W107,Y107,AA107,AC107,AE107,AG107,AI107,AK107,AM107,AO107,AQ107,AS107,AU107,AW107,AY107,BA107),0)))</x:f>
      </x:c>
      <x:c r="BF107" s="10" t="n">
        <x:f>IFERROR((AX107-BB107)/BB107,"")</x:f>
        <x:v>0.9254498714652956</x:v>
      </x:c>
      <x:c r="BG107" s="10" t="n">
        <x:f>IFERROR((AY107-BD107)/BD107,"")</x:f>
        <x:v>0.7140930919837458</x:v>
      </x:c>
    </x:row>
    <x:row r="108">
      <x:c r="A108" t="str">
        <x:v>Unlocked Care Plan</x:v>
      </x:c>
      <x:c r="B108" t="str">
        <x:v>Create / Refresh All Templates</x:v>
      </x:c>
      <x:c r="C108" t="str">
        <x:v>Apply header row: Template - Unlocked Care Plan</x:v>
      </x:c>
      <x:c r="D108" s="8" t="n">
        <x:v>0.099</x:v>
      </x:c>
      <x:c r="E108" s="8" t="n">
        <x:v>67.342</x:v>
      </x:c>
      <x:c r="F108" s="8" t="n">
        <x:v>0.099</x:v>
      </x:c>
      <x:c r="G108" s="8" t="n">
        <x:v>67.342</x:v>
      </x:c>
      <x:c r="H108" s="8" t="n">
        <x:v>0.024</x:v>
      </x:c>
      <x:c r="I108" s="8" t="n">
        <x:v>92.088</x:v>
      </x:c>
      <x:c r="J108" s="8"/>
      <x:c r="K108" s="8"/>
      <x:c r="L108" s="8"/>
      <x:c r="M108" s="8"/>
      <x:c r="N108" s="8" t="n">
        <x:v>0.053</x:v>
      </x:c>
      <x:c r="O108" s="8" t="n">
        <x:v>85.099</x:v>
      </x:c>
      <x:c r="P108" s="8" t="n">
        <x:v>0.037</x:v>
      </x:c>
      <x:c r="Q108" s="8" t="n">
        <x:v>54.177</x:v>
      </x:c>
      <x:c r="R108" s="8" t="n">
        <x:v>0.037</x:v>
      </x:c>
      <x:c r="S108" s="8" t="n">
        <x:v>54.177</x:v>
      </x:c>
      <x:c r="T108" s="8"/>
      <x:c r="U108" s="8"/>
      <x:c r="V108" s="8" t="n">
        <x:v>0.032</x:v>
      </x:c>
      <x:c r="W108" s="8" t="n">
        <x:v>71.004</x:v>
      </x:c>
      <x:c r="X108" s="8" t="n">
        <x:v>0.038</x:v>
      </x:c>
      <x:c r="Y108" s="8" t="n">
        <x:v>103.465</x:v>
      </x:c>
      <x:c r="Z108" s="8" t="n">
        <x:v>0.038</x:v>
      </x:c>
      <x:c r="AA108" s="8" t="n">
        <x:v>103.465</x:v>
      </x:c>
      <x:c r="AB108" s="8" t="n">
        <x:v>0.03</x:v>
      </x:c>
      <x:c r="AC108" s="8" t="n">
        <x:v>96.793</x:v>
      </x:c>
      <x:c r="AD108" s="8" t="n">
        <x:v>0.03</x:v>
      </x:c>
      <x:c r="AE108" s="8" t="n">
        <x:v>96.793</x:v>
      </x:c>
      <x:c r="AF108" s="8" t="n">
        <x:v>0.104</x:v>
      </x:c>
      <x:c r="AG108" s="8" t="n">
        <x:v>102.096</x:v>
      </x:c>
      <x:c r="AH108" s="8"/>
      <x:c r="AI108" s="8"/>
      <x:c r="AJ108" s="8" t="n">
        <x:v>0.059</x:v>
      </x:c>
      <x:c r="AK108" s="8" t="n">
        <x:v>82.555</x:v>
      </x:c>
      <x:c r="AL108" s="8" t="n">
        <x:v>0.059</x:v>
      </x:c>
      <x:c r="AM108" s="8" t="n">
        <x:v>82.555</x:v>
      </x:c>
      <x:c r="AN108" s="8" t="n">
        <x:v>0.033</x:v>
      </x:c>
      <x:c r="AO108" s="8" t="n">
        <x:v>72.968</x:v>
      </x:c>
      <x:c r="AP108" s="8"/>
      <x:c r="AQ108" s="8"/>
      <x:c r="AR108" s="8" t="n">
        <x:v>0.056</x:v>
      </x:c>
      <x:c r="AS108" s="8" t="n">
        <x:v>106.47</x:v>
      </x:c>
      <x:c r="AT108" s="8" t="n">
        <x:v>0.042</x:v>
      </x:c>
      <x:c r="AU108" s="8" t="n">
        <x:v>78.069</x:v>
      </x:c>
      <x:c r="AV108" s="8" t="n">
        <x:v>0.019</x:v>
      </x:c>
      <x:c r="AW108" s="8" t="n">
        <x:v>89.083</x:v>
      </x:c>
      <x:c r="AX108" s="8" t="n">
        <x:v>0.034</x:v>
      </x:c>
      <x:c r="AY108" s="8" t="n">
        <x:v>92.835</x:v>
      </x:c>
      <x:c r="AZ108" s="8"/>
      <x:c r="BA108" s="8"/>
      <x:c r="BB108" s="8" t="n">
        <x:f>LET(m,MIN(IF(D108&gt;0,D108,1E+99),IF(F108&gt;0,F108,1E+99),IF(H108&gt;0,H108,1E+99),IF(J108&gt;0,J108,1E+99),IF(L108&gt;0,L108,1E+99),IF(N108&gt;0,N108,1E+99),IF(P108&gt;0,P108,1E+99),IF(R108&gt;0,R108,1E+99),IF(T108&gt;0,T108,1E+99),IF(V108&gt;0,V108,1E+99),IF(X108&gt;0,X108,1E+99),IF(Z108&gt;0,Z108,1E+99),IF(AB108&gt;0,AB108,1E+99),IF(AD108&gt;0,AD108,1E+99),IF(AF108&gt;0,AF108,1E+99),IF(AH108&gt;0,AH108,1E+99),IF(AJ108&gt;0,AJ108,1E+99),IF(AL108&gt;0,AL108,1E+99),IF(AN108&gt;0,AN108,1E+99),IF(AP108&gt;0,AP108,1E+99),IF(AR108&gt;0,AR108,1E+99),IF(AT108&gt;0,AT108,1E+99),IF(AV108&gt;0,AV108,1E+99),IF(AX108&gt;0,AX108,1E+99),IF(AZ108&gt;0,AZ108,1E+99)),IF(m=1E+99,"",m))</x:f>
        <x:v>0.019</x:v>
      </x:c>
      <x:c r="BC108" s="12" t="e">
        <x:f>IF(BB108="","",INDEX({"v1.4.20","v1.4.20","v1.4.21","v1.4.21","v1.4.23","v1.4.23","v1.4.26","v1.4.26","v1.4.26.1","v1.4.26.1","v1.4.27","v1.4.27","v1.4.29","v1.4.29","v1.4.30","v1.4.30","v1.4.31","v1.4.31","v1.4.33","v1.4.33","v1.4.35","v1.4.35.2","v1.5","v1.5.1","v1.5.1"},MATCH(BB108,CHOOSE({1,2,3,4,5,6,7,8,9,10,11,12,13,14,15,16,17,18,19,20,21,22,23,24,25},D108,F108,H108,J108,L108,N108,P108,R108,T108,V108,X108,Z108,AB108,AD108,AF108,AH108,AJ108,AL108,AN108,AP108,AR108,AT108,AV108,AX108,AZ108),0)))</x:f>
      </x:c>
      <x:c r="BD108" s="14" t="n">
        <x:f>LET(m,MIN(IF(E108&gt;0,E108,1E+99),IF(G108&gt;0,G108,1E+99),IF(I108&gt;0,I108,1E+99),IF(K108&gt;0,K108,1E+99),IF(M108&gt;0,M108,1E+99),IF(O108&gt;0,O108,1E+99),IF(Q108&gt;0,Q108,1E+99),IF(S108&gt;0,S108,1E+99),IF(U108&gt;0,U108,1E+99),IF(W108&gt;0,W108,1E+99),IF(Y108&gt;0,Y108,1E+99),IF(AA108&gt;0,AA108,1E+99),IF(AC108&gt;0,AC108,1E+99),IF(AE108&gt;0,AE108,1E+99),IF(AG108&gt;0,AG108,1E+99),IF(AI108&gt;0,AI108,1E+99),IF(AK108&gt;0,AK108,1E+99),IF(AM108&gt;0,AM108,1E+99),IF(AO108&gt;0,AO108,1E+99),IF(AQ108&gt;0,AQ108,1E+99),IF(AS108&gt;0,AS108,1E+99),IF(AU108&gt;0,AU108,1E+99),IF(AW108&gt;0,AW108,1E+99),IF(AY108&gt;0,AY108,1E+99),IF(BA108&gt;0,BA108,1E+99)),IF(m=1E+99,"",m))</x:f>
        <x:v>54.177</x:v>
      </x:c>
      <x:c r="BE108" s="16" t="e">
        <x:f>IF(BD108="","",INDEX({"v1.4.20","v1.4.20","v1.4.21","v1.4.21","v1.4.23","v1.4.23","v1.4.26","v1.4.26","v1.4.26.1","v1.4.26.1","v1.4.27","v1.4.27","v1.4.29","v1.4.29","v1.4.30","v1.4.30","v1.4.31","v1.4.31","v1.4.33","v1.4.33","v1.4.35","v1.4.35.2","v1.5","v1.5.1","v1.5.1"},MATCH(BD108,CHOOSE({1,2,3,4,5,6,7,8,9,10,11,12,13,14,15,16,17,18,19,20,21,22,23,24,25},E108,G108,I108,K108,M108,O108,Q108,S108,U108,W108,Y108,AA108,AC108,AE108,AG108,AI108,AK108,AM108,AO108,AQ108,AS108,AU108,AW108,AY108,BA108),0)))</x:f>
      </x:c>
      <x:c r="BF108" s="10" t="n">
        <x:f>IFERROR((AX108-BB108)/BB108,"")</x:f>
        <x:v>0.7894736842105264</x:v>
      </x:c>
      <x:c r="BG108" s="10" t="n">
        <x:f>IFERROR((AY108-BD108)/BD108,"")</x:f>
        <x:v>0.7135500304557283</x:v>
      </x:c>
    </x:row>
    <x:row r="109">
      <x:c r="A109" t="str">
        <x:v>Unlocked Care Plan</x:v>
      </x:c>
      <x:c r="B109" t="str">
        <x:v>Create / Refresh All Templates</x:v>
      </x:c>
      <x:c r="C109" t="str">
        <x:v>Apply alternating color rules: Template - Unlocked Care Plan</x:v>
      </x:c>
      <x:c r="D109" s="8" t="n">
        <x:v>1.584</x:v>
      </x:c>
      <x:c r="E109" s="8" t="n">
        <x:v>68.926</x:v>
      </x:c>
      <x:c r="F109" s="8" t="n">
        <x:v>1.584</x:v>
      </x:c>
      <x:c r="G109" s="8" t="n">
        <x:v>68.926</x:v>
      </x:c>
      <x:c r="H109" s="8" t="n">
        <x:v>1.526</x:v>
      </x:c>
      <x:c r="I109" s="8" t="n">
        <x:v>93.614</x:v>
      </x:c>
      <x:c r="J109" s="8"/>
      <x:c r="K109" s="8"/>
      <x:c r="L109" s="8"/>
      <x:c r="M109" s="8"/>
      <x:c r="N109" s="8" t="n">
        <x:v>1.627</x:v>
      </x:c>
      <x:c r="O109" s="8" t="n">
        <x:v>86.726</x:v>
      </x:c>
      <x:c r="P109" s="8" t="n">
        <x:v>1.157</x:v>
      </x:c>
      <x:c r="Q109" s="8" t="n">
        <x:v>55.334</x:v>
      </x:c>
      <x:c r="R109" s="8" t="n">
        <x:v>1.157</x:v>
      </x:c>
      <x:c r="S109" s="8" t="n">
        <x:v>55.334</x:v>
      </x:c>
      <x:c r="T109" s="8"/>
      <x:c r="U109" s="8"/>
      <x:c r="V109" s="8" t="n">
        <x:v>1.694</x:v>
      </x:c>
      <x:c r="W109" s="8" t="n">
        <x:v>72.698</x:v>
      </x:c>
      <x:c r="X109" s="8" t="n">
        <x:v>2.185</x:v>
      </x:c>
      <x:c r="Y109" s="8" t="n">
        <x:v>105.65</x:v>
      </x:c>
      <x:c r="Z109" s="8" t="n">
        <x:v>2.185</x:v>
      </x:c>
      <x:c r="AA109" s="8" t="n">
        <x:v>105.65</x:v>
      </x:c>
      <x:c r="AB109" s="8" t="n">
        <x:v>1.723</x:v>
      </x:c>
      <x:c r="AC109" s="8" t="n">
        <x:v>98.516</x:v>
      </x:c>
      <x:c r="AD109" s="8" t="n">
        <x:v>1.723</x:v>
      </x:c>
      <x:c r="AE109" s="8" t="n">
        <x:v>98.516</x:v>
      </x:c>
      <x:c r="AF109" s="8" t="n">
        <x:v>2.06</x:v>
      </x:c>
      <x:c r="AG109" s="8" t="n">
        <x:v>104.156</x:v>
      </x:c>
      <x:c r="AH109" s="8"/>
      <x:c r="AI109" s="8"/>
      <x:c r="AJ109" s="8" t="n">
        <x:v>2.818</x:v>
      </x:c>
      <x:c r="AK109" s="8" t="n">
        <x:v>85.373</x:v>
      </x:c>
      <x:c r="AL109" s="8" t="n">
        <x:v>2.818</x:v>
      </x:c>
      <x:c r="AM109" s="8" t="n">
        <x:v>85.373</x:v>
      </x:c>
      <x:c r="AN109" s="8" t="n">
        <x:v>1.819</x:v>
      </x:c>
      <x:c r="AO109" s="8" t="n">
        <x:v>74.787</x:v>
      </x:c>
      <x:c r="AP109" s="8"/>
      <x:c r="AQ109" s="8"/>
      <x:c r="AR109" s="8" t="n">
        <x:v>2.174</x:v>
      </x:c>
      <x:c r="AS109" s="8" t="n">
        <x:v>108.644</x:v>
      </x:c>
      <x:c r="AT109" s="8" t="n">
        <x:v>1.372</x:v>
      </x:c>
      <x:c r="AU109" s="8" t="n">
        <x:v>79.441</x:v>
      </x:c>
      <x:c r="AV109" s="8" t="n">
        <x:v>2.115</x:v>
      </x:c>
      <x:c r="AW109" s="8" t="n">
        <x:v>91.198</x:v>
      </x:c>
      <x:c r="AX109" s="8" t="n">
        <x:v>1.853</x:v>
      </x:c>
      <x:c r="AY109" s="8" t="n">
        <x:v>94.688</x:v>
      </x:c>
      <x:c r="AZ109" s="8"/>
      <x:c r="BA109" s="8"/>
      <x:c r="BB109" s="8" t="n">
        <x:f>LET(m,MIN(IF(D109&gt;0,D109,1E+99),IF(F109&gt;0,F109,1E+99),IF(H109&gt;0,H109,1E+99),IF(J109&gt;0,J109,1E+99),IF(L109&gt;0,L109,1E+99),IF(N109&gt;0,N109,1E+99),IF(P109&gt;0,P109,1E+99),IF(R109&gt;0,R109,1E+99),IF(T109&gt;0,T109,1E+99),IF(V109&gt;0,V109,1E+99),IF(X109&gt;0,X109,1E+99),IF(Z109&gt;0,Z109,1E+99),IF(AB109&gt;0,AB109,1E+99),IF(AD109&gt;0,AD109,1E+99),IF(AF109&gt;0,AF109,1E+99),IF(AH109&gt;0,AH109,1E+99),IF(AJ109&gt;0,AJ109,1E+99),IF(AL109&gt;0,AL109,1E+99),IF(AN109&gt;0,AN109,1E+99),IF(AP109&gt;0,AP109,1E+99),IF(AR109&gt;0,AR109,1E+99),IF(AT109&gt;0,AT109,1E+99),IF(AV109&gt;0,AV109,1E+99),IF(AX109&gt;0,AX109,1E+99),IF(AZ109&gt;0,AZ109,1E+99)),IF(m=1E+99,"",m))</x:f>
        <x:v>1.157</x:v>
      </x:c>
      <x:c r="BC109" s="12" t="e">
        <x:f>IF(BB109="","",INDEX({"v1.4.20","v1.4.20","v1.4.21","v1.4.21","v1.4.23","v1.4.23","v1.4.26","v1.4.26","v1.4.26.1","v1.4.26.1","v1.4.27","v1.4.27","v1.4.29","v1.4.29","v1.4.30","v1.4.30","v1.4.31","v1.4.31","v1.4.33","v1.4.33","v1.4.35","v1.4.35.2","v1.5","v1.5.1","v1.5.1"},MATCH(BB109,CHOOSE({1,2,3,4,5,6,7,8,9,10,11,12,13,14,15,16,17,18,19,20,21,22,23,24,25},D109,F109,H109,J109,L109,N109,P109,R109,T109,V109,X109,Z109,AB109,AD109,AF109,AH109,AJ109,AL109,AN109,AP109,AR109,AT109,AV109,AX109,AZ109),0)))</x:f>
      </x:c>
      <x:c r="BD109" s="14" t="n">
        <x:f>LET(m,MIN(IF(E109&gt;0,E109,1E+99),IF(G109&gt;0,G109,1E+99),IF(I109&gt;0,I109,1E+99),IF(K109&gt;0,K109,1E+99),IF(M109&gt;0,M109,1E+99),IF(O109&gt;0,O109,1E+99),IF(Q109&gt;0,Q109,1E+99),IF(S109&gt;0,S109,1E+99),IF(U109&gt;0,U109,1E+99),IF(W109&gt;0,W109,1E+99),IF(Y109&gt;0,Y109,1E+99),IF(AA109&gt;0,AA109,1E+99),IF(AC109&gt;0,AC109,1E+99),IF(AE109&gt;0,AE109,1E+99),IF(AG109&gt;0,AG109,1E+99),IF(AI109&gt;0,AI109,1E+99),IF(AK109&gt;0,AK109,1E+99),IF(AM109&gt;0,AM109,1E+99),IF(AO109&gt;0,AO109,1E+99),IF(AQ109&gt;0,AQ109,1E+99),IF(AS109&gt;0,AS109,1E+99),IF(AU109&gt;0,AU109,1E+99),IF(AW109&gt;0,AW109,1E+99),IF(AY109&gt;0,AY109,1E+99),IF(BA109&gt;0,BA109,1E+99)),IF(m=1E+99,"",m))</x:f>
        <x:v>55.334</x:v>
      </x:c>
      <x:c r="BE109" s="16" t="e">
        <x:f>IF(BD109="","",INDEX({"v1.4.20","v1.4.20","v1.4.21","v1.4.21","v1.4.23","v1.4.23","v1.4.26","v1.4.26","v1.4.26.1","v1.4.26.1","v1.4.27","v1.4.27","v1.4.29","v1.4.29","v1.4.30","v1.4.30","v1.4.31","v1.4.31","v1.4.33","v1.4.33","v1.4.35","v1.4.35.2","v1.5","v1.5.1","v1.5.1"},MATCH(BD109,CHOOSE({1,2,3,4,5,6,7,8,9,10,11,12,13,14,15,16,17,18,19,20,21,22,23,24,25},E109,G109,I109,K109,M109,O109,Q109,S109,U109,W109,Y109,AA109,AC109,AE109,AG109,AI109,AK109,AM109,AO109,AQ109,AS109,AU109,AW109,AY109,BA109),0)))</x:f>
      </x:c>
      <x:c r="BF109" s="10" t="n">
        <x:f>IFERROR((AX109-BB109)/BB109,"")</x:f>
        <x:v>0.6015557476231633</x:v>
      </x:c>
      <x:c r="BG109" s="10" t="n">
        <x:f>IFERROR((AY109-BD109)/BD109,"")</x:f>
        <x:v>0.7112082986951964</x:v>
      </x:c>
    </x:row>
    <x:row r="110">
      <x:c r="A110" t="str">
        <x:v>Unlocked Care Plan</x:v>
      </x:c>
      <x:c r="B110" t="str">
        <x:v>Create / Refresh All Templates</x:v>
      </x:c>
      <x:c r="C110" t="str">
        <x:v>Apply data row base style: Template - Unlocked Care Plan</x:v>
      </x:c>
      <x:c r="D110" s="8" t="n">
        <x:v>0</x:v>
      </x:c>
      <x:c r="E110" s="8" t="n">
        <x:v>68.926</x:v>
      </x:c>
      <x:c r="F110" s="8" t="n">
        <x:v>0</x:v>
      </x:c>
      <x:c r="G110" s="8" t="n">
        <x:v>68.926</x:v>
      </x:c>
      <x:c r="H110" s="8" t="n">
        <x:v>0</x:v>
      </x:c>
      <x:c r="I110" s="8" t="n">
        <x:v>93.614</x:v>
      </x:c>
      <x:c r="J110" s="8"/>
      <x:c r="K110" s="8"/>
      <x:c r="L110" s="8"/>
      <x:c r="M110" s="8"/>
      <x:c r="N110" s="8" t="n">
        <x:v>0</x:v>
      </x:c>
      <x:c r="O110" s="8" t="n">
        <x:v>86.726</x:v>
      </x:c>
      <x:c r="P110" s="8" t="n">
        <x:v>0</x:v>
      </x:c>
      <x:c r="Q110" s="8" t="n">
        <x:v>55.334</x:v>
      </x:c>
      <x:c r="R110" s="8" t="n">
        <x:v>0</x:v>
      </x:c>
      <x:c r="S110" s="8" t="n">
        <x:v>55.334</x:v>
      </x:c>
      <x:c r="T110" s="8"/>
      <x:c r="U110" s="8"/>
      <x:c r="V110" s="8" t="n">
        <x:v>0</x:v>
      </x:c>
      <x:c r="W110" s="8" t="n">
        <x:v>72.698</x:v>
      </x:c>
      <x:c r="X110" s="8" t="n">
        <x:v>0</x:v>
      </x:c>
      <x:c r="Y110" s="8" t="n">
        <x:v>105.65</x:v>
      </x:c>
      <x:c r="Z110" s="8" t="n">
        <x:v>0</x:v>
      </x:c>
      <x:c r="AA110" s="8" t="n">
        <x:v>105.65</x:v>
      </x:c>
      <x:c r="AB110" s="8" t="n">
        <x:v>0</x:v>
      </x:c>
      <x:c r="AC110" s="8" t="n">
        <x:v>98.516</x:v>
      </x:c>
      <x:c r="AD110" s="8" t="n">
        <x:v>0</x:v>
      </x:c>
      <x:c r="AE110" s="8" t="n">
        <x:v>98.516</x:v>
      </x:c>
      <x:c r="AF110" s="8" t="n">
        <x:v>0</x:v>
      </x:c>
      <x:c r="AG110" s="8" t="n">
        <x:v>104.156</x:v>
      </x:c>
      <x:c r="AH110" s="8"/>
      <x:c r="AI110" s="8"/>
      <x:c r="AJ110" s="8" t="n">
        <x:v>0</x:v>
      </x:c>
      <x:c r="AK110" s="8" t="n">
        <x:v>85.373</x:v>
      </x:c>
      <x:c r="AL110" s="8" t="n">
        <x:v>0</x:v>
      </x:c>
      <x:c r="AM110" s="8" t="n">
        <x:v>85.373</x:v>
      </x:c>
      <x:c r="AN110" s="8" t="n">
        <x:v>0</x:v>
      </x:c>
      <x:c r="AO110" s="8" t="n">
        <x:v>74.787</x:v>
      </x:c>
      <x:c r="AP110" s="8"/>
      <x:c r="AQ110" s="8"/>
      <x:c r="AR110" s="8" t="n">
        <x:v>0</x:v>
      </x:c>
      <x:c r="AS110" s="8" t="n">
        <x:v>108.644</x:v>
      </x:c>
      <x:c r="AT110" s="8" t="n">
        <x:v>0</x:v>
      </x:c>
      <x:c r="AU110" s="8" t="n">
        <x:v>79.441</x:v>
      </x:c>
      <x:c r="AV110" s="8" t="n">
        <x:v>0</x:v>
      </x:c>
      <x:c r="AW110" s="8" t="n">
        <x:v>91.198</x:v>
      </x:c>
      <x:c r="AX110" s="8" t="n">
        <x:v>0</x:v>
      </x:c>
      <x:c r="AY110" s="8" t="n">
        <x:v>94.688</x:v>
      </x:c>
      <x:c r="AZ110" s="8"/>
      <x:c r="BA110" s="8"/>
      <x:c r="BB110" s="8" t="str">
        <x:f>LET(m,MIN(IF(D110&gt;0,D110,1E+99),IF(F110&gt;0,F110,1E+99),IF(H110&gt;0,H110,1E+99),IF(J110&gt;0,J110,1E+99),IF(L110&gt;0,L110,1E+99),IF(N110&gt;0,N110,1E+99),IF(P110&gt;0,P110,1E+99),IF(R110&gt;0,R110,1E+99),IF(T110&gt;0,T110,1E+99),IF(V110&gt;0,V110,1E+99),IF(X110&gt;0,X110,1E+99),IF(Z110&gt;0,Z110,1E+99),IF(AB110&gt;0,AB110,1E+99),IF(AD110&gt;0,AD110,1E+99),IF(AF110&gt;0,AF110,1E+99),IF(AH110&gt;0,AH110,1E+99),IF(AJ110&gt;0,AJ110,1E+99),IF(AL110&gt;0,AL110,1E+99),IF(AN110&gt;0,AN110,1E+99),IF(AP110&gt;0,AP110,1E+99),IF(AR110&gt;0,AR110,1E+99),IF(AT110&gt;0,AT110,1E+99),IF(AV110&gt;0,AV110,1E+99),IF(AX110&gt;0,AX110,1E+99),IF(AZ110&gt;0,AZ110,1E+99)),IF(m=1E+99,"",m))</x:f>
      </x:c>
      <x:c r="BC110" s="12" t="str">
        <x:f>IF(BB110="","",INDEX({"v1.4.20","v1.4.20","v1.4.21","v1.4.21","v1.4.23","v1.4.23","v1.4.26","v1.4.26","v1.4.26.1","v1.4.26.1","v1.4.27","v1.4.27","v1.4.29","v1.4.29","v1.4.30","v1.4.30","v1.4.31","v1.4.31","v1.4.33","v1.4.33","v1.4.35","v1.4.35.2","v1.5","v1.5.1","v1.5.1"},MATCH(BB110,CHOOSE({1,2,3,4,5,6,7,8,9,10,11,12,13,14,15,16,17,18,19,20,21,22,23,24,25},D110,F110,H110,J110,L110,N110,P110,R110,T110,V110,X110,Z110,AB110,AD110,AF110,AH110,AJ110,AL110,AN110,AP110,AR110,AT110,AV110,AX110,AZ110),0)))</x:f>
      </x:c>
      <x:c r="BD110" s="14" t="n">
        <x:f>LET(m,MIN(IF(E110&gt;0,E110,1E+99),IF(G110&gt;0,G110,1E+99),IF(I110&gt;0,I110,1E+99),IF(K110&gt;0,K110,1E+99),IF(M110&gt;0,M110,1E+99),IF(O110&gt;0,O110,1E+99),IF(Q110&gt;0,Q110,1E+99),IF(S110&gt;0,S110,1E+99),IF(U110&gt;0,U110,1E+99),IF(W110&gt;0,W110,1E+99),IF(Y110&gt;0,Y110,1E+99),IF(AA110&gt;0,AA110,1E+99),IF(AC110&gt;0,AC110,1E+99),IF(AE110&gt;0,AE110,1E+99),IF(AG110&gt;0,AG110,1E+99),IF(AI110&gt;0,AI110,1E+99),IF(AK110&gt;0,AK110,1E+99),IF(AM110&gt;0,AM110,1E+99),IF(AO110&gt;0,AO110,1E+99),IF(AQ110&gt;0,AQ110,1E+99),IF(AS110&gt;0,AS110,1E+99),IF(AU110&gt;0,AU110,1E+99),IF(AW110&gt;0,AW110,1E+99),IF(AY110&gt;0,AY110,1E+99),IF(BA110&gt;0,BA110,1E+99)),IF(m=1E+99,"",m))</x:f>
        <x:v>55.334</x:v>
      </x:c>
      <x:c r="BE110" s="16" t="e">
        <x:f>IF(BD110="","",INDEX({"v1.4.20","v1.4.20","v1.4.21","v1.4.21","v1.4.23","v1.4.23","v1.4.26","v1.4.26","v1.4.26.1","v1.4.26.1","v1.4.27","v1.4.27","v1.4.29","v1.4.29","v1.4.30","v1.4.30","v1.4.31","v1.4.31","v1.4.33","v1.4.33","v1.4.35","v1.4.35.2","v1.5","v1.5.1","v1.5.1"},MATCH(BD110,CHOOSE({1,2,3,4,5,6,7,8,9,10,11,12,13,14,15,16,17,18,19,20,21,22,23,24,25},E110,G110,I110,K110,M110,O110,Q110,S110,U110,W110,Y110,AA110,AC110,AE110,AG110,AI110,AK110,AM110,AO110,AQ110,AS110,AU110,AW110,AY110,BA110),0)))</x:f>
      </x:c>
      <x:c r="BF110" s="10" t="str">
        <x:f>IFERROR((AX110-BB110)/BB110,"")</x:f>
      </x:c>
      <x:c r="BG110" s="10" t="n">
        <x:f>IFERROR((AY110-BD110)/BD110,"")</x:f>
        <x:v>0.7112082986951964</x:v>
      </x:c>
    </x:row>
    <x:row r="111">
      <x:c r="A111" t="str">
        <x:v>Unlocked Care Plan</x:v>
      </x:c>
      <x:c r="B111" t="str">
        <x:v>Create / Refresh All Templates</x:v>
      </x:c>
      <x:c r="C111" t="str">
        <x:v>Apply column widths: Template - Unlocked Care Plan</x:v>
      </x:c>
      <x:c r="D111" s="8" t="n">
        <x:v>0.525</x:v>
      </x:c>
      <x:c r="E111" s="8" t="n">
        <x:v>69.451</x:v>
      </x:c>
      <x:c r="F111" s="8" t="n">
        <x:v>0.525</x:v>
      </x:c>
      <x:c r="G111" s="8" t="n">
        <x:v>69.451</x:v>
      </x:c>
      <x:c r="H111" s="8" t="n">
        <x:v>0.461</x:v>
      </x:c>
      <x:c r="I111" s="8" t="n">
        <x:v>94.075</x:v>
      </x:c>
      <x:c r="J111" s="8"/>
      <x:c r="K111" s="8"/>
      <x:c r="L111" s="8"/>
      <x:c r="M111" s="8"/>
      <x:c r="N111" s="8" t="n">
        <x:v>0.477</x:v>
      </x:c>
      <x:c r="O111" s="8" t="n">
        <x:v>87.203</x:v>
      </x:c>
      <x:c r="P111" s="8" t="n">
        <x:v>0.298</x:v>
      </x:c>
      <x:c r="Q111" s="8" t="n">
        <x:v>55.632</x:v>
      </x:c>
      <x:c r="R111" s="8" t="n">
        <x:v>0.298</x:v>
      </x:c>
      <x:c r="S111" s="8" t="n">
        <x:v>55.632</x:v>
      </x:c>
      <x:c r="T111" s="8"/>
      <x:c r="U111" s="8"/>
      <x:c r="V111" s="8" t="n">
        <x:v>0.38</x:v>
      </x:c>
      <x:c r="W111" s="8" t="n">
        <x:v>73.078</x:v>
      </x:c>
      <x:c r="X111" s="8" t="n">
        <x:v>0.573</x:v>
      </x:c>
      <x:c r="Y111" s="8" t="n">
        <x:v>106.223</x:v>
      </x:c>
      <x:c r="Z111" s="8" t="n">
        <x:v>0.573</x:v>
      </x:c>
      <x:c r="AA111" s="8" t="n">
        <x:v>106.223</x:v>
      </x:c>
      <x:c r="AB111" s="8" t="n">
        <x:v>1.19</x:v>
      </x:c>
      <x:c r="AC111" s="8" t="n">
        <x:v>99.706</x:v>
      </x:c>
      <x:c r="AD111" s="8" t="n">
        <x:v>1.19</x:v>
      </x:c>
      <x:c r="AE111" s="8" t="n">
        <x:v>99.706</x:v>
      </x:c>
      <x:c r="AF111" s="8" t="n">
        <x:v>0.615</x:v>
      </x:c>
      <x:c r="AG111" s="8" t="n">
        <x:v>104.771</x:v>
      </x:c>
      <x:c r="AH111" s="8"/>
      <x:c r="AI111" s="8"/>
      <x:c r="AJ111" s="8" t="n">
        <x:v>1.159</x:v>
      </x:c>
      <x:c r="AK111" s="8" t="n">
        <x:v>86.532</x:v>
      </x:c>
      <x:c r="AL111" s="8" t="n">
        <x:v>1.159</x:v>
      </x:c>
      <x:c r="AM111" s="8" t="n">
        <x:v>86.532</x:v>
      </x:c>
      <x:c r="AN111" s="8" t="n">
        <x:v>0.385</x:v>
      </x:c>
      <x:c r="AO111" s="8" t="n">
        <x:v>75.172</x:v>
      </x:c>
      <x:c r="AP111" s="8"/>
      <x:c r="AQ111" s="8"/>
      <x:c r="AR111" s="8" t="n">
        <x:v>0.713</x:v>
      </x:c>
      <x:c r="AS111" s="8" t="n">
        <x:v>109.357</x:v>
      </x:c>
      <x:c r="AT111" s="8" t="n">
        <x:v>0.41</x:v>
      </x:c>
      <x:c r="AU111" s="8" t="n">
        <x:v>79.851</x:v>
      </x:c>
      <x:c r="AV111" s="8" t="n">
        <x:v>0.737</x:v>
      </x:c>
      <x:c r="AW111" s="8" t="n">
        <x:v>91.935</x:v>
      </x:c>
      <x:c r="AX111" s="8" t="n">
        <x:v>0.576</x:v>
      </x:c>
      <x:c r="AY111" s="8" t="n">
        <x:v>95.264</x:v>
      </x:c>
      <x:c r="AZ111" s="8"/>
      <x:c r="BA111" s="8"/>
      <x:c r="BB111" s="8" t="n">
        <x:f>LET(m,MIN(IF(D111&gt;0,D111,1E+99),IF(F111&gt;0,F111,1E+99),IF(H111&gt;0,H111,1E+99),IF(J111&gt;0,J111,1E+99),IF(L111&gt;0,L111,1E+99),IF(N111&gt;0,N111,1E+99),IF(P111&gt;0,P111,1E+99),IF(R111&gt;0,R111,1E+99),IF(T111&gt;0,T111,1E+99),IF(V111&gt;0,V111,1E+99),IF(X111&gt;0,X111,1E+99),IF(Z111&gt;0,Z111,1E+99),IF(AB111&gt;0,AB111,1E+99),IF(AD111&gt;0,AD111,1E+99),IF(AF111&gt;0,AF111,1E+99),IF(AH111&gt;0,AH111,1E+99),IF(AJ111&gt;0,AJ111,1E+99),IF(AL111&gt;0,AL111,1E+99),IF(AN111&gt;0,AN111,1E+99),IF(AP111&gt;0,AP111,1E+99),IF(AR111&gt;0,AR111,1E+99),IF(AT111&gt;0,AT111,1E+99),IF(AV111&gt;0,AV111,1E+99),IF(AX111&gt;0,AX111,1E+99),IF(AZ111&gt;0,AZ111,1E+99)),IF(m=1E+99,"",m))</x:f>
        <x:v>0.298</x:v>
      </x:c>
      <x:c r="BC111" s="12" t="e">
        <x:f>IF(BB111="","",INDEX({"v1.4.20","v1.4.20","v1.4.21","v1.4.21","v1.4.23","v1.4.23","v1.4.26","v1.4.26","v1.4.26.1","v1.4.26.1","v1.4.27","v1.4.27","v1.4.29","v1.4.29","v1.4.30","v1.4.30","v1.4.31","v1.4.31","v1.4.33","v1.4.33","v1.4.35","v1.4.35.2","v1.5","v1.5.1","v1.5.1"},MATCH(BB111,CHOOSE({1,2,3,4,5,6,7,8,9,10,11,12,13,14,15,16,17,18,19,20,21,22,23,24,25},D111,F111,H111,J111,L111,N111,P111,R111,T111,V111,X111,Z111,AB111,AD111,AF111,AH111,AJ111,AL111,AN111,AP111,AR111,AT111,AV111,AX111,AZ111),0)))</x:f>
      </x:c>
      <x:c r="BD111" s="14" t="n">
        <x:f>LET(m,MIN(IF(E111&gt;0,E111,1E+99),IF(G111&gt;0,G111,1E+99),IF(I111&gt;0,I111,1E+99),IF(K111&gt;0,K111,1E+99),IF(M111&gt;0,M111,1E+99),IF(O111&gt;0,O111,1E+99),IF(Q111&gt;0,Q111,1E+99),IF(S111&gt;0,S111,1E+99),IF(U111&gt;0,U111,1E+99),IF(W111&gt;0,W111,1E+99),IF(Y111&gt;0,Y111,1E+99),IF(AA111&gt;0,AA111,1E+99),IF(AC111&gt;0,AC111,1E+99),IF(AE111&gt;0,AE111,1E+99),IF(AG111&gt;0,AG111,1E+99),IF(AI111&gt;0,AI111,1E+99),IF(AK111&gt;0,AK111,1E+99),IF(AM111&gt;0,AM111,1E+99),IF(AO111&gt;0,AO111,1E+99),IF(AQ111&gt;0,AQ111,1E+99),IF(AS111&gt;0,AS111,1E+99),IF(AU111&gt;0,AU111,1E+99),IF(AW111&gt;0,AW111,1E+99),IF(AY111&gt;0,AY111,1E+99),IF(BA111&gt;0,BA111,1E+99)),IF(m=1E+99,"",m))</x:f>
        <x:v>55.632</x:v>
      </x:c>
      <x:c r="BE111" s="16" t="e">
        <x:f>IF(BD111="","",INDEX({"v1.4.20","v1.4.20","v1.4.21","v1.4.21","v1.4.23","v1.4.23","v1.4.26","v1.4.26","v1.4.26.1","v1.4.26.1","v1.4.27","v1.4.27","v1.4.29","v1.4.29","v1.4.30","v1.4.30","v1.4.31","v1.4.31","v1.4.33","v1.4.33","v1.4.35","v1.4.35.2","v1.5","v1.5.1","v1.5.1"},MATCH(BD111,CHOOSE({1,2,3,4,5,6,7,8,9,10,11,12,13,14,15,16,17,18,19,20,21,22,23,24,25},E111,G111,I111,K111,M111,O111,Q111,S111,U111,W111,Y111,AA111,AC111,AE111,AG111,AI111,AK111,AM111,AO111,AQ111,AS111,AU111,AW111,AY111,BA111),0)))</x:f>
      </x:c>
      <x:c r="BF111" s="10" t="n">
        <x:f>IFERROR((AX111-BB111)/BB111,"")</x:f>
        <x:v>0.9328859060402684</x:v>
      </x:c>
      <x:c r="BG111" s="10" t="n">
        <x:f>IFERROR((AY111-BD111)/BD111,"")</x:f>
        <x:v>0.7123957434570032</x:v>
      </x:c>
    </x:row>
    <x:row r="112">
      <x:c r="A112" t="str">
        <x:v>Unlocked Care Plan</x:v>
      </x:c>
      <x:c r="B112" t="str">
        <x:v>Create / Refresh All Templates</x:v>
      </x:c>
      <x:c r="C112" t="str">
        <x:v>Apply date/number formats: Template - Unlocked Care Plan</x:v>
      </x:c>
      <x:c r="D112" s="8" t="n">
        <x:v>0.031</x:v>
      </x:c>
      <x:c r="E112" s="8" t="n">
        <x:v>69.482</x:v>
      </x:c>
      <x:c r="F112" s="8" t="n">
        <x:v>0.031</x:v>
      </x:c>
      <x:c r="G112" s="8" t="n">
        <x:v>69.482</x:v>
      </x:c>
      <x:c r="H112" s="8" t="n">
        <x:v>0.015</x:v>
      </x:c>
      <x:c r="I112" s="8" t="n">
        <x:v>94.09</x:v>
      </x:c>
      <x:c r="J112" s="8"/>
      <x:c r="K112" s="8"/>
      <x:c r="L112" s="8"/>
      <x:c r="M112" s="8"/>
      <x:c r="N112" s="8" t="n">
        <x:v>0.023</x:v>
      </x:c>
      <x:c r="O112" s="8" t="n">
        <x:v>87.226</x:v>
      </x:c>
      <x:c r="P112" s="8" t="n">
        <x:v>0.016</x:v>
      </x:c>
      <x:c r="Q112" s="8" t="n">
        <x:v>55.648</x:v>
      </x:c>
      <x:c r="R112" s="8" t="n">
        <x:v>0.016</x:v>
      </x:c>
      <x:c r="S112" s="8" t="n">
        <x:v>55.648</x:v>
      </x:c>
      <x:c r="T112" s="8"/>
      <x:c r="U112" s="8"/>
      <x:c r="V112" s="8" t="n">
        <x:v>0.015</x:v>
      </x:c>
      <x:c r="W112" s="8" t="n">
        <x:v>73.093</x:v>
      </x:c>
      <x:c r="X112" s="8" t="n">
        <x:v>0.016</x:v>
      </x:c>
      <x:c r="Y112" s="8" t="n">
        <x:v>106.239</x:v>
      </x:c>
      <x:c r="Z112" s="8" t="n">
        <x:v>0.016</x:v>
      </x:c>
      <x:c r="AA112" s="8" t="n">
        <x:v>106.239</x:v>
      </x:c>
      <x:c r="AB112" s="8" t="n">
        <x:v>0.015</x:v>
      </x:c>
      <x:c r="AC112" s="8" t="n">
        <x:v>99.721</x:v>
      </x:c>
      <x:c r="AD112" s="8" t="n">
        <x:v>0.015</x:v>
      </x:c>
      <x:c r="AE112" s="8" t="n">
        <x:v>99.721</x:v>
      </x:c>
      <x:c r="AF112" s="8" t="n">
        <x:v>0.024</x:v>
      </x:c>
      <x:c r="AG112" s="8" t="n">
        <x:v>104.795</x:v>
      </x:c>
      <x:c r="AH112" s="8"/>
      <x:c r="AI112" s="8"/>
      <x:c r="AJ112" s="8" t="n">
        <x:v>0.039</x:v>
      </x:c>
      <x:c r="AK112" s="8" t="n">
        <x:v>86.571</x:v>
      </x:c>
      <x:c r="AL112" s="8" t="n">
        <x:v>0.039</x:v>
      </x:c>
      <x:c r="AM112" s="8" t="n">
        <x:v>86.571</x:v>
      </x:c>
      <x:c r="AN112" s="8" t="n">
        <x:v>0.021</x:v>
      </x:c>
      <x:c r="AO112" s="8" t="n">
        <x:v>75.193</x:v>
      </x:c>
      <x:c r="AP112" s="8"/>
      <x:c r="AQ112" s="8"/>
      <x:c r="AR112" s="8" t="n">
        <x:v>0.027</x:v>
      </x:c>
      <x:c r="AS112" s="8" t="n">
        <x:v>109.384</x:v>
      </x:c>
      <x:c r="AT112" s="8" t="n">
        <x:v>0.018</x:v>
      </x:c>
      <x:c r="AU112" s="8" t="n">
        <x:v>79.869</x:v>
      </x:c>
      <x:c r="AV112" s="8" t="n">
        <x:v>0.009</x:v>
      </x:c>
      <x:c r="AW112" s="8" t="n">
        <x:v>91.944</x:v>
      </x:c>
      <x:c r="AX112" s="8" t="n">
        <x:v>0.014</x:v>
      </x:c>
      <x:c r="AY112" s="8" t="n">
        <x:v>95.278</x:v>
      </x:c>
      <x:c r="AZ112" s="8"/>
      <x:c r="BA112" s="8"/>
      <x:c r="BB112" s="8" t="n">
        <x:f>LET(m,MIN(IF(D112&gt;0,D112,1E+99),IF(F112&gt;0,F112,1E+99),IF(H112&gt;0,H112,1E+99),IF(J112&gt;0,J112,1E+99),IF(L112&gt;0,L112,1E+99),IF(N112&gt;0,N112,1E+99),IF(P112&gt;0,P112,1E+99),IF(R112&gt;0,R112,1E+99),IF(T112&gt;0,T112,1E+99),IF(V112&gt;0,V112,1E+99),IF(X112&gt;0,X112,1E+99),IF(Z112&gt;0,Z112,1E+99),IF(AB112&gt;0,AB112,1E+99),IF(AD112&gt;0,AD112,1E+99),IF(AF112&gt;0,AF112,1E+99),IF(AH112&gt;0,AH112,1E+99),IF(AJ112&gt;0,AJ112,1E+99),IF(AL112&gt;0,AL112,1E+99),IF(AN112&gt;0,AN112,1E+99),IF(AP112&gt;0,AP112,1E+99),IF(AR112&gt;0,AR112,1E+99),IF(AT112&gt;0,AT112,1E+99),IF(AV112&gt;0,AV112,1E+99),IF(AX112&gt;0,AX112,1E+99),IF(AZ112&gt;0,AZ112,1E+99)),IF(m=1E+99,"",m))</x:f>
        <x:v>0.009</x:v>
      </x:c>
      <x:c r="BC112" s="12" t="e">
        <x:f>IF(BB112="","",INDEX({"v1.4.20","v1.4.20","v1.4.21","v1.4.21","v1.4.23","v1.4.23","v1.4.26","v1.4.26","v1.4.26.1","v1.4.26.1","v1.4.27","v1.4.27","v1.4.29","v1.4.29","v1.4.30","v1.4.30","v1.4.31","v1.4.31","v1.4.33","v1.4.33","v1.4.35","v1.4.35.2","v1.5","v1.5.1","v1.5.1"},MATCH(BB112,CHOOSE({1,2,3,4,5,6,7,8,9,10,11,12,13,14,15,16,17,18,19,20,21,22,23,24,25},D112,F112,H112,J112,L112,N112,P112,R112,T112,V112,X112,Z112,AB112,AD112,AF112,AH112,AJ112,AL112,AN112,AP112,AR112,AT112,AV112,AX112,AZ112),0)))</x:f>
      </x:c>
      <x:c r="BD112" s="14" t="n">
        <x:f>LET(m,MIN(IF(E112&gt;0,E112,1E+99),IF(G112&gt;0,G112,1E+99),IF(I112&gt;0,I112,1E+99),IF(K112&gt;0,K112,1E+99),IF(M112&gt;0,M112,1E+99),IF(O112&gt;0,O112,1E+99),IF(Q112&gt;0,Q112,1E+99),IF(S112&gt;0,S112,1E+99),IF(U112&gt;0,U112,1E+99),IF(W112&gt;0,W112,1E+99),IF(Y112&gt;0,Y112,1E+99),IF(AA112&gt;0,AA112,1E+99),IF(AC112&gt;0,AC112,1E+99),IF(AE112&gt;0,AE112,1E+99),IF(AG112&gt;0,AG112,1E+99),IF(AI112&gt;0,AI112,1E+99),IF(AK112&gt;0,AK112,1E+99),IF(AM112&gt;0,AM112,1E+99),IF(AO112&gt;0,AO112,1E+99),IF(AQ112&gt;0,AQ112,1E+99),IF(AS112&gt;0,AS112,1E+99),IF(AU112&gt;0,AU112,1E+99),IF(AW112&gt;0,AW112,1E+99),IF(AY112&gt;0,AY112,1E+99),IF(BA112&gt;0,BA112,1E+99)),IF(m=1E+99,"",m))</x:f>
        <x:v>55.648</x:v>
      </x:c>
      <x:c r="BE112" s="16" t="e">
        <x:f>IF(BD112="","",INDEX({"v1.4.20","v1.4.20","v1.4.21","v1.4.21","v1.4.23","v1.4.23","v1.4.26","v1.4.26","v1.4.26.1","v1.4.26.1","v1.4.27","v1.4.27","v1.4.29","v1.4.29","v1.4.30","v1.4.30","v1.4.31","v1.4.31","v1.4.33","v1.4.33","v1.4.35","v1.4.35.2","v1.5","v1.5.1","v1.5.1"},MATCH(BD112,CHOOSE({1,2,3,4,5,6,7,8,9,10,11,12,13,14,15,16,17,18,19,20,21,22,23,24,25},E112,G112,I112,K112,M112,O112,Q112,S112,U112,W112,Y112,AA112,AC112,AE112,AG112,AI112,AK112,AM112,AO112,AQ112,AS112,AU112,AW112,AY112,BA112),0)))</x:f>
      </x:c>
      <x:c r="BF112" s="10" t="n">
        <x:f>IFERROR((AX112-BB112)/BB112,"")</x:f>
        <x:v>0.5555555555555557</x:v>
      </x:c>
      <x:c r="BG112" s="10" t="n">
        <x:f>IFERROR((AY112-BD112)/BD112,"")</x:f>
        <x:v>0.7121549741230593</x:v>
      </x:c>
    </x:row>
    <x:row r="113">
      <x:c r="A113" t="str">
        <x:v>Unlocked Care Plan</x:v>
      </x:c>
      <x:c r="B113" t="str">
        <x:v>Create / Refresh All Templates</x:v>
      </x:c>
      <x:c r="C113" t="str">
        <x:v>Apply hidden/show column settings: Template - Unlocked Care Plan</x:v>
      </x:c>
      <x:c r="D113" s="8" t="n">
        <x:v>0.008</x:v>
      </x:c>
      <x:c r="E113" s="8" t="n">
        <x:v>69.49</x:v>
      </x:c>
      <x:c r="F113" s="8" t="n">
        <x:v>0.008</x:v>
      </x:c>
      <x:c r="G113" s="8" t="n">
        <x:v>69.49</x:v>
      </x:c>
      <x:c r="H113" s="8" t="n">
        <x:v>0.004</x:v>
      </x:c>
      <x:c r="I113" s="8" t="n">
        <x:v>94.094</x:v>
      </x:c>
      <x:c r="J113" s="8"/>
      <x:c r="K113" s="8"/>
      <x:c r="L113" s="8"/>
      <x:c r="M113" s="8"/>
      <x:c r="N113" s="8" t="n">
        <x:v>0.003</x:v>
      </x:c>
      <x:c r="O113" s="8" t="n">
        <x:v>87.229</x:v>
      </x:c>
      <x:c r="P113" s="8" t="n">
        <x:v>0.001</x:v>
      </x:c>
      <x:c r="Q113" s="8" t="n">
        <x:v>55.649</x:v>
      </x:c>
      <x:c r="R113" s="8" t="n">
        <x:v>0.001</x:v>
      </x:c>
      <x:c r="S113" s="8" t="n">
        <x:v>55.649</x:v>
      </x:c>
      <x:c r="T113" s="8"/>
      <x:c r="U113" s="8"/>
      <x:c r="V113" s="8" t="n">
        <x:v>0</x:v>
      </x:c>
      <x:c r="W113" s="8" t="n">
        <x:v>73.093</x:v>
      </x:c>
      <x:c r="X113" s="8" t="n">
        <x:v>0.002</x:v>
      </x:c>
      <x:c r="Y113" s="8" t="n">
        <x:v>106.241</x:v>
      </x:c>
      <x:c r="Z113" s="8" t="n">
        <x:v>0.002</x:v>
      </x:c>
      <x:c r="AA113" s="8" t="n">
        <x:v>106.241</x:v>
      </x:c>
      <x:c r="AB113" s="8" t="n">
        <x:v>0</x:v>
      </x:c>
      <x:c r="AC113" s="8" t="n">
        <x:v>99.721</x:v>
      </x:c>
      <x:c r="AD113" s="8" t="n">
        <x:v>0</x:v>
      </x:c>
      <x:c r="AE113" s="8" t="n">
        <x:v>99.721</x:v>
      </x:c>
      <x:c r="AF113" s="8" t="n">
        <x:v>0.002</x:v>
      </x:c>
      <x:c r="AG113" s="8" t="n">
        <x:v>104.797</x:v>
      </x:c>
      <x:c r="AH113" s="8"/>
      <x:c r="AI113" s="8"/>
      <x:c r="AJ113" s="8" t="n">
        <x:v>0.001</x:v>
      </x:c>
      <x:c r="AK113" s="8" t="n">
        <x:v>86.572</x:v>
      </x:c>
      <x:c r="AL113" s="8" t="n">
        <x:v>0.001</x:v>
      </x:c>
      <x:c r="AM113" s="8" t="n">
        <x:v>86.572</x:v>
      </x:c>
      <x:c r="AN113" s="8" t="n">
        <x:v>0.001</x:v>
      </x:c>
      <x:c r="AO113" s="8" t="n">
        <x:v>75.194</x:v>
      </x:c>
      <x:c r="AP113" s="8"/>
      <x:c r="AQ113" s="8"/>
      <x:c r="AR113" s="8" t="n">
        <x:v>0.001</x:v>
      </x:c>
      <x:c r="AS113" s="8" t="n">
        <x:v>109.385</x:v>
      </x:c>
      <x:c r="AT113" s="8" t="n">
        <x:v>0.002</x:v>
      </x:c>
      <x:c r="AU113" s="8" t="n">
        <x:v>79.871</x:v>
      </x:c>
      <x:c r="AV113" s="8" t="n">
        <x:v>0</x:v>
      </x:c>
      <x:c r="AW113" s="8" t="n">
        <x:v>91.944</x:v>
      </x:c>
      <x:c r="AX113" s="8" t="n">
        <x:v>0.001</x:v>
      </x:c>
      <x:c r="AY113" s="8" t="n">
        <x:v>95.279</x:v>
      </x:c>
      <x:c r="AZ113" s="8"/>
      <x:c r="BA113" s="8"/>
      <x:c r="BB113" s="8" t="n">
        <x:f>LET(m,MIN(IF(D113&gt;0,D113,1E+99),IF(F113&gt;0,F113,1E+99),IF(H113&gt;0,H113,1E+99),IF(J113&gt;0,J113,1E+99),IF(L113&gt;0,L113,1E+99),IF(N113&gt;0,N113,1E+99),IF(P113&gt;0,P113,1E+99),IF(R113&gt;0,R113,1E+99),IF(T113&gt;0,T113,1E+99),IF(V113&gt;0,V113,1E+99),IF(X113&gt;0,X113,1E+99),IF(Z113&gt;0,Z113,1E+99),IF(AB113&gt;0,AB113,1E+99),IF(AD113&gt;0,AD113,1E+99),IF(AF113&gt;0,AF113,1E+99),IF(AH113&gt;0,AH113,1E+99),IF(AJ113&gt;0,AJ113,1E+99),IF(AL113&gt;0,AL113,1E+99),IF(AN113&gt;0,AN113,1E+99),IF(AP113&gt;0,AP113,1E+99),IF(AR113&gt;0,AR113,1E+99),IF(AT113&gt;0,AT113,1E+99),IF(AV113&gt;0,AV113,1E+99),IF(AX113&gt;0,AX113,1E+99),IF(AZ113&gt;0,AZ113,1E+99)),IF(m=1E+99,"",m))</x:f>
        <x:v>0.001</x:v>
      </x:c>
      <x:c r="BC113" s="12" t="e">
        <x:f>IF(BB113="","",INDEX({"v1.4.20","v1.4.20","v1.4.21","v1.4.21","v1.4.23","v1.4.23","v1.4.26","v1.4.26","v1.4.26.1","v1.4.26.1","v1.4.27","v1.4.27","v1.4.29","v1.4.29","v1.4.30","v1.4.30","v1.4.31","v1.4.31","v1.4.33","v1.4.33","v1.4.35","v1.4.35.2","v1.5","v1.5.1","v1.5.1"},MATCH(BB113,CHOOSE({1,2,3,4,5,6,7,8,9,10,11,12,13,14,15,16,17,18,19,20,21,22,23,24,25},D113,F113,H113,J113,L113,N113,P113,R113,T113,V113,X113,Z113,AB113,AD113,AF113,AH113,AJ113,AL113,AN113,AP113,AR113,AT113,AV113,AX113,AZ113),0)))</x:f>
      </x:c>
      <x:c r="BD113" s="14" t="n">
        <x:f>LET(m,MIN(IF(E113&gt;0,E113,1E+99),IF(G113&gt;0,G113,1E+99),IF(I113&gt;0,I113,1E+99),IF(K113&gt;0,K113,1E+99),IF(M113&gt;0,M113,1E+99),IF(O113&gt;0,O113,1E+99),IF(Q113&gt;0,Q113,1E+99),IF(S113&gt;0,S113,1E+99),IF(U113&gt;0,U113,1E+99),IF(W113&gt;0,W113,1E+99),IF(Y113&gt;0,Y113,1E+99),IF(AA113&gt;0,AA113,1E+99),IF(AC113&gt;0,AC113,1E+99),IF(AE113&gt;0,AE113,1E+99),IF(AG113&gt;0,AG113,1E+99),IF(AI113&gt;0,AI113,1E+99),IF(AK113&gt;0,AK113,1E+99),IF(AM113&gt;0,AM113,1E+99),IF(AO113&gt;0,AO113,1E+99),IF(AQ113&gt;0,AQ113,1E+99),IF(AS113&gt;0,AS113,1E+99),IF(AU113&gt;0,AU113,1E+99),IF(AW113&gt;0,AW113,1E+99),IF(AY113&gt;0,AY113,1E+99),IF(BA113&gt;0,BA113,1E+99)),IF(m=1E+99,"",m))</x:f>
        <x:v>55.649</x:v>
      </x:c>
      <x:c r="BE113" s="16" t="e">
        <x:f>IF(BD113="","",INDEX({"v1.4.20","v1.4.20","v1.4.21","v1.4.21","v1.4.23","v1.4.23","v1.4.26","v1.4.26","v1.4.26.1","v1.4.26.1","v1.4.27","v1.4.27","v1.4.29","v1.4.29","v1.4.30","v1.4.30","v1.4.31","v1.4.31","v1.4.33","v1.4.33","v1.4.35","v1.4.35.2","v1.5","v1.5.1","v1.5.1"},MATCH(BD113,CHOOSE({1,2,3,4,5,6,7,8,9,10,11,12,13,14,15,16,17,18,19,20,21,22,23,24,25},E113,G113,I113,K113,M113,O113,Q113,S113,U113,W113,Y113,AA113,AC113,AE113,AG113,AI113,AK113,AM113,AO113,AQ113,AS113,AU113,AW113,AY113,BA113),0)))</x:f>
      </x:c>
      <x:c r="BF113" s="10" t="n">
        <x:f>IFERROR((AX113-BB113)/BB113,"")</x:f>
        <x:v>0</x:v>
      </x:c>
      <x:c r="BG113" s="10" t="n">
        <x:f>IFERROR((AY113-BD113)/BD113,"")</x:f>
        <x:v>0.7121421768585239</x:v>
      </x:c>
    </x:row>
    <x:row r="114">
      <x:c r="A114" t="str">
        <x:v>Unlocked Care Plan</x:v>
      </x:c>
      <x:c r="B114" t="str">
        <x:v>Create / Refresh All Templates</x:v>
      </x:c>
      <x:c r="C114" t="str">
        <x:v>No existing filter to remove: Template - Unlocked Care Plan</x:v>
      </x:c>
      <x:c r="D114" s="8" t="n">
        <x:v>0.55</x:v>
      </x:c>
      <x:c r="E114" s="8" t="n">
        <x:v>70.04</x:v>
      </x:c>
      <x:c r="F114" s="8" t="n">
        <x:v>0.55</x:v>
      </x:c>
      <x:c r="G114" s="8" t="n">
        <x:v>70.04</x:v>
      </x:c>
      <x:c r="H114" s="8" t="n">
        <x:v>0.56</x:v>
      </x:c>
      <x:c r="I114" s="8" t="n">
        <x:v>94.654</x:v>
      </x:c>
      <x:c r="J114" s="8"/>
      <x:c r="K114" s="8"/>
      <x:c r="L114" s="8"/>
      <x:c r="M114" s="8"/>
      <x:c r="N114" s="8" t="n">
        <x:v>0.565</x:v>
      </x:c>
      <x:c r="O114" s="8" t="n">
        <x:v>87.794</x:v>
      </x:c>
      <x:c r="P114" s="8" t="n">
        <x:v>0.39</x:v>
      </x:c>
      <x:c r="Q114" s="8" t="n">
        <x:v>56.039</x:v>
      </x:c>
      <x:c r="R114" s="8" t="n">
        <x:v>0.39</x:v>
      </x:c>
      <x:c r="S114" s="8" t="n">
        <x:v>56.039</x:v>
      </x:c>
      <x:c r="T114" s="8"/>
      <x:c r="U114" s="8"/>
      <x:c r="V114" s="8" t="n">
        <x:v>0.56</x:v>
      </x:c>
      <x:c r="W114" s="8" t="n">
        <x:v>73.653</x:v>
      </x:c>
      <x:c r="X114" s="8" t="n">
        <x:v>0.828</x:v>
      </x:c>
      <x:c r="Y114" s="8" t="n">
        <x:v>107.069</x:v>
      </x:c>
      <x:c r="Z114" s="8" t="n">
        <x:v>0.828</x:v>
      </x:c>
      <x:c r="AA114" s="8" t="n">
        <x:v>107.069</x:v>
      </x:c>
      <x:c r="AB114" s="8" t="n">
        <x:v>0.748</x:v>
      </x:c>
      <x:c r="AC114" s="8" t="n">
        <x:v>100.469</x:v>
      </x:c>
      <x:c r="AD114" s="8" t="n">
        <x:v>0.748</x:v>
      </x:c>
      <x:c r="AE114" s="8" t="n">
        <x:v>100.469</x:v>
      </x:c>
      <x:c r="AF114" s="8" t="n">
        <x:v>0.714</x:v>
      </x:c>
      <x:c r="AG114" s="8" t="n">
        <x:v>105.511</x:v>
      </x:c>
      <x:c r="AH114" s="8"/>
      <x:c r="AI114" s="8"/>
      <x:c r="AJ114" s="8" t="n">
        <x:v>0.996</x:v>
      </x:c>
      <x:c r="AK114" s="8" t="n">
        <x:v>87.568</x:v>
      </x:c>
      <x:c r="AL114" s="8" t="n">
        <x:v>0.996</x:v>
      </x:c>
      <x:c r="AM114" s="8" t="n">
        <x:v>87.568</x:v>
      </x:c>
      <x:c r="AN114" s="8" t="n">
        <x:v>0.518</x:v>
      </x:c>
      <x:c r="AO114" s="8" t="n">
        <x:v>75.712</x:v>
      </x:c>
      <x:c r="AP114" s="8"/>
      <x:c r="AQ114" s="8"/>
      <x:c r="AR114" s="8" t="n">
        <x:v>0.852</x:v>
      </x:c>
      <x:c r="AS114" s="8" t="n">
        <x:v>110.237</x:v>
      </x:c>
      <x:c r="AT114" s="8" t="n">
        <x:v>0.525</x:v>
      </x:c>
      <x:c r="AU114" s="8" t="n">
        <x:v>80.396</x:v>
      </x:c>
      <x:c r="AV114" s="8" t="n">
        <x:v>0.712</x:v>
      </x:c>
      <x:c r="AW114" s="8" t="n">
        <x:v>92.656</x:v>
      </x:c>
      <x:c r="AX114" s="8" t="n">
        <x:v>0.709</x:v>
      </x:c>
      <x:c r="AY114" s="8" t="n">
        <x:v>95.988</x:v>
      </x:c>
      <x:c r="AZ114" s="8"/>
      <x:c r="BA114" s="8"/>
      <x:c r="BB114" s="8" t="n">
        <x:f>LET(m,MIN(IF(D114&gt;0,D114,1E+99),IF(F114&gt;0,F114,1E+99),IF(H114&gt;0,H114,1E+99),IF(J114&gt;0,J114,1E+99),IF(L114&gt;0,L114,1E+99),IF(N114&gt;0,N114,1E+99),IF(P114&gt;0,P114,1E+99),IF(R114&gt;0,R114,1E+99),IF(T114&gt;0,T114,1E+99),IF(V114&gt;0,V114,1E+99),IF(X114&gt;0,X114,1E+99),IF(Z114&gt;0,Z114,1E+99),IF(AB114&gt;0,AB114,1E+99),IF(AD114&gt;0,AD114,1E+99),IF(AF114&gt;0,AF114,1E+99),IF(AH114&gt;0,AH114,1E+99),IF(AJ114&gt;0,AJ114,1E+99),IF(AL114&gt;0,AL114,1E+99),IF(AN114&gt;0,AN114,1E+99),IF(AP114&gt;0,AP114,1E+99),IF(AR114&gt;0,AR114,1E+99),IF(AT114&gt;0,AT114,1E+99),IF(AV114&gt;0,AV114,1E+99),IF(AX114&gt;0,AX114,1E+99),IF(AZ114&gt;0,AZ114,1E+99)),IF(m=1E+99,"",m))</x:f>
        <x:v>0.39</x:v>
      </x:c>
      <x:c r="BC114" s="12" t="e">
        <x:f>IF(BB114="","",INDEX({"v1.4.20","v1.4.20","v1.4.21","v1.4.21","v1.4.23","v1.4.23","v1.4.26","v1.4.26","v1.4.26.1","v1.4.26.1","v1.4.27","v1.4.27","v1.4.29","v1.4.29","v1.4.30","v1.4.30","v1.4.31","v1.4.31","v1.4.33","v1.4.33","v1.4.35","v1.4.35.2","v1.5","v1.5.1","v1.5.1"},MATCH(BB114,CHOOSE({1,2,3,4,5,6,7,8,9,10,11,12,13,14,15,16,17,18,19,20,21,22,23,24,25},D114,F114,H114,J114,L114,N114,P114,R114,T114,V114,X114,Z114,AB114,AD114,AF114,AH114,AJ114,AL114,AN114,AP114,AR114,AT114,AV114,AX114,AZ114),0)))</x:f>
      </x:c>
      <x:c r="BD114" s="14" t="n">
        <x:f>LET(m,MIN(IF(E114&gt;0,E114,1E+99),IF(G114&gt;0,G114,1E+99),IF(I114&gt;0,I114,1E+99),IF(K114&gt;0,K114,1E+99),IF(M114&gt;0,M114,1E+99),IF(O114&gt;0,O114,1E+99),IF(Q114&gt;0,Q114,1E+99),IF(S114&gt;0,S114,1E+99),IF(U114&gt;0,U114,1E+99),IF(W114&gt;0,W114,1E+99),IF(Y114&gt;0,Y114,1E+99),IF(AA114&gt;0,AA114,1E+99),IF(AC114&gt;0,AC114,1E+99),IF(AE114&gt;0,AE114,1E+99),IF(AG114&gt;0,AG114,1E+99),IF(AI114&gt;0,AI114,1E+99),IF(AK114&gt;0,AK114,1E+99),IF(AM114&gt;0,AM114,1E+99),IF(AO114&gt;0,AO114,1E+99),IF(AQ114&gt;0,AQ114,1E+99),IF(AS114&gt;0,AS114,1E+99),IF(AU114&gt;0,AU114,1E+99),IF(AW114&gt;0,AW114,1E+99),IF(AY114&gt;0,AY114,1E+99),IF(BA114&gt;0,BA114,1E+99)),IF(m=1E+99,"",m))</x:f>
        <x:v>56.039</x:v>
      </x:c>
      <x:c r="BE114" s="16" t="e">
        <x:f>IF(BD114="","",INDEX({"v1.4.20","v1.4.20","v1.4.21","v1.4.21","v1.4.23","v1.4.23","v1.4.26","v1.4.26","v1.4.26.1","v1.4.26.1","v1.4.27","v1.4.27","v1.4.29","v1.4.29","v1.4.30","v1.4.30","v1.4.31","v1.4.31","v1.4.33","v1.4.33","v1.4.35","v1.4.35.2","v1.5","v1.5.1","v1.5.1"},MATCH(BD114,CHOOSE({1,2,3,4,5,6,7,8,9,10,11,12,13,14,15,16,17,18,19,20,21,22,23,24,25},E114,G114,I114,K114,M114,O114,Q114,S114,U114,W114,Y114,AA114,AC114,AE114,AG114,AI114,AK114,AM114,AO114,AQ114,AS114,AU114,AW114,AY114,BA114),0)))</x:f>
      </x:c>
      <x:c r="BF114" s="10" t="n">
        <x:f>IFERROR((AX114-BB114)/BB114,"")</x:f>
        <x:v>0.8179487179487178</x:v>
      </x:c>
      <x:c r="BG114" s="10" t="n">
        <x:f>IFERROR((AY114-BD114)/BD114,"")</x:f>
        <x:v>0.7128785310230374</x:v>
      </x:c>
    </x:row>
    <x:row r="115">
      <x:c r="A115" t="str">
        <x:v>Unlocked Care Plan</x:v>
      </x:c>
      <x:c r="B115" t="str">
        <x:v>Create / Refresh All Templates</x:v>
      </x:c>
      <x:c r="C115" t="str">
        <x:v>Create filter: Template - Unlocked Care Plan</x:v>
      </x:c>
      <x:c r="D115" s="8" t="n">
        <x:v>1.53</x:v>
      </x:c>
      <x:c r="E115" s="8" t="n">
        <x:v>71.57</x:v>
      </x:c>
      <x:c r="F115" s="8" t="n">
        <x:v>1.53</x:v>
      </x:c>
      <x:c r="G115" s="8" t="n">
        <x:v>71.57</x:v>
      </x:c>
      <x:c r="H115" s="8" t="n">
        <x:v>1.459</x:v>
      </x:c>
      <x:c r="I115" s="8" t="n">
        <x:v>96.113</x:v>
      </x:c>
      <x:c r="J115" s="8"/>
      <x:c r="K115" s="8"/>
      <x:c r="L115" s="8"/>
      <x:c r="M115" s="8"/>
      <x:c r="N115" s="8" t="n">
        <x:v>1.484</x:v>
      </x:c>
      <x:c r="O115" s="8" t="n">
        <x:v>89.278</x:v>
      </x:c>
      <x:c r="P115" s="8" t="n">
        <x:v>1.11</x:v>
      </x:c>
      <x:c r="Q115" s="8" t="n">
        <x:v>57.149</x:v>
      </x:c>
      <x:c r="R115" s="8" t="n">
        <x:v>1.11</x:v>
      </x:c>
      <x:c r="S115" s="8" t="n">
        <x:v>57.149</x:v>
      </x:c>
      <x:c r="T115" s="8"/>
      <x:c r="U115" s="8"/>
      <x:c r="V115" s="8" t="n">
        <x:v>1.224</x:v>
      </x:c>
      <x:c r="W115" s="8" t="n">
        <x:v>74.877</x:v>
      </x:c>
      <x:c r="X115" s="8" t="n">
        <x:v>1.829</x:v>
      </x:c>
      <x:c r="Y115" s="8" t="n">
        <x:v>108.898</x:v>
      </x:c>
      <x:c r="Z115" s="8" t="n">
        <x:v>1.829</x:v>
      </x:c>
      <x:c r="AA115" s="8" t="n">
        <x:v>108.898</x:v>
      </x:c>
      <x:c r="AB115" s="8" t="n">
        <x:v>1.802</x:v>
      </x:c>
      <x:c r="AC115" s="8" t="n">
        <x:v>102.271</x:v>
      </x:c>
      <x:c r="AD115" s="8" t="n">
        <x:v>1.802</x:v>
      </x:c>
      <x:c r="AE115" s="8" t="n">
        <x:v>102.271</x:v>
      </x:c>
      <x:c r="AF115" s="8" t="n">
        <x:v>2.168</x:v>
      </x:c>
      <x:c r="AG115" s="8" t="n">
        <x:v>107.679</x:v>
      </x:c>
      <x:c r="AH115" s="8"/>
      <x:c r="AI115" s="8"/>
      <x:c r="AJ115" s="8" t="n">
        <x:v>2.437</x:v>
      </x:c>
      <x:c r="AK115" s="8" t="n">
        <x:v>90.005</x:v>
      </x:c>
      <x:c r="AL115" s="8" t="n">
        <x:v>2.437</x:v>
      </x:c>
      <x:c r="AM115" s="8" t="n">
        <x:v>90.005</x:v>
      </x:c>
      <x:c r="AN115" s="8" t="n">
        <x:v>1.232</x:v>
      </x:c>
      <x:c r="AO115" s="8" t="n">
        <x:v>76.944</x:v>
      </x:c>
      <x:c r="AP115" s="8"/>
      <x:c r="AQ115" s="8"/>
      <x:c r="AR115" s="8" t="n">
        <x:v>1.756</x:v>
      </x:c>
      <x:c r="AS115" s="8" t="n">
        <x:v>111.993</x:v>
      </x:c>
      <x:c r="AT115" s="8" t="n">
        <x:v>1.282</x:v>
      </x:c>
      <x:c r="AU115" s="8" t="n">
        <x:v>81.678</x:v>
      </x:c>
      <x:c r="AV115" s="8" t="n">
        <x:v>1.765</x:v>
      </x:c>
      <x:c r="AW115" s="8" t="n">
        <x:v>94.421</x:v>
      </x:c>
      <x:c r="AX115" s="8" t="n">
        <x:v>2.06</x:v>
      </x:c>
      <x:c r="AY115" s="8" t="n">
        <x:v>98.048</x:v>
      </x:c>
      <x:c r="AZ115" s="8"/>
      <x:c r="BA115" s="8"/>
      <x:c r="BB115" s="8" t="n">
        <x:f>LET(m,MIN(IF(D115&gt;0,D115,1E+99),IF(F115&gt;0,F115,1E+99),IF(H115&gt;0,H115,1E+99),IF(J115&gt;0,J115,1E+99),IF(L115&gt;0,L115,1E+99),IF(N115&gt;0,N115,1E+99),IF(P115&gt;0,P115,1E+99),IF(R115&gt;0,R115,1E+99),IF(T115&gt;0,T115,1E+99),IF(V115&gt;0,V115,1E+99),IF(X115&gt;0,X115,1E+99),IF(Z115&gt;0,Z115,1E+99),IF(AB115&gt;0,AB115,1E+99),IF(AD115&gt;0,AD115,1E+99),IF(AF115&gt;0,AF115,1E+99),IF(AH115&gt;0,AH115,1E+99),IF(AJ115&gt;0,AJ115,1E+99),IF(AL115&gt;0,AL115,1E+99),IF(AN115&gt;0,AN115,1E+99),IF(AP115&gt;0,AP115,1E+99),IF(AR115&gt;0,AR115,1E+99),IF(AT115&gt;0,AT115,1E+99),IF(AV115&gt;0,AV115,1E+99),IF(AX115&gt;0,AX115,1E+99),IF(AZ115&gt;0,AZ115,1E+99)),IF(m=1E+99,"",m))</x:f>
        <x:v>1.11</x:v>
      </x:c>
      <x:c r="BC115" s="12" t="e">
        <x:f>IF(BB115="","",INDEX({"v1.4.20","v1.4.20","v1.4.21","v1.4.21","v1.4.23","v1.4.23","v1.4.26","v1.4.26","v1.4.26.1","v1.4.26.1","v1.4.27","v1.4.27","v1.4.29","v1.4.29","v1.4.30","v1.4.30","v1.4.31","v1.4.31","v1.4.33","v1.4.33","v1.4.35","v1.4.35.2","v1.5","v1.5.1","v1.5.1"},MATCH(BB115,CHOOSE({1,2,3,4,5,6,7,8,9,10,11,12,13,14,15,16,17,18,19,20,21,22,23,24,25},D115,F115,H115,J115,L115,N115,P115,R115,T115,V115,X115,Z115,AB115,AD115,AF115,AH115,AJ115,AL115,AN115,AP115,AR115,AT115,AV115,AX115,AZ115),0)))</x:f>
      </x:c>
      <x:c r="BD115" s="14" t="n">
        <x:f>LET(m,MIN(IF(E115&gt;0,E115,1E+99),IF(G115&gt;0,G115,1E+99),IF(I115&gt;0,I115,1E+99),IF(K115&gt;0,K115,1E+99),IF(M115&gt;0,M115,1E+99),IF(O115&gt;0,O115,1E+99),IF(Q115&gt;0,Q115,1E+99),IF(S115&gt;0,S115,1E+99),IF(U115&gt;0,U115,1E+99),IF(W115&gt;0,W115,1E+99),IF(Y115&gt;0,Y115,1E+99),IF(AA115&gt;0,AA115,1E+99),IF(AC115&gt;0,AC115,1E+99),IF(AE115&gt;0,AE115,1E+99),IF(AG115&gt;0,AG115,1E+99),IF(AI115&gt;0,AI115,1E+99),IF(AK115&gt;0,AK115,1E+99),IF(AM115&gt;0,AM115,1E+99),IF(AO115&gt;0,AO115,1E+99),IF(AQ115&gt;0,AQ115,1E+99),IF(AS115&gt;0,AS115,1E+99),IF(AU115&gt;0,AU115,1E+99),IF(AW115&gt;0,AW115,1E+99),IF(AY115&gt;0,AY115,1E+99),IF(BA115&gt;0,BA115,1E+99)),IF(m=1E+99,"",m))</x:f>
        <x:v>57.149</x:v>
      </x:c>
      <x:c r="BE115" s="16" t="e">
        <x:f>IF(BD115="","",INDEX({"v1.4.20","v1.4.20","v1.4.21","v1.4.21","v1.4.23","v1.4.23","v1.4.26","v1.4.26","v1.4.26.1","v1.4.26.1","v1.4.27","v1.4.27","v1.4.29","v1.4.29","v1.4.30","v1.4.30","v1.4.31","v1.4.31","v1.4.33","v1.4.33","v1.4.35","v1.4.35.2","v1.5","v1.5.1","v1.5.1"},MATCH(BD115,CHOOSE({1,2,3,4,5,6,7,8,9,10,11,12,13,14,15,16,17,18,19,20,21,22,23,24,25},E115,G115,I115,K115,M115,O115,Q115,S115,U115,W115,Y115,AA115,AC115,AE115,AG115,AI115,AK115,AM115,AO115,AQ115,AS115,AU115,AW115,AY115,BA115),0)))</x:f>
      </x:c>
      <x:c r="BF115" s="10" t="n">
        <x:f>IFERROR((AX115-BB115)/BB115,"")</x:f>
        <x:v>0.8558558558558558</x:v>
      </x:c>
      <x:c r="BG115" s="10" t="n">
        <x:f>IFERROR((AY115-BD115)/BD115,"")</x:f>
        <x:v>0.7156555670265446</x:v>
      </x:c>
    </x:row>
    <x:row r="116">
      <x:c r="A116" t="str">
        <x:v>Unlocked Care Plan</x:v>
      </x:c>
      <x:c r="B116" t="str">
        <x:v>Create / Refresh All Templates</x:v>
      </x:c>
      <x:c r="C116" t="str">
        <x:v>Apply row heights skipped for template: Template - Unlocked Care Plan</x:v>
      </x:c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  <x:c r="AA116" s="8"/>
      <x:c r="AB116" s="8"/>
      <x:c r="AC116" s="8"/>
      <x:c r="AD116" s="8"/>
      <x:c r="AE116" s="8"/>
      <x:c r="AF116" s="8"/>
      <x:c r="AG116" s="8"/>
      <x:c r="AH116" s="8"/>
      <x:c r="AI116" s="8"/>
      <x:c r="AJ116" s="8"/>
      <x:c r="AK116" s="8"/>
      <x:c r="AL116" s="8"/>
      <x:c r="AM116" s="8"/>
      <x:c r="AN116" s="8"/>
      <x:c r="AO116" s="8"/>
      <x:c r="AP116" s="8"/>
      <x:c r="AQ116" s="8"/>
      <x:c r="AR116" s="8"/>
      <x:c r="AS116" s="8"/>
      <x:c r="AT116" s="8"/>
      <x:c r="AU116" s="8"/>
      <x:c r="AV116" s="8" t="n">
        <x:v>0</x:v>
      </x:c>
      <x:c r="AW116" s="8" t="n">
        <x:v>94.421</x:v>
      </x:c>
      <x:c r="AX116" s="8" t="n">
        <x:v>0</x:v>
      </x:c>
      <x:c r="AY116" s="8" t="n">
        <x:v>98.048</x:v>
      </x:c>
      <x:c r="AZ116" s="8"/>
      <x:c r="BA116" s="8"/>
      <x:c r="BB116" s="8" t="str">
        <x:f>LET(m,MIN(IF(D116&gt;0,D116,1E+99),IF(F116&gt;0,F116,1E+99),IF(H116&gt;0,H116,1E+99),IF(J116&gt;0,J116,1E+99),IF(L116&gt;0,L116,1E+99),IF(N116&gt;0,N116,1E+99),IF(P116&gt;0,P116,1E+99),IF(R116&gt;0,R116,1E+99),IF(T116&gt;0,T116,1E+99),IF(V116&gt;0,V116,1E+99),IF(X116&gt;0,X116,1E+99),IF(Z116&gt;0,Z116,1E+99),IF(AB116&gt;0,AB116,1E+99),IF(AD116&gt;0,AD116,1E+99),IF(AF116&gt;0,AF116,1E+99),IF(AH116&gt;0,AH116,1E+99),IF(AJ116&gt;0,AJ116,1E+99),IF(AL116&gt;0,AL116,1E+99),IF(AN116&gt;0,AN116,1E+99),IF(AP116&gt;0,AP116,1E+99),IF(AR116&gt;0,AR116,1E+99),IF(AT116&gt;0,AT116,1E+99),IF(AV116&gt;0,AV116,1E+99),IF(AX116&gt;0,AX116,1E+99),IF(AZ116&gt;0,AZ116,1E+99)),IF(m=1E+99,"",m))</x:f>
      </x:c>
      <x:c r="BC116" s="12" t="str">
        <x:f>IF(BB116="","",INDEX({"v1.4.20","v1.4.20","v1.4.21","v1.4.21","v1.4.23","v1.4.23","v1.4.26","v1.4.26","v1.4.26.1","v1.4.26.1","v1.4.27","v1.4.27","v1.4.29","v1.4.29","v1.4.30","v1.4.30","v1.4.31","v1.4.31","v1.4.33","v1.4.33","v1.4.35","v1.4.35.2","v1.5","v1.5.1","v1.5.1"},MATCH(BB116,CHOOSE({1,2,3,4,5,6,7,8,9,10,11,12,13,14,15,16,17,18,19,20,21,22,23,24,25},D116,F116,H116,J116,L116,N116,P116,R116,T116,V116,X116,Z116,AB116,AD116,AF116,AH116,AJ116,AL116,AN116,AP116,AR116,AT116,AV116,AX116,AZ116),0)))</x:f>
      </x:c>
      <x:c r="BD116" s="14" t="n">
        <x:f>LET(m,MIN(IF(E116&gt;0,E116,1E+99),IF(G116&gt;0,G116,1E+99),IF(I116&gt;0,I116,1E+99),IF(K116&gt;0,K116,1E+99),IF(M116&gt;0,M116,1E+99),IF(O116&gt;0,O116,1E+99),IF(Q116&gt;0,Q116,1E+99),IF(S116&gt;0,S116,1E+99),IF(U116&gt;0,U116,1E+99),IF(W116&gt;0,W116,1E+99),IF(Y116&gt;0,Y116,1E+99),IF(AA116&gt;0,AA116,1E+99),IF(AC116&gt;0,AC116,1E+99),IF(AE116&gt;0,AE116,1E+99),IF(AG116&gt;0,AG116,1E+99),IF(AI116&gt;0,AI116,1E+99),IF(AK116&gt;0,AK116,1E+99),IF(AM116&gt;0,AM116,1E+99),IF(AO116&gt;0,AO116,1E+99),IF(AQ116&gt;0,AQ116,1E+99),IF(AS116&gt;0,AS116,1E+99),IF(AU116&gt;0,AU116,1E+99),IF(AW116&gt;0,AW116,1E+99),IF(AY116&gt;0,AY116,1E+99),IF(BA116&gt;0,BA116,1E+99)),IF(m=1E+99,"",m))</x:f>
        <x:v>94.421</x:v>
      </x:c>
      <x:c r="BE116" s="16" t="e">
        <x:f>IF(BD116="","",INDEX({"v1.4.20","v1.4.20","v1.4.21","v1.4.21","v1.4.23","v1.4.23","v1.4.26","v1.4.26","v1.4.26.1","v1.4.26.1","v1.4.27","v1.4.27","v1.4.29","v1.4.29","v1.4.30","v1.4.30","v1.4.31","v1.4.31","v1.4.33","v1.4.33","v1.4.35","v1.4.35.2","v1.5","v1.5.1","v1.5.1"},MATCH(BD116,CHOOSE({1,2,3,4,5,6,7,8,9,10,11,12,13,14,15,16,17,18,19,20,21,22,23,24,25},E116,G116,I116,K116,M116,O116,Q116,S116,U116,W116,Y116,AA116,AC116,AE116,AG116,AI116,AK116,AM116,AO116,AQ116,AS116,AU116,AW116,AY116,BA116),0)))</x:f>
      </x:c>
      <x:c r="BF116" s="10" t="str">
        <x:f>IFERROR((AX116-BB116)/BB116,"")</x:f>
      </x:c>
      <x:c r="BG116" s="10" t="n">
        <x:f>IFERROR((AY116-BD116)/BD116,"")</x:f>
        <x:v>0.03841306489022564</x:v>
      </x:c>
    </x:row>
    <x:row r="117">
      <x:c r="A117" t="str">
        <x:v>Unlocked Care Plan</x:v>
      </x:c>
      <x:c r="B117" t="str">
        <x:v>Create / Refresh All Templates</x:v>
      </x:c>
      <x:c r="C117" t="str">
        <x:v>Apply full template formatting: Template - Unlocked Care Plan</x:v>
      </x:c>
      <x:c r="D117" s="8" t="n">
        <x:v>0</x:v>
      </x:c>
      <x:c r="E117" s="8" t="n">
        <x:v>71.581</x:v>
      </x:c>
      <x:c r="F117" s="8" t="n">
        <x:v>0</x:v>
      </x:c>
      <x:c r="G117" s="8" t="n">
        <x:v>71.581</x:v>
      </x:c>
      <x:c r="H117" s="8" t="n">
        <x:v>0</x:v>
      </x:c>
      <x:c r="I117" s="8" t="n">
        <x:v>96.119</x:v>
      </x:c>
      <x:c r="J117" s="8"/>
      <x:c r="K117" s="8"/>
      <x:c r="L117" s="8"/>
      <x:c r="M117" s="8"/>
      <x:c r="N117" s="8" t="n">
        <x:v>0</x:v>
      </x:c>
      <x:c r="O117" s="8" t="n">
        <x:v>89.293</x:v>
      </x:c>
      <x:c r="P117" s="8" t="n">
        <x:v>0</x:v>
      </x:c>
      <x:c r="Q117" s="8" t="n">
        <x:v>57.157</x:v>
      </x:c>
      <x:c r="R117" s="8" t="n">
        <x:v>0</x:v>
      </x:c>
      <x:c r="S117" s="8" t="n">
        <x:v>57.157</x:v>
      </x:c>
      <x:c r="T117" s="8"/>
      <x:c r="U117" s="8"/>
      <x:c r="V117" s="8" t="n">
        <x:v>0</x:v>
      </x:c>
      <x:c r="W117" s="8" t="n">
        <x:v>75.688</x:v>
      </x:c>
      <x:c r="X117" s="8" t="n">
        <x:v>0</x:v>
      </x:c>
      <x:c r="Y117" s="8" t="n">
        <x:v>108.908</x:v>
      </x:c>
      <x:c r="Z117" s="8" t="n">
        <x:v>0</x:v>
      </x:c>
      <x:c r="AA117" s="8" t="n">
        <x:v>108.908</x:v>
      </x:c>
      <x:c r="AB117" s="8" t="n">
        <x:v>0</x:v>
      </x:c>
      <x:c r="AC117" s="8" t="n">
        <x:v>103.473</x:v>
      </x:c>
      <x:c r="AD117" s="8" t="n">
        <x:v>0</x:v>
      </x:c>
      <x:c r="AE117" s="8" t="n">
        <x:v>103.473</x:v>
      </x:c>
      <x:c r="AF117" s="8" t="n">
        <x:v>0</x:v>
      </x:c>
      <x:c r="AG117" s="8" t="n">
        <x:v>108.971</x:v>
      </x:c>
      <x:c r="AH117" s="8"/>
      <x:c r="AI117" s="8"/>
      <x:c r="AJ117" s="8" t="n">
        <x:v>0</x:v>
      </x:c>
      <x:c r="AK117" s="8" t="n">
        <x:v>91.847</x:v>
      </x:c>
      <x:c r="AL117" s="8" t="n">
        <x:v>0</x:v>
      </x:c>
      <x:c r="AM117" s="8" t="n">
        <x:v>91.847</x:v>
      </x:c>
      <x:c r="AN117" s="8" t="n">
        <x:v>0</x:v>
      </x:c>
      <x:c r="AO117" s="8" t="n">
        <x:v>77.768</x:v>
      </x:c>
      <x:c r="AP117" s="8"/>
      <x:c r="AQ117" s="8"/>
      <x:c r="AR117" s="8" t="n">
        <x:v>0</x:v>
      </x:c>
      <x:c r="AS117" s="8" t="n">
        <x:v>112.01</x:v>
      </x:c>
      <x:c r="AT117" s="8" t="n">
        <x:v>0</x:v>
      </x:c>
      <x:c r="AU117" s="8" t="n">
        <x:v>81.699</x:v>
      </x:c>
      <x:c r="AV117" s="8" t="n">
        <x:v>0</x:v>
      </x:c>
      <x:c r="AW117" s="8" t="n">
        <x:v>94.421</x:v>
      </x:c>
      <x:c r="AX117" s="8" t="n">
        <x:v>0</x:v>
      </x:c>
      <x:c r="AY117" s="8" t="n">
        <x:v>98.048</x:v>
      </x:c>
      <x:c r="AZ117" s="8"/>
      <x:c r="BA117" s="8"/>
      <x:c r="BB117" s="8" t="str">
        <x:f>LET(m,MIN(IF(D117&gt;0,D117,1E+99),IF(F117&gt;0,F117,1E+99),IF(H117&gt;0,H117,1E+99),IF(J117&gt;0,J117,1E+99),IF(L117&gt;0,L117,1E+99),IF(N117&gt;0,N117,1E+99),IF(P117&gt;0,P117,1E+99),IF(R117&gt;0,R117,1E+99),IF(T117&gt;0,T117,1E+99),IF(V117&gt;0,V117,1E+99),IF(X117&gt;0,X117,1E+99),IF(Z117&gt;0,Z117,1E+99),IF(AB117&gt;0,AB117,1E+99),IF(AD117&gt;0,AD117,1E+99),IF(AF117&gt;0,AF117,1E+99),IF(AH117&gt;0,AH117,1E+99),IF(AJ117&gt;0,AJ117,1E+99),IF(AL117&gt;0,AL117,1E+99),IF(AN117&gt;0,AN117,1E+99),IF(AP117&gt;0,AP117,1E+99),IF(AR117&gt;0,AR117,1E+99),IF(AT117&gt;0,AT117,1E+99),IF(AV117&gt;0,AV117,1E+99),IF(AX117&gt;0,AX117,1E+99),IF(AZ117&gt;0,AZ117,1E+99)),IF(m=1E+99,"",m))</x:f>
      </x:c>
      <x:c r="BC117" s="12" t="str">
        <x:f>IF(BB117="","",INDEX({"v1.4.20","v1.4.20","v1.4.21","v1.4.21","v1.4.23","v1.4.23","v1.4.26","v1.4.26","v1.4.26.1","v1.4.26.1","v1.4.27","v1.4.27","v1.4.29","v1.4.29","v1.4.30","v1.4.30","v1.4.31","v1.4.31","v1.4.33","v1.4.33","v1.4.35","v1.4.35.2","v1.5","v1.5.1","v1.5.1"},MATCH(BB117,CHOOSE({1,2,3,4,5,6,7,8,9,10,11,12,13,14,15,16,17,18,19,20,21,22,23,24,25},D117,F117,H117,J117,L117,N117,P117,R117,T117,V117,X117,Z117,AB117,AD117,AF117,AH117,AJ117,AL117,AN117,AP117,AR117,AT117,AV117,AX117,AZ117),0)))</x:f>
      </x:c>
      <x:c r="BD117" s="14" t="n">
        <x:f>LET(m,MIN(IF(E117&gt;0,E117,1E+99),IF(G117&gt;0,G117,1E+99),IF(I117&gt;0,I117,1E+99),IF(K117&gt;0,K117,1E+99),IF(M117&gt;0,M117,1E+99),IF(O117&gt;0,O117,1E+99),IF(Q117&gt;0,Q117,1E+99),IF(S117&gt;0,S117,1E+99),IF(U117&gt;0,U117,1E+99),IF(W117&gt;0,W117,1E+99),IF(Y117&gt;0,Y117,1E+99),IF(AA117&gt;0,AA117,1E+99),IF(AC117&gt;0,AC117,1E+99),IF(AE117&gt;0,AE117,1E+99),IF(AG117&gt;0,AG117,1E+99),IF(AI117&gt;0,AI117,1E+99),IF(AK117&gt;0,AK117,1E+99),IF(AM117&gt;0,AM117,1E+99),IF(AO117&gt;0,AO117,1E+99),IF(AQ117&gt;0,AQ117,1E+99),IF(AS117&gt;0,AS117,1E+99),IF(AU117&gt;0,AU117,1E+99),IF(AW117&gt;0,AW117,1E+99),IF(AY117&gt;0,AY117,1E+99),IF(BA117&gt;0,BA117,1E+99)),IF(m=1E+99,"",m))</x:f>
        <x:v>57.157</x:v>
      </x:c>
      <x:c r="BE117" s="16" t="e">
        <x:f>IF(BD117="","",INDEX({"v1.4.20","v1.4.20","v1.4.21","v1.4.21","v1.4.23","v1.4.23","v1.4.26","v1.4.26","v1.4.26.1","v1.4.26.1","v1.4.27","v1.4.27","v1.4.29","v1.4.29","v1.4.30","v1.4.30","v1.4.31","v1.4.31","v1.4.33","v1.4.33","v1.4.35","v1.4.35.2","v1.5","v1.5.1","v1.5.1"},MATCH(BD117,CHOOSE({1,2,3,4,5,6,7,8,9,10,11,12,13,14,15,16,17,18,19,20,21,22,23,24,25},E117,G117,I117,K117,M117,O117,Q117,S117,U117,W117,Y117,AA117,AC117,AE117,AG117,AI117,AK117,AM117,AO117,AQ117,AS117,AU117,AW117,AY117,BA117),0)))</x:f>
      </x:c>
      <x:c r="BF117" s="10" t="str">
        <x:f>IFERROR((AX117-BB117)/BB117,"")</x:f>
      </x:c>
      <x:c r="BG117" s="10" t="n">
        <x:f>IFERROR((AY117-BD117)/BD117,"")</x:f>
        <x:v>0.7154154346799169</x:v>
      </x:c>
    </x:row>
    <x:row r="118">
      <x:c r="A118" t="str">
        <x:v>Unlocked Care Plan</x:v>
      </x:c>
      <x:c r="B118" t="str">
        <x:v>Create / Refresh All Templates</x:v>
      </x:c>
      <x:c r="C118" t="str">
        <x:v>Write metadata/signature: Template - Unlocked Care Plan</x:v>
      </x:c>
      <x:c r="D118" s="8" t="n">
        <x:v>0.073</x:v>
      </x:c>
      <x:c r="E118" s="8" t="n">
        <x:v>71.654</x:v>
      </x:c>
      <x:c r="F118" s="8" t="n">
        <x:v>0.073</x:v>
      </x:c>
      <x:c r="G118" s="8" t="n">
        <x:v>71.654</x:v>
      </x:c>
      <x:c r="H118" s="8" t="n">
        <x:v>0.069</x:v>
      </x:c>
      <x:c r="I118" s="8" t="n">
        <x:v>96.188</x:v>
      </x:c>
      <x:c r="J118" s="8"/>
      <x:c r="K118" s="8"/>
      <x:c r="L118" s="8"/>
      <x:c r="M118" s="8"/>
      <x:c r="N118" s="8" t="n">
        <x:v>0.134</x:v>
      </x:c>
      <x:c r="O118" s="8" t="n">
        <x:v>89.427</x:v>
      </x:c>
      <x:c r="P118" s="8" t="n">
        <x:v>0.057</x:v>
      </x:c>
      <x:c r="Q118" s="8" t="n">
        <x:v>57.214</x:v>
      </x:c>
      <x:c r="R118" s="8" t="n">
        <x:v>0.057</x:v>
      </x:c>
      <x:c r="S118" s="8" t="n">
        <x:v>57.214</x:v>
      </x:c>
      <x:c r="T118" s="8"/>
      <x:c r="U118" s="8"/>
      <x:c r="V118" s="8" t="n">
        <x:v>0.359</x:v>
      </x:c>
      <x:c r="W118" s="8" t="n">
        <x:v>76.047</x:v>
      </x:c>
      <x:c r="X118" s="8" t="n">
        <x:v>0.16</x:v>
      </x:c>
      <x:c r="Y118" s="8" t="n">
        <x:v>109.068</x:v>
      </x:c>
      <x:c r="Z118" s="8" t="n">
        <x:v>0.16</x:v>
      </x:c>
      <x:c r="AA118" s="8" t="n">
        <x:v>109.068</x:v>
      </x:c>
      <x:c r="AB118" s="8" t="n">
        <x:v>0.079</x:v>
      </x:c>
      <x:c r="AC118" s="8" t="n">
        <x:v>103.552</x:v>
      </x:c>
      <x:c r="AD118" s="8" t="n">
        <x:v>0.079</x:v>
      </x:c>
      <x:c r="AE118" s="8" t="n">
        <x:v>103.552</x:v>
      </x:c>
      <x:c r="AF118" s="8" t="n">
        <x:v>0.127</x:v>
      </x:c>
      <x:c r="AG118" s="8" t="n">
        <x:v>109.098</x:v>
      </x:c>
      <x:c r="AH118" s="8"/>
      <x:c r="AI118" s="8"/>
      <x:c r="AJ118" s="8" t="n">
        <x:v>0.057</x:v>
      </x:c>
      <x:c r="AK118" s="8" t="n">
        <x:v>91.904</x:v>
      </x:c>
      <x:c r="AL118" s="8" t="n">
        <x:v>0.057</x:v>
      </x:c>
      <x:c r="AM118" s="8" t="n">
        <x:v>91.904</x:v>
      </x:c>
      <x:c r="AN118" s="8" t="n">
        <x:v>0.136</x:v>
      </x:c>
      <x:c r="AO118" s="8" t="n">
        <x:v>77.904</x:v>
      </x:c>
      <x:c r="AP118" s="8"/>
      <x:c r="AQ118" s="8"/>
      <x:c r="AR118" s="8" t="n">
        <x:v>0.06</x:v>
      </x:c>
      <x:c r="AS118" s="8" t="n">
        <x:v>112.07</x:v>
      </x:c>
      <x:c r="AT118" s="8" t="n">
        <x:v>0.077</x:v>
      </x:c>
      <x:c r="AU118" s="8" t="n">
        <x:v>81.776</x:v>
      </x:c>
      <x:c r="AV118" s="8" t="n">
        <x:v>0.137</x:v>
      </x:c>
      <x:c r="AW118" s="8" t="n">
        <x:v>94.558</x:v>
      </x:c>
      <x:c r="AX118" s="8" t="n">
        <x:v>0.065</x:v>
      </x:c>
      <x:c r="AY118" s="8" t="n">
        <x:v>98.113</x:v>
      </x:c>
      <x:c r="AZ118" s="8"/>
      <x:c r="BA118" s="8"/>
      <x:c r="BB118" s="8" t="n">
        <x:f>LET(m,MIN(IF(D118&gt;0,D118,1E+99),IF(F118&gt;0,F118,1E+99),IF(H118&gt;0,H118,1E+99),IF(J118&gt;0,J118,1E+99),IF(L118&gt;0,L118,1E+99),IF(N118&gt;0,N118,1E+99),IF(P118&gt;0,P118,1E+99),IF(R118&gt;0,R118,1E+99),IF(T118&gt;0,T118,1E+99),IF(V118&gt;0,V118,1E+99),IF(X118&gt;0,X118,1E+99),IF(Z118&gt;0,Z118,1E+99),IF(AB118&gt;0,AB118,1E+99),IF(AD118&gt;0,AD118,1E+99),IF(AF118&gt;0,AF118,1E+99),IF(AH118&gt;0,AH118,1E+99),IF(AJ118&gt;0,AJ118,1E+99),IF(AL118&gt;0,AL118,1E+99),IF(AN118&gt;0,AN118,1E+99),IF(AP118&gt;0,AP118,1E+99),IF(AR118&gt;0,AR118,1E+99),IF(AT118&gt;0,AT118,1E+99),IF(AV118&gt;0,AV118,1E+99),IF(AX118&gt;0,AX118,1E+99),IF(AZ118&gt;0,AZ118,1E+99)),IF(m=1E+99,"",m))</x:f>
        <x:v>0.057</x:v>
      </x:c>
      <x:c r="BC118" s="12" t="e">
        <x:f>IF(BB118="","",INDEX({"v1.4.20","v1.4.20","v1.4.21","v1.4.21","v1.4.23","v1.4.23","v1.4.26","v1.4.26","v1.4.26.1","v1.4.26.1","v1.4.27","v1.4.27","v1.4.29","v1.4.29","v1.4.30","v1.4.30","v1.4.31","v1.4.31","v1.4.33","v1.4.33","v1.4.35","v1.4.35.2","v1.5","v1.5.1","v1.5.1"},MATCH(BB118,CHOOSE({1,2,3,4,5,6,7,8,9,10,11,12,13,14,15,16,17,18,19,20,21,22,23,24,25},D118,F118,H118,J118,L118,N118,P118,R118,T118,V118,X118,Z118,AB118,AD118,AF118,AH118,AJ118,AL118,AN118,AP118,AR118,AT118,AV118,AX118,AZ118),0)))</x:f>
      </x:c>
      <x:c r="BD118" s="14" t="n">
        <x:f>LET(m,MIN(IF(E118&gt;0,E118,1E+99),IF(G118&gt;0,G118,1E+99),IF(I118&gt;0,I118,1E+99),IF(K118&gt;0,K118,1E+99),IF(M118&gt;0,M118,1E+99),IF(O118&gt;0,O118,1E+99),IF(Q118&gt;0,Q118,1E+99),IF(S118&gt;0,S118,1E+99),IF(U118&gt;0,U118,1E+99),IF(W118&gt;0,W118,1E+99),IF(Y118&gt;0,Y118,1E+99),IF(AA118&gt;0,AA118,1E+99),IF(AC118&gt;0,AC118,1E+99),IF(AE118&gt;0,AE118,1E+99),IF(AG118&gt;0,AG118,1E+99),IF(AI118&gt;0,AI118,1E+99),IF(AK118&gt;0,AK118,1E+99),IF(AM118&gt;0,AM118,1E+99),IF(AO118&gt;0,AO118,1E+99),IF(AQ118&gt;0,AQ118,1E+99),IF(AS118&gt;0,AS118,1E+99),IF(AU118&gt;0,AU118,1E+99),IF(AW118&gt;0,AW118,1E+99),IF(AY118&gt;0,AY118,1E+99),IF(BA118&gt;0,BA118,1E+99)),IF(m=1E+99,"",m))</x:f>
        <x:v>57.214</x:v>
      </x:c>
      <x:c r="BE118" s="16" t="e">
        <x:f>IF(BD118="","",INDEX({"v1.4.20","v1.4.20","v1.4.21","v1.4.21","v1.4.23","v1.4.23","v1.4.26","v1.4.26","v1.4.26.1","v1.4.26.1","v1.4.27","v1.4.27","v1.4.29","v1.4.29","v1.4.30","v1.4.30","v1.4.31","v1.4.31","v1.4.33","v1.4.33","v1.4.35","v1.4.35.2","v1.5","v1.5.1","v1.5.1"},MATCH(BD118,CHOOSE({1,2,3,4,5,6,7,8,9,10,11,12,13,14,15,16,17,18,19,20,21,22,23,24,25},E118,G118,I118,K118,M118,O118,Q118,S118,U118,W118,Y118,AA118,AC118,AE118,AG118,AI118,AK118,AM118,AO118,AQ118,AS118,AU118,AW118,AY118,BA118),0)))</x:f>
      </x:c>
      <x:c r="BF118" s="10" t="n">
        <x:f>IFERROR((AX118-BB118)/BB118,"")</x:f>
        <x:v>0.14035087719298245</x:v>
      </x:c>
      <x:c r="BG118" s="10" t="n">
        <x:f>IFERROR((AY118-BD118)/BD118,"")</x:f>
        <x:v>0.7148425210612788</x:v>
      </x:c>
    </x:row>
    <x:row r="119">
      <x:c r="A119" t="str">
        <x:v>Unlocked Care Plan</x:v>
      </x:c>
      <x:c r="B119" t="str">
        <x:v>Create / Refresh All Templates</x:v>
      </x:c>
      <x:c r="C119" t="str">
        <x:v>Ensure frozen rows: Template - Unlocked Care Plan</x:v>
      </x:c>
      <x:c r="D119" s="8" t="n">
        <x:v>0.874</x:v>
      </x:c>
      <x:c r="E119" s="8" t="n">
        <x:v>72.528</x:v>
      </x:c>
      <x:c r="F119" s="8" t="n">
        <x:v>0.874</x:v>
      </x:c>
      <x:c r="G119" s="8" t="n">
        <x:v>72.528</x:v>
      </x:c>
      <x:c r="H119" s="8" t="n">
        <x:v>0.998</x:v>
      </x:c>
      <x:c r="I119" s="8" t="n">
        <x:v>97.186</x:v>
      </x:c>
      <x:c r="J119" s="8"/>
      <x:c r="K119" s="8"/>
      <x:c r="L119" s="8"/>
      <x:c r="M119" s="8"/>
      <x:c r="N119" s="8" t="n">
        <x:v>1.039</x:v>
      </x:c>
      <x:c r="O119" s="8" t="n">
        <x:v>90.466</x:v>
      </x:c>
      <x:c r="P119" s="8" t="n">
        <x:v>0.671</x:v>
      </x:c>
      <x:c r="Q119" s="8" t="n">
        <x:v>57.885</x:v>
      </x:c>
      <x:c r="R119" s="8" t="n">
        <x:v>0.671</x:v>
      </x:c>
      <x:c r="S119" s="8" t="n">
        <x:v>57.885</x:v>
      </x:c>
      <x:c r="T119" s="8"/>
      <x:c r="U119" s="8"/>
      <x:c r="V119" s="8" t="n">
        <x:v>0.132</x:v>
      </x:c>
      <x:c r="W119" s="8" t="n">
        <x:v>76.179</x:v>
      </x:c>
      <x:c r="X119" s="8" t="n">
        <x:v>1.311</x:v>
      </x:c>
      <x:c r="Y119" s="8" t="n">
        <x:v>110.379</x:v>
      </x:c>
      <x:c r="Z119" s="8" t="n">
        <x:v>1.311</x:v>
      </x:c>
      <x:c r="AA119" s="8" t="n">
        <x:v>110.379</x:v>
      </x:c>
      <x:c r="AB119" s="8" t="n">
        <x:v>0.093</x:v>
      </x:c>
      <x:c r="AC119" s="8" t="n">
        <x:v>103.645</x:v>
      </x:c>
      <x:c r="AD119" s="8" t="n">
        <x:v>0.093</x:v>
      </x:c>
      <x:c r="AE119" s="8" t="n">
        <x:v>103.645</x:v>
      </x:c>
      <x:c r="AF119" s="8" t="n">
        <x:v>0.078</x:v>
      </x:c>
      <x:c r="AG119" s="8" t="n">
        <x:v>109.176</x:v>
      </x:c>
      <x:c r="AH119" s="8"/>
      <x:c r="AI119" s="8"/>
      <x:c r="AJ119" s="8" t="n">
        <x:v>0.172</x:v>
      </x:c>
      <x:c r="AK119" s="8" t="n">
        <x:v>92.076</x:v>
      </x:c>
      <x:c r="AL119" s="8" t="n">
        <x:v>0.172</x:v>
      </x:c>
      <x:c r="AM119" s="8" t="n">
        <x:v>92.076</x:v>
      </x:c>
      <x:c r="AN119" s="8" t="n">
        <x:v>0.138</x:v>
      </x:c>
      <x:c r="AO119" s="8" t="n">
        <x:v>78.042</x:v>
      </x:c>
      <x:c r="AP119" s="8"/>
      <x:c r="AQ119" s="8"/>
      <x:c r="AR119" s="8" t="n">
        <x:v>1.324</x:v>
      </x:c>
      <x:c r="AS119" s="8" t="n">
        <x:v>113.394</x:v>
      </x:c>
      <x:c r="AT119" s="8" t="n">
        <x:v>1.035</x:v>
      </x:c>
      <x:c r="AU119" s="8" t="n">
        <x:v>82.811</x:v>
      </x:c>
      <x:c r="AV119" s="8" t="n">
        <x:v>1.17</x:v>
      </x:c>
      <x:c r="AW119" s="8" t="n">
        <x:v>95.728</x:v>
      </x:c>
      <x:c r="AX119" s="8" t="n">
        <x:v>1.208</x:v>
      </x:c>
      <x:c r="AY119" s="8" t="n">
        <x:v>99.321</x:v>
      </x:c>
      <x:c r="AZ119" s="8"/>
      <x:c r="BA119" s="8"/>
      <x:c r="BB119" s="8" t="n">
        <x:f>LET(m,MIN(IF(D119&gt;0,D119,1E+99),IF(F119&gt;0,F119,1E+99),IF(H119&gt;0,H119,1E+99),IF(J119&gt;0,J119,1E+99),IF(L119&gt;0,L119,1E+99),IF(N119&gt;0,N119,1E+99),IF(P119&gt;0,P119,1E+99),IF(R119&gt;0,R119,1E+99),IF(T119&gt;0,T119,1E+99),IF(V119&gt;0,V119,1E+99),IF(X119&gt;0,X119,1E+99),IF(Z119&gt;0,Z119,1E+99),IF(AB119&gt;0,AB119,1E+99),IF(AD119&gt;0,AD119,1E+99),IF(AF119&gt;0,AF119,1E+99),IF(AH119&gt;0,AH119,1E+99),IF(AJ119&gt;0,AJ119,1E+99),IF(AL119&gt;0,AL119,1E+99),IF(AN119&gt;0,AN119,1E+99),IF(AP119&gt;0,AP119,1E+99),IF(AR119&gt;0,AR119,1E+99),IF(AT119&gt;0,AT119,1E+99),IF(AV119&gt;0,AV119,1E+99),IF(AX119&gt;0,AX119,1E+99),IF(AZ119&gt;0,AZ119,1E+99)),IF(m=1E+99,"",m))</x:f>
        <x:v>0.078</x:v>
      </x:c>
      <x:c r="BC119" s="12" t="e">
        <x:f>IF(BB119="","",INDEX({"v1.4.20","v1.4.20","v1.4.21","v1.4.21","v1.4.23","v1.4.23","v1.4.26","v1.4.26","v1.4.26.1","v1.4.26.1","v1.4.27","v1.4.27","v1.4.29","v1.4.29","v1.4.30","v1.4.30","v1.4.31","v1.4.31","v1.4.33","v1.4.33","v1.4.35","v1.4.35.2","v1.5","v1.5.1","v1.5.1"},MATCH(BB119,CHOOSE({1,2,3,4,5,6,7,8,9,10,11,12,13,14,15,16,17,18,19,20,21,22,23,24,25},D119,F119,H119,J119,L119,N119,P119,R119,T119,V119,X119,Z119,AB119,AD119,AF119,AH119,AJ119,AL119,AN119,AP119,AR119,AT119,AV119,AX119,AZ119),0)))</x:f>
      </x:c>
      <x:c r="BD119" s="14" t="n">
        <x:f>LET(m,MIN(IF(E119&gt;0,E119,1E+99),IF(G119&gt;0,G119,1E+99),IF(I119&gt;0,I119,1E+99),IF(K119&gt;0,K119,1E+99),IF(M119&gt;0,M119,1E+99),IF(O119&gt;0,O119,1E+99),IF(Q119&gt;0,Q119,1E+99),IF(S119&gt;0,S119,1E+99),IF(U119&gt;0,U119,1E+99),IF(W119&gt;0,W119,1E+99),IF(Y119&gt;0,Y119,1E+99),IF(AA119&gt;0,AA119,1E+99),IF(AC119&gt;0,AC119,1E+99),IF(AE119&gt;0,AE119,1E+99),IF(AG119&gt;0,AG119,1E+99),IF(AI119&gt;0,AI119,1E+99),IF(AK119&gt;0,AK119,1E+99),IF(AM119&gt;0,AM119,1E+99),IF(AO119&gt;0,AO119,1E+99),IF(AQ119&gt;0,AQ119,1E+99),IF(AS119&gt;0,AS119,1E+99),IF(AU119&gt;0,AU119,1E+99),IF(AW119&gt;0,AW119,1E+99),IF(AY119&gt;0,AY119,1E+99),IF(BA119&gt;0,BA119,1E+99)),IF(m=1E+99,"",m))</x:f>
        <x:v>57.885</x:v>
      </x:c>
      <x:c r="BE119" s="16" t="e">
        <x:f>IF(BD119="","",INDEX({"v1.4.20","v1.4.20","v1.4.21","v1.4.21","v1.4.23","v1.4.23","v1.4.26","v1.4.26","v1.4.26.1","v1.4.26.1","v1.4.27","v1.4.27","v1.4.29","v1.4.29","v1.4.30","v1.4.30","v1.4.31","v1.4.31","v1.4.33","v1.4.33","v1.4.35","v1.4.35.2","v1.5","v1.5.1","v1.5.1"},MATCH(BD119,CHOOSE({1,2,3,4,5,6,7,8,9,10,11,12,13,14,15,16,17,18,19,20,21,22,23,24,25},E119,G119,I119,K119,M119,O119,Q119,S119,U119,W119,Y119,AA119,AC119,AE119,AG119,AI119,AK119,AM119,AO119,AQ119,AS119,AU119,AW119,AY119,BA119),0)))</x:f>
      </x:c>
      <x:c r="BF119" s="10" t="n">
        <x:f>IFERROR((AX119-BB119)/BB119,"")</x:f>
        <x:v>14.487179487179485</x:v>
      </x:c>
      <x:c r="BG119" s="10" t="n">
        <x:f>IFERROR((AY119-BD119)/BD119,"")</x:f>
        <x:v>0.7158331173879243</x:v>
      </x:c>
    </x:row>
    <x:row r="120">
      <x:c r="A120" t="str">
        <x:v>Unlocked Care Plan</x:v>
      </x:c>
      <x:c r="B120" t="str">
        <x:v>Create / Refresh All Templates</x:v>
      </x:c>
      <x:c r="C120" t="str">
        <x:v>Ensure frozen columns: Template - Unlocked Care Plan</x:v>
      </x:c>
      <x:c r="D120" s="8" t="n">
        <x:v>0.419</x:v>
      </x:c>
      <x:c r="E120" s="8" t="n">
        <x:v>72.947</x:v>
      </x:c>
      <x:c r="F120" s="8" t="n">
        <x:v>0.419</x:v>
      </x:c>
      <x:c r="G120" s="8" t="n">
        <x:v>72.947</x:v>
      </x:c>
      <x:c r="H120" s="8" t="n">
        <x:v>0.562</x:v>
      </x:c>
      <x:c r="I120" s="8" t="n">
        <x:v>97.748</x:v>
      </x:c>
      <x:c r="J120" s="8"/>
      <x:c r="K120" s="8"/>
      <x:c r="L120" s="8"/>
      <x:c r="M120" s="8"/>
      <x:c r="N120" s="8" t="n">
        <x:v>0.996</x:v>
      </x:c>
      <x:c r="O120" s="8" t="n">
        <x:v>91.462</x:v>
      </x:c>
      <x:c r="P120" s="8" t="n">
        <x:v>0.407</x:v>
      </x:c>
      <x:c r="Q120" s="8" t="n">
        <x:v>58.292</x:v>
      </x:c>
      <x:c r="R120" s="8" t="n">
        <x:v>0.407</x:v>
      </x:c>
      <x:c r="S120" s="8" t="n">
        <x:v>58.292</x:v>
      </x:c>
      <x:c r="T120" s="8"/>
      <x:c r="U120" s="8"/>
      <x:c r="V120" s="8" t="n">
        <x:v>0.515</x:v>
      </x:c>
      <x:c r="W120" s="8" t="n">
        <x:v>76.694</x:v>
      </x:c>
      <x:c r="X120" s="8" t="n">
        <x:v>0.899</x:v>
      </x:c>
      <x:c r="Y120" s="8" t="n">
        <x:v>111.278</x:v>
      </x:c>
      <x:c r="Z120" s="8" t="n">
        <x:v>0.899</x:v>
      </x:c>
      <x:c r="AA120" s="8" t="n">
        <x:v>111.278</x:v>
      </x:c>
      <x:c r="AB120" s="8" t="n">
        <x:v>0.727</x:v>
      </x:c>
      <x:c r="AC120" s="8" t="n">
        <x:v>104.372</x:v>
      </x:c>
      <x:c r="AD120" s="8" t="n">
        <x:v>0.727</x:v>
      </x:c>
      <x:c r="AE120" s="8" t="n">
        <x:v>104.372</x:v>
      </x:c>
      <x:c r="AF120" s="8" t="n">
        <x:v>0.67</x:v>
      </x:c>
      <x:c r="AG120" s="8" t="n">
        <x:v>109.846</x:v>
      </x:c>
      <x:c r="AH120" s="8"/>
      <x:c r="AI120" s="8"/>
      <x:c r="AJ120" s="8" t="n">
        <x:v>0.871</x:v>
      </x:c>
      <x:c r="AK120" s="8" t="n">
        <x:v>92.947</x:v>
      </x:c>
      <x:c r="AL120" s="8" t="n">
        <x:v>0.871</x:v>
      </x:c>
      <x:c r="AM120" s="8" t="n">
        <x:v>92.947</x:v>
      </x:c>
      <x:c r="AN120" s="8" t="n">
        <x:v>0.523</x:v>
      </x:c>
      <x:c r="AO120" s="8" t="n">
        <x:v>78.565</x:v>
      </x:c>
      <x:c r="AP120" s="8"/>
      <x:c r="AQ120" s="8"/>
      <x:c r="AR120" s="8" t="n">
        <x:v>0.729</x:v>
      </x:c>
      <x:c r="AS120" s="8" t="n">
        <x:v>114.123</x:v>
      </x:c>
      <x:c r="AT120" s="8" t="n">
        <x:v>0.62</x:v>
      </x:c>
      <x:c r="AU120" s="8" t="n">
        <x:v>83.431</x:v>
      </x:c>
      <x:c r="AV120" s="8" t="n">
        <x:v>0.684</x:v>
      </x:c>
      <x:c r="AW120" s="8" t="n">
        <x:v>96.412</x:v>
      </x:c>
      <x:c r="AX120" s="8" t="n">
        <x:v>1.681</x:v>
      </x:c>
      <x:c r="AY120" s="8" t="n">
        <x:v>101.002</x:v>
      </x:c>
      <x:c r="AZ120" s="8"/>
      <x:c r="BA120" s="8"/>
      <x:c r="BB120" s="8" t="n">
        <x:f>LET(m,MIN(IF(D120&gt;0,D120,1E+99),IF(F120&gt;0,F120,1E+99),IF(H120&gt;0,H120,1E+99),IF(J120&gt;0,J120,1E+99),IF(L120&gt;0,L120,1E+99),IF(N120&gt;0,N120,1E+99),IF(P120&gt;0,P120,1E+99),IF(R120&gt;0,R120,1E+99),IF(T120&gt;0,T120,1E+99),IF(V120&gt;0,V120,1E+99),IF(X120&gt;0,X120,1E+99),IF(Z120&gt;0,Z120,1E+99),IF(AB120&gt;0,AB120,1E+99),IF(AD120&gt;0,AD120,1E+99),IF(AF120&gt;0,AF120,1E+99),IF(AH120&gt;0,AH120,1E+99),IF(AJ120&gt;0,AJ120,1E+99),IF(AL120&gt;0,AL120,1E+99),IF(AN120&gt;0,AN120,1E+99),IF(AP120&gt;0,AP120,1E+99),IF(AR120&gt;0,AR120,1E+99),IF(AT120&gt;0,AT120,1E+99),IF(AV120&gt;0,AV120,1E+99),IF(AX120&gt;0,AX120,1E+99),IF(AZ120&gt;0,AZ120,1E+99)),IF(m=1E+99,"",m))</x:f>
        <x:v>0.407</x:v>
      </x:c>
      <x:c r="BC120" s="12" t="e">
        <x:f>IF(BB120="","",INDEX({"v1.4.20","v1.4.20","v1.4.21","v1.4.21","v1.4.23","v1.4.23","v1.4.26","v1.4.26","v1.4.26.1","v1.4.26.1","v1.4.27","v1.4.27","v1.4.29","v1.4.29","v1.4.30","v1.4.30","v1.4.31","v1.4.31","v1.4.33","v1.4.33","v1.4.35","v1.4.35.2","v1.5","v1.5.1","v1.5.1"},MATCH(BB120,CHOOSE({1,2,3,4,5,6,7,8,9,10,11,12,13,14,15,16,17,18,19,20,21,22,23,24,25},D120,F120,H120,J120,L120,N120,P120,R120,T120,V120,X120,Z120,AB120,AD120,AF120,AH120,AJ120,AL120,AN120,AP120,AR120,AT120,AV120,AX120,AZ120),0)))</x:f>
      </x:c>
      <x:c r="BD120" s="14" t="n">
        <x:f>LET(m,MIN(IF(E120&gt;0,E120,1E+99),IF(G120&gt;0,G120,1E+99),IF(I120&gt;0,I120,1E+99),IF(K120&gt;0,K120,1E+99),IF(M120&gt;0,M120,1E+99),IF(O120&gt;0,O120,1E+99),IF(Q120&gt;0,Q120,1E+99),IF(S120&gt;0,S120,1E+99),IF(U120&gt;0,U120,1E+99),IF(W120&gt;0,W120,1E+99),IF(Y120&gt;0,Y120,1E+99),IF(AA120&gt;0,AA120,1E+99),IF(AC120&gt;0,AC120,1E+99),IF(AE120&gt;0,AE120,1E+99),IF(AG120&gt;0,AG120,1E+99),IF(AI120&gt;0,AI120,1E+99),IF(AK120&gt;0,AK120,1E+99),IF(AM120&gt;0,AM120,1E+99),IF(AO120&gt;0,AO120,1E+99),IF(AQ120&gt;0,AQ120,1E+99),IF(AS120&gt;0,AS120,1E+99),IF(AU120&gt;0,AU120,1E+99),IF(AW120&gt;0,AW120,1E+99),IF(AY120&gt;0,AY120,1E+99),IF(BA120&gt;0,BA120,1E+99)),IF(m=1E+99,"",m))</x:f>
        <x:v>58.292</x:v>
      </x:c>
      <x:c r="BE120" s="16" t="e">
        <x:f>IF(BD120="","",INDEX({"v1.4.20","v1.4.20","v1.4.21","v1.4.21","v1.4.23","v1.4.23","v1.4.26","v1.4.26","v1.4.26.1","v1.4.26.1","v1.4.27","v1.4.27","v1.4.29","v1.4.29","v1.4.30","v1.4.30","v1.4.31","v1.4.31","v1.4.33","v1.4.33","v1.4.35","v1.4.35.2","v1.5","v1.5.1","v1.5.1"},MATCH(BD120,CHOOSE({1,2,3,4,5,6,7,8,9,10,11,12,13,14,15,16,17,18,19,20,21,22,23,24,25},E120,G120,I120,K120,M120,O120,Q120,S120,U120,W120,Y120,AA120,AC120,AE120,AG120,AI120,AK120,AM120,AO120,AQ120,AS120,AU120,AW120,AY120,BA120),0)))</x:f>
      </x:c>
      <x:c r="BF120" s="10" t="n">
        <x:f>IFERROR((AX120-BB120)/BB120,"")</x:f>
        <x:v>3.1302211302211305</x:v>
      </x:c>
      <x:c r="BG120" s="10" t="n">
        <x:f>IFERROR((AY120-BD120)/BD120,"")</x:f>
        <x:v>0.732690592191038</x:v>
      </x:c>
    </x:row>
    <x:row r="121">
      <x:c r="A121" t="str">
        <x:v>Unlocked Care Plan</x:v>
      </x:c>
      <x:c r="B121" t="str">
        <x:v>Create / Refresh All Templates</x:v>
      </x:c>
      <x:c r="C121" t="str">
        <x:v>Ensure tab color: Template - Unlocked Care Plan</x:v>
      </x:c>
      <x:c r="D121" s="8" t="n">
        <x:v>0.479</x:v>
      </x:c>
      <x:c r="E121" s="8" t="n">
        <x:v>73.426</x:v>
      </x:c>
      <x:c r="F121" s="8" t="n">
        <x:v>0.479</x:v>
      </x:c>
      <x:c r="G121" s="8" t="n">
        <x:v>73.426</x:v>
      </x:c>
      <x:c r="H121" s="8" t="n">
        <x:v>0.567</x:v>
      </x:c>
      <x:c r="I121" s="8" t="n">
        <x:v>98.315</x:v>
      </x:c>
      <x:c r="J121" s="8"/>
      <x:c r="K121" s="8"/>
      <x:c r="L121" s="8"/>
      <x:c r="M121" s="8"/>
      <x:c r="N121" s="8" t="n">
        <x:v>0.843</x:v>
      </x:c>
      <x:c r="O121" s="8" t="n">
        <x:v>92.305</x:v>
      </x:c>
      <x:c r="P121" s="8" t="n">
        <x:v>0.413</x:v>
      </x:c>
      <x:c r="Q121" s="8" t="n">
        <x:v>58.705</x:v>
      </x:c>
      <x:c r="R121" s="8" t="n">
        <x:v>0.413</x:v>
      </x:c>
      <x:c r="S121" s="8" t="n">
        <x:v>58.705</x:v>
      </x:c>
      <x:c r="T121" s="8"/>
      <x:c r="U121" s="8"/>
      <x:c r="V121" s="8" t="n">
        <x:v>0.519</x:v>
      </x:c>
      <x:c r="W121" s="8" t="n">
        <x:v>77.213</x:v>
      </x:c>
      <x:c r="X121" s="8" t="n">
        <x:v>0.814</x:v>
      </x:c>
      <x:c r="Y121" s="8" t="n">
        <x:v>112.092</x:v>
      </x:c>
      <x:c r="Z121" s="8" t="n">
        <x:v>0.814</x:v>
      </x:c>
      <x:c r="AA121" s="8" t="n">
        <x:v>112.092</x:v>
      </x:c>
      <x:c r="AB121" s="8" t="n">
        <x:v>0.643</x:v>
      </x:c>
      <x:c r="AC121" s="8" t="n">
        <x:v>105.015</x:v>
      </x:c>
      <x:c r="AD121" s="8" t="n">
        <x:v>0.643</x:v>
      </x:c>
      <x:c r="AE121" s="8" t="n">
        <x:v>105.015</x:v>
      </x:c>
      <x:c r="AF121" s="8" t="n">
        <x:v>0.69</x:v>
      </x:c>
      <x:c r="AG121" s="8" t="n">
        <x:v>110.536</x:v>
      </x:c>
      <x:c r="AH121" s="8"/>
      <x:c r="AI121" s="8"/>
      <x:c r="AJ121" s="8" t="n">
        <x:v>1.044</x:v>
      </x:c>
      <x:c r="AK121" s="8" t="n">
        <x:v>93.991</x:v>
      </x:c>
      <x:c r="AL121" s="8" t="n">
        <x:v>1.044</x:v>
      </x:c>
      <x:c r="AM121" s="8" t="n">
        <x:v>93.991</x:v>
      </x:c>
      <x:c r="AN121" s="8" t="n">
        <x:v>0.515</x:v>
      </x:c>
      <x:c r="AO121" s="8" t="n">
        <x:v>79.08</x:v>
      </x:c>
      <x:c r="AP121" s="8"/>
      <x:c r="AQ121" s="8"/>
      <x:c r="AR121" s="8" t="n">
        <x:v>0.693</x:v>
      </x:c>
      <x:c r="AS121" s="8" t="n">
        <x:v>114.816</x:v>
      </x:c>
      <x:c r="AT121" s="8" t="n">
        <x:v>0.487</x:v>
      </x:c>
      <x:c r="AU121" s="8" t="n">
        <x:v>83.918</x:v>
      </x:c>
      <x:c r="AV121" s="8" t="n">
        <x:v>1.184</x:v>
      </x:c>
      <x:c r="AW121" s="8" t="n">
        <x:v>97.596</x:v>
      </x:c>
      <x:c r="AX121" s="8" t="n">
        <x:v>0.725</x:v>
      </x:c>
      <x:c r="AY121" s="8" t="n">
        <x:v>101.727</x:v>
      </x:c>
      <x:c r="AZ121" s="8"/>
      <x:c r="BA121" s="8"/>
      <x:c r="BB121" s="8" t="n">
        <x:f>LET(m,MIN(IF(D121&gt;0,D121,1E+99),IF(F121&gt;0,F121,1E+99),IF(H121&gt;0,H121,1E+99),IF(J121&gt;0,J121,1E+99),IF(L121&gt;0,L121,1E+99),IF(N121&gt;0,N121,1E+99),IF(P121&gt;0,P121,1E+99),IF(R121&gt;0,R121,1E+99),IF(T121&gt;0,T121,1E+99),IF(V121&gt;0,V121,1E+99),IF(X121&gt;0,X121,1E+99),IF(Z121&gt;0,Z121,1E+99),IF(AB121&gt;0,AB121,1E+99),IF(AD121&gt;0,AD121,1E+99),IF(AF121&gt;0,AF121,1E+99),IF(AH121&gt;0,AH121,1E+99),IF(AJ121&gt;0,AJ121,1E+99),IF(AL121&gt;0,AL121,1E+99),IF(AN121&gt;0,AN121,1E+99),IF(AP121&gt;0,AP121,1E+99),IF(AR121&gt;0,AR121,1E+99),IF(AT121&gt;0,AT121,1E+99),IF(AV121&gt;0,AV121,1E+99),IF(AX121&gt;0,AX121,1E+99),IF(AZ121&gt;0,AZ121,1E+99)),IF(m=1E+99,"",m))</x:f>
        <x:v>0.413</x:v>
      </x:c>
      <x:c r="BC121" s="12" t="e">
        <x:f>IF(BB121="","",INDEX({"v1.4.20","v1.4.20","v1.4.21","v1.4.21","v1.4.23","v1.4.23","v1.4.26","v1.4.26","v1.4.26.1","v1.4.26.1","v1.4.27","v1.4.27","v1.4.29","v1.4.29","v1.4.30","v1.4.30","v1.4.31","v1.4.31","v1.4.33","v1.4.33","v1.4.35","v1.4.35.2","v1.5","v1.5.1","v1.5.1"},MATCH(BB121,CHOOSE({1,2,3,4,5,6,7,8,9,10,11,12,13,14,15,16,17,18,19,20,21,22,23,24,25},D121,F121,H121,J121,L121,N121,P121,R121,T121,V121,X121,Z121,AB121,AD121,AF121,AH121,AJ121,AL121,AN121,AP121,AR121,AT121,AV121,AX121,AZ121),0)))</x:f>
      </x:c>
      <x:c r="BD121" s="14" t="n">
        <x:f>LET(m,MIN(IF(E121&gt;0,E121,1E+99),IF(G121&gt;0,G121,1E+99),IF(I121&gt;0,I121,1E+99),IF(K121&gt;0,K121,1E+99),IF(M121&gt;0,M121,1E+99),IF(O121&gt;0,O121,1E+99),IF(Q121&gt;0,Q121,1E+99),IF(S121&gt;0,S121,1E+99),IF(U121&gt;0,U121,1E+99),IF(W121&gt;0,W121,1E+99),IF(Y121&gt;0,Y121,1E+99),IF(AA121&gt;0,AA121,1E+99),IF(AC121&gt;0,AC121,1E+99),IF(AE121&gt;0,AE121,1E+99),IF(AG121&gt;0,AG121,1E+99),IF(AI121&gt;0,AI121,1E+99),IF(AK121&gt;0,AK121,1E+99),IF(AM121&gt;0,AM121,1E+99),IF(AO121&gt;0,AO121,1E+99),IF(AQ121&gt;0,AQ121,1E+99),IF(AS121&gt;0,AS121,1E+99),IF(AU121&gt;0,AU121,1E+99),IF(AW121&gt;0,AW121,1E+99),IF(AY121&gt;0,AY121,1E+99),IF(BA121&gt;0,BA121,1E+99)),IF(m=1E+99,"",m))</x:f>
        <x:v>58.705</x:v>
      </x:c>
      <x:c r="BE121" s="16" t="e">
        <x:f>IF(BD121="","",INDEX({"v1.4.20","v1.4.20","v1.4.21","v1.4.21","v1.4.23","v1.4.23","v1.4.26","v1.4.26","v1.4.26.1","v1.4.26.1","v1.4.27","v1.4.27","v1.4.29","v1.4.29","v1.4.30","v1.4.30","v1.4.31","v1.4.31","v1.4.33","v1.4.33","v1.4.35","v1.4.35.2","v1.5","v1.5.1","v1.5.1"},MATCH(BD121,CHOOSE({1,2,3,4,5,6,7,8,9,10,11,12,13,14,15,16,17,18,19,20,21,22,23,24,25},E121,G121,I121,K121,M121,O121,Q121,S121,U121,W121,Y121,AA121,AC121,AE121,AG121,AI121,AK121,AM121,AO121,AQ121,AS121,AU121,AW121,AY121,BA121),0)))</x:f>
      </x:c>
      <x:c r="BF121" s="10" t="n">
        <x:f>IFERROR((AX121-BB121)/BB121,"")</x:f>
        <x:v>0.7554479418886199</x:v>
      </x:c>
      <x:c r="BG121" s="10" t="n">
        <x:f>IFERROR((AY121-BD121)/BD121,"")</x:f>
        <x:v>0.7328506941487097</x:v>
      </x:c>
    </x:row>
    <x:row r="122">
      <x:c r="A122" t="str">
        <x:v>Unlocked Care Plan</x:v>
      </x:c>
      <x:c r="B122" t="str">
        <x:v>Create / Refresh All Templates</x:v>
      </x:c>
      <x:c r="C122" t="str">
        <x:v>Final date/number format enforcement: Template - Unlocked Care Plan</x:v>
      </x:c>
      <x:c r="D122" s="8" t="n">
        <x:v>0.704</x:v>
      </x:c>
      <x:c r="E122" s="8" t="n">
        <x:v>74.13</x:v>
      </x:c>
      <x:c r="F122" s="8" t="n">
        <x:v>0.704</x:v>
      </x:c>
      <x:c r="G122" s="8" t="n">
        <x:v>74.13</x:v>
      </x:c>
      <x:c r="H122" s="8" t="n">
        <x:v>0.62</x:v>
      </x:c>
      <x:c r="I122" s="8" t="n">
        <x:v>98.935</x:v>
      </x:c>
      <x:c r="J122" s="8"/>
      <x:c r="K122" s="8"/>
      <x:c r="L122" s="8"/>
      <x:c r="M122" s="8"/>
      <x:c r="N122" s="8" t="n">
        <x:v>1.641</x:v>
      </x:c>
      <x:c r="O122" s="8" t="n">
        <x:v>93.946</x:v>
      </x:c>
      <x:c r="P122" s="8" t="n">
        <x:v>0.455</x:v>
      </x:c>
      <x:c r="Q122" s="8" t="n">
        <x:v>59.16</x:v>
      </x:c>
      <x:c r="R122" s="8" t="n">
        <x:v>0.455</x:v>
      </x:c>
      <x:c r="S122" s="8" t="n">
        <x:v>59.16</x:v>
      </x:c>
      <x:c r="T122" s="8"/>
      <x:c r="U122" s="8"/>
      <x:c r="V122" s="8" t="n">
        <x:v>0.623</x:v>
      </x:c>
      <x:c r="W122" s="8" t="n">
        <x:v>77.836</x:v>
      </x:c>
      <x:c r="X122" s="8" t="n">
        <x:v>0.908</x:v>
      </x:c>
      <x:c r="Y122" s="8" t="n">
        <x:v>113</x:v>
      </x:c>
      <x:c r="Z122" s="8" t="n">
        <x:v>0.908</x:v>
      </x:c>
      <x:c r="AA122" s="8" t="n">
        <x:v>113</x:v>
      </x:c>
      <x:c r="AB122" s="8" t="n">
        <x:v>0.701</x:v>
      </x:c>
      <x:c r="AC122" s="8" t="n">
        <x:v>105.716</x:v>
      </x:c>
      <x:c r="AD122" s="8" t="n">
        <x:v>0.701</x:v>
      </x:c>
      <x:c r="AE122" s="8" t="n">
        <x:v>105.716</x:v>
      </x:c>
      <x:c r="AF122" s="8" t="n">
        <x:v>0.783</x:v>
      </x:c>
      <x:c r="AG122" s="8" t="n">
        <x:v>111.319</x:v>
      </x:c>
      <x:c r="AH122" s="8"/>
      <x:c r="AI122" s="8"/>
      <x:c r="AJ122" s="8" t="n">
        <x:v>1.127</x:v>
      </x:c>
      <x:c r="AK122" s="8" t="n">
        <x:v>95.118</x:v>
      </x:c>
      <x:c r="AL122" s="8" t="n">
        <x:v>1.127</x:v>
      </x:c>
      <x:c r="AM122" s="8" t="n">
        <x:v>95.118</x:v>
      </x:c>
      <x:c r="AN122" s="8" t="n">
        <x:v>0.641</x:v>
      </x:c>
      <x:c r="AO122" s="8" t="n">
        <x:v>79.721</x:v>
      </x:c>
      <x:c r="AP122" s="8"/>
      <x:c r="AQ122" s="8"/>
      <x:c r="AR122" s="8" t="n">
        <x:v>0.827</x:v>
      </x:c>
      <x:c r="AS122" s="8" t="n">
        <x:v>115.643</x:v>
      </x:c>
      <x:c r="AT122" s="8" t="n">
        <x:v>0.714</x:v>
      </x:c>
      <x:c r="AU122" s="8" t="n">
        <x:v>84.632</x:v>
      </x:c>
      <x:c r="AV122" s="8" t="n">
        <x:v>4.455</x:v>
      </x:c>
      <x:c r="AW122" s="8" t="n">
        <x:v>102.051</x:v>
      </x:c>
      <x:c r="AX122" s="8" t="n">
        <x:v>0.859</x:v>
      </x:c>
      <x:c r="AY122" s="8" t="n">
        <x:v>102.586</x:v>
      </x:c>
      <x:c r="AZ122" s="8"/>
      <x:c r="BA122" s="8"/>
      <x:c r="BB122" s="8" t="n">
        <x:f>LET(m,MIN(IF(D122&gt;0,D122,1E+99),IF(F122&gt;0,F122,1E+99),IF(H122&gt;0,H122,1E+99),IF(J122&gt;0,J122,1E+99),IF(L122&gt;0,L122,1E+99),IF(N122&gt;0,N122,1E+99),IF(P122&gt;0,P122,1E+99),IF(R122&gt;0,R122,1E+99),IF(T122&gt;0,T122,1E+99),IF(V122&gt;0,V122,1E+99),IF(X122&gt;0,X122,1E+99),IF(Z122&gt;0,Z122,1E+99),IF(AB122&gt;0,AB122,1E+99),IF(AD122&gt;0,AD122,1E+99),IF(AF122&gt;0,AF122,1E+99),IF(AH122&gt;0,AH122,1E+99),IF(AJ122&gt;0,AJ122,1E+99),IF(AL122&gt;0,AL122,1E+99),IF(AN122&gt;0,AN122,1E+99),IF(AP122&gt;0,AP122,1E+99),IF(AR122&gt;0,AR122,1E+99),IF(AT122&gt;0,AT122,1E+99),IF(AV122&gt;0,AV122,1E+99),IF(AX122&gt;0,AX122,1E+99),IF(AZ122&gt;0,AZ122,1E+99)),IF(m=1E+99,"",m))</x:f>
        <x:v>0.455</x:v>
      </x:c>
      <x:c r="BC122" s="12" t="e">
        <x:f>IF(BB122="","",INDEX({"v1.4.20","v1.4.20","v1.4.21","v1.4.21","v1.4.23","v1.4.23","v1.4.26","v1.4.26","v1.4.26.1","v1.4.26.1","v1.4.27","v1.4.27","v1.4.29","v1.4.29","v1.4.30","v1.4.30","v1.4.31","v1.4.31","v1.4.33","v1.4.33","v1.4.35","v1.4.35.2","v1.5","v1.5.1","v1.5.1"},MATCH(BB122,CHOOSE({1,2,3,4,5,6,7,8,9,10,11,12,13,14,15,16,17,18,19,20,21,22,23,24,25},D122,F122,H122,J122,L122,N122,P122,R122,T122,V122,X122,Z122,AB122,AD122,AF122,AH122,AJ122,AL122,AN122,AP122,AR122,AT122,AV122,AX122,AZ122),0)))</x:f>
      </x:c>
      <x:c r="BD122" s="14" t="n">
        <x:f>LET(m,MIN(IF(E122&gt;0,E122,1E+99),IF(G122&gt;0,G122,1E+99),IF(I122&gt;0,I122,1E+99),IF(K122&gt;0,K122,1E+99),IF(M122&gt;0,M122,1E+99),IF(O122&gt;0,O122,1E+99),IF(Q122&gt;0,Q122,1E+99),IF(S122&gt;0,S122,1E+99),IF(U122&gt;0,U122,1E+99),IF(W122&gt;0,W122,1E+99),IF(Y122&gt;0,Y122,1E+99),IF(AA122&gt;0,AA122,1E+99),IF(AC122&gt;0,AC122,1E+99),IF(AE122&gt;0,AE122,1E+99),IF(AG122&gt;0,AG122,1E+99),IF(AI122&gt;0,AI122,1E+99),IF(AK122&gt;0,AK122,1E+99),IF(AM122&gt;0,AM122,1E+99),IF(AO122&gt;0,AO122,1E+99),IF(AQ122&gt;0,AQ122,1E+99),IF(AS122&gt;0,AS122,1E+99),IF(AU122&gt;0,AU122,1E+99),IF(AW122&gt;0,AW122,1E+99),IF(AY122&gt;0,AY122,1E+99),IF(BA122&gt;0,BA122,1E+99)),IF(m=1E+99,"",m))</x:f>
        <x:v>59.16</x:v>
      </x:c>
      <x:c r="BE122" s="16" t="e">
        <x:f>IF(BD122="","",INDEX({"v1.4.20","v1.4.20","v1.4.21","v1.4.21","v1.4.23","v1.4.23","v1.4.26","v1.4.26","v1.4.26.1","v1.4.26.1","v1.4.27","v1.4.27","v1.4.29","v1.4.29","v1.4.30","v1.4.30","v1.4.31","v1.4.31","v1.4.33","v1.4.33","v1.4.35","v1.4.35.2","v1.5","v1.5.1","v1.5.1"},MATCH(BD122,CHOOSE({1,2,3,4,5,6,7,8,9,10,11,12,13,14,15,16,17,18,19,20,21,22,23,24,25},E122,G122,I122,K122,M122,O122,Q122,S122,U122,W122,Y122,AA122,AC122,AE122,AG122,AI122,AK122,AM122,AO122,AQ122,AS122,AU122,AW122,AY122,BA122),0)))</x:f>
      </x:c>
      <x:c r="BF122" s="10" t="n">
        <x:f>IFERROR((AX122-BB122)/BB122,"")</x:f>
        <x:v>0.8879120879120879</x:v>
      </x:c>
      <x:c r="BG122" s="10" t="n">
        <x:f>IFERROR((AY122-BD122)/BD122,"")</x:f>
        <x:v>0.7340432724814064</x:v>
      </x:c>
    </x:row>
    <x:row r="123">
      <x:c r="A123" t="str">
        <x:v>Unlocked Care Plan</x:v>
      </x:c>
      <x:c r="B123" t="str">
        <x:v>Create / Refresh All Templates</x:v>
      </x:c>
      <x:c r="C123" t="str">
        <x:v>Hide template: Template - Unlocked Care Plan</x:v>
      </x:c>
      <x:c r="D123" s="8" t="n">
        <x:v>2.146</x:v>
      </x:c>
      <x:c r="E123" s="8" t="n">
        <x:v>76.276</x:v>
      </x:c>
      <x:c r="F123" s="8" t="n">
        <x:v>2.146</x:v>
      </x:c>
      <x:c r="G123" s="8" t="n">
        <x:v>76.276</x:v>
      </x:c>
      <x:c r="H123" s="8" t="n">
        <x:v>1.407</x:v>
      </x:c>
      <x:c r="I123" s="8" t="n">
        <x:v>100.342</x:v>
      </x:c>
      <x:c r="J123" s="8"/>
      <x:c r="K123" s="8"/>
      <x:c r="L123" s="8"/>
      <x:c r="M123" s="8"/>
      <x:c r="N123" s="8" t="n">
        <x:v>1.531</x:v>
      </x:c>
      <x:c r="O123" s="8" t="n">
        <x:v>95.477</x:v>
      </x:c>
      <x:c r="P123" s="8" t="n">
        <x:v>0.968</x:v>
      </x:c>
      <x:c r="Q123" s="8" t="n">
        <x:v>60.128</x:v>
      </x:c>
      <x:c r="R123" s="8" t="n">
        <x:v>0.968</x:v>
      </x:c>
      <x:c r="S123" s="8" t="n">
        <x:v>60.128</x:v>
      </x:c>
      <x:c r="T123" s="8"/>
      <x:c r="U123" s="8"/>
      <x:c r="V123" s="8" t="n">
        <x:v>1.239</x:v>
      </x:c>
      <x:c r="W123" s="8" t="n">
        <x:v>79.075</x:v>
      </x:c>
      <x:c r="X123" s="8" t="n">
        <x:v>3.234</x:v>
      </x:c>
      <x:c r="Y123" s="8" t="n">
        <x:v>116.234</x:v>
      </x:c>
      <x:c r="Z123" s="8" t="n">
        <x:v>3.234</x:v>
      </x:c>
      <x:c r="AA123" s="8" t="n">
        <x:v>116.234</x:v>
      </x:c>
      <x:c r="AB123" s="8" t="n">
        <x:v>1.708</x:v>
      </x:c>
      <x:c r="AC123" s="8" t="n">
        <x:v>107.424</x:v>
      </x:c>
      <x:c r="AD123" s="8" t="n">
        <x:v>1.708</x:v>
      </x:c>
      <x:c r="AE123" s="8" t="n">
        <x:v>107.424</x:v>
      </x:c>
      <x:c r="AF123" s="8" t="n">
        <x:v>1.976</x:v>
      </x:c>
      <x:c r="AG123" s="8" t="n">
        <x:v>113.295</x:v>
      </x:c>
      <x:c r="AH123" s="8"/>
      <x:c r="AI123" s="8"/>
      <x:c r="AJ123" s="8" t="n">
        <x:v>2.585</x:v>
      </x:c>
      <x:c r="AK123" s="8" t="n">
        <x:v>97.703</x:v>
      </x:c>
      <x:c r="AL123" s="8" t="n">
        <x:v>2.585</x:v>
      </x:c>
      <x:c r="AM123" s="8" t="n">
        <x:v>97.703</x:v>
      </x:c>
      <x:c r="AN123" s="8" t="n">
        <x:v>1.116</x:v>
      </x:c>
      <x:c r="AO123" s="8" t="n">
        <x:v>80.837</x:v>
      </x:c>
      <x:c r="AP123" s="8"/>
      <x:c r="AQ123" s="8"/>
      <x:c r="AR123" s="8" t="n">
        <x:v>1.759</x:v>
      </x:c>
      <x:c r="AS123" s="8" t="n">
        <x:v>117.402</x:v>
      </x:c>
      <x:c r="AT123" s="8" t="n">
        <x:v>1.482</x:v>
      </x:c>
      <x:c r="AU123" s="8" t="n">
        <x:v>86.114</x:v>
      </x:c>
      <x:c r="AV123" s="8" t="n">
        <x:v>1.891</x:v>
      </x:c>
      <x:c r="AW123" s="8" t="n">
        <x:v>103.942</x:v>
      </x:c>
      <x:c r="AX123" s="8" t="n">
        <x:v>2.064</x:v>
      </x:c>
      <x:c r="AY123" s="8" t="n">
        <x:v>104.65</x:v>
      </x:c>
      <x:c r="AZ123" s="8"/>
      <x:c r="BA123" s="8"/>
      <x:c r="BB123" s="8" t="n">
        <x:f>LET(m,MIN(IF(D123&gt;0,D123,1E+99),IF(F123&gt;0,F123,1E+99),IF(H123&gt;0,H123,1E+99),IF(J123&gt;0,J123,1E+99),IF(L123&gt;0,L123,1E+99),IF(N123&gt;0,N123,1E+99),IF(P123&gt;0,P123,1E+99),IF(R123&gt;0,R123,1E+99),IF(T123&gt;0,T123,1E+99),IF(V123&gt;0,V123,1E+99),IF(X123&gt;0,X123,1E+99),IF(Z123&gt;0,Z123,1E+99),IF(AB123&gt;0,AB123,1E+99),IF(AD123&gt;0,AD123,1E+99),IF(AF123&gt;0,AF123,1E+99),IF(AH123&gt;0,AH123,1E+99),IF(AJ123&gt;0,AJ123,1E+99),IF(AL123&gt;0,AL123,1E+99),IF(AN123&gt;0,AN123,1E+99),IF(AP123&gt;0,AP123,1E+99),IF(AR123&gt;0,AR123,1E+99),IF(AT123&gt;0,AT123,1E+99),IF(AV123&gt;0,AV123,1E+99),IF(AX123&gt;0,AX123,1E+99),IF(AZ123&gt;0,AZ123,1E+99)),IF(m=1E+99,"",m))</x:f>
        <x:v>0.968</x:v>
      </x:c>
      <x:c r="BC123" s="12" t="e">
        <x:f>IF(BB123="","",INDEX({"v1.4.20","v1.4.20","v1.4.21","v1.4.21","v1.4.23","v1.4.23","v1.4.26","v1.4.26","v1.4.26.1","v1.4.26.1","v1.4.27","v1.4.27","v1.4.29","v1.4.29","v1.4.30","v1.4.30","v1.4.31","v1.4.31","v1.4.33","v1.4.33","v1.4.35","v1.4.35.2","v1.5","v1.5.1","v1.5.1"},MATCH(BB123,CHOOSE({1,2,3,4,5,6,7,8,9,10,11,12,13,14,15,16,17,18,19,20,21,22,23,24,25},D123,F123,H123,J123,L123,N123,P123,R123,T123,V123,X123,Z123,AB123,AD123,AF123,AH123,AJ123,AL123,AN123,AP123,AR123,AT123,AV123,AX123,AZ123),0)))</x:f>
      </x:c>
      <x:c r="BD123" s="14" t="n">
        <x:f>LET(m,MIN(IF(E123&gt;0,E123,1E+99),IF(G123&gt;0,G123,1E+99),IF(I123&gt;0,I123,1E+99),IF(K123&gt;0,K123,1E+99),IF(M123&gt;0,M123,1E+99),IF(O123&gt;0,O123,1E+99),IF(Q123&gt;0,Q123,1E+99),IF(S123&gt;0,S123,1E+99),IF(U123&gt;0,U123,1E+99),IF(W123&gt;0,W123,1E+99),IF(Y123&gt;0,Y123,1E+99),IF(AA123&gt;0,AA123,1E+99),IF(AC123&gt;0,AC123,1E+99),IF(AE123&gt;0,AE123,1E+99),IF(AG123&gt;0,AG123,1E+99),IF(AI123&gt;0,AI123,1E+99),IF(AK123&gt;0,AK123,1E+99),IF(AM123&gt;0,AM123,1E+99),IF(AO123&gt;0,AO123,1E+99),IF(AQ123&gt;0,AQ123,1E+99),IF(AS123&gt;0,AS123,1E+99),IF(AU123&gt;0,AU123,1E+99),IF(AW123&gt;0,AW123,1E+99),IF(AY123&gt;0,AY123,1E+99),IF(BA123&gt;0,BA123,1E+99)),IF(m=1E+99,"",m))</x:f>
        <x:v>60.128</x:v>
      </x:c>
      <x:c r="BE123" s="16" t="e">
        <x:f>IF(BD123="","",INDEX({"v1.4.20","v1.4.20","v1.4.21","v1.4.21","v1.4.23","v1.4.23","v1.4.26","v1.4.26","v1.4.26.1","v1.4.26.1","v1.4.27","v1.4.27","v1.4.29","v1.4.29","v1.4.30","v1.4.30","v1.4.31","v1.4.31","v1.4.33","v1.4.33","v1.4.35","v1.4.35.2","v1.5","v1.5.1","v1.5.1"},MATCH(BD123,CHOOSE({1,2,3,4,5,6,7,8,9,10,11,12,13,14,15,16,17,18,19,20,21,22,23,24,25},E123,G123,I123,K123,M123,O123,Q123,S123,U123,W123,Y123,AA123,AC123,AE123,AG123,AI123,AK123,AM123,AO123,AQ123,AS123,AU123,AW123,AY123,BA123),0)))</x:f>
      </x:c>
      <x:c r="BF123" s="10" t="n">
        <x:f>IFERROR((AX123-BB123)/BB123,"")</x:f>
        <x:v>1.132231404958678</x:v>
      </x:c>
      <x:c r="BG123" s="10" t="n">
        <x:f>IFERROR((AY123-BD123)/BD123,"")</x:f>
        <x:v>0.7404536987759447</x:v>
      </x:c>
    </x:row>
    <x:row r="124">
      <x:c r="A124" t="str">
        <x:v>Unlocked Care Plan</x:v>
      </x:c>
      <x:c r="B124" t="str">
        <x:v>Create / Refresh All Templates</x:v>
      </x:c>
      <x:c r="C124" t="str">
        <x:v>Complete full template build: Template - Unlocked Care Plan</x:v>
      </x:c>
      <x:c r="D124" s="8" t="n">
        <x:v>0</x:v>
      </x:c>
      <x:c r="E124" s="8" t="n">
        <x:v>76.276</x:v>
      </x:c>
      <x:c r="F124" s="8" t="n">
        <x:v>0</x:v>
      </x:c>
      <x:c r="G124" s="8" t="n">
        <x:v>76.276</x:v>
      </x:c>
      <x:c r="H124" s="8" t="n">
        <x:v>0</x:v>
      </x:c>
      <x:c r="I124" s="8" t="n">
        <x:v>100.342</x:v>
      </x:c>
      <x:c r="J124" s="8"/>
      <x:c r="K124" s="8"/>
      <x:c r="L124" s="8"/>
      <x:c r="M124" s="8"/>
      <x:c r="N124" s="8" t="n">
        <x:v>0</x:v>
      </x:c>
      <x:c r="O124" s="8" t="n">
        <x:v>95.477</x:v>
      </x:c>
      <x:c r="P124" s="8" t="n">
        <x:v>0</x:v>
      </x:c>
      <x:c r="Q124" s="8" t="n">
        <x:v>60.128</x:v>
      </x:c>
      <x:c r="R124" s="8" t="n">
        <x:v>0</x:v>
      </x:c>
      <x:c r="S124" s="8" t="n">
        <x:v>60.128</x:v>
      </x:c>
      <x:c r="T124" s="8"/>
      <x:c r="U124" s="8"/>
      <x:c r="V124" s="8" t="n">
        <x:v>0</x:v>
      </x:c>
      <x:c r="W124" s="8" t="n">
        <x:v>79.075</x:v>
      </x:c>
      <x:c r="X124" s="8" t="n">
        <x:v>0</x:v>
      </x:c>
      <x:c r="Y124" s="8" t="n">
        <x:v>116.234</x:v>
      </x:c>
      <x:c r="Z124" s="8" t="n">
        <x:v>0</x:v>
      </x:c>
      <x:c r="AA124" s="8" t="n">
        <x:v>116.234</x:v>
      </x:c>
      <x:c r="AB124" s="8" t="n">
        <x:v>0</x:v>
      </x:c>
      <x:c r="AC124" s="8" t="n">
        <x:v>107.424</x:v>
      </x:c>
      <x:c r="AD124" s="8" t="n">
        <x:v>0</x:v>
      </x:c>
      <x:c r="AE124" s="8" t="n">
        <x:v>107.424</x:v>
      </x:c>
      <x:c r="AF124" s="8" t="n">
        <x:v>0</x:v>
      </x:c>
      <x:c r="AG124" s="8" t="n">
        <x:v>113.295</x:v>
      </x:c>
      <x:c r="AH124" s="8"/>
      <x:c r="AI124" s="8"/>
      <x:c r="AJ124" s="8" t="n">
        <x:v>0</x:v>
      </x:c>
      <x:c r="AK124" s="8" t="n">
        <x:v>97.703</x:v>
      </x:c>
      <x:c r="AL124" s="8" t="n">
        <x:v>0</x:v>
      </x:c>
      <x:c r="AM124" s="8" t="n">
        <x:v>97.703</x:v>
      </x:c>
      <x:c r="AN124" s="8" t="n">
        <x:v>0</x:v>
      </x:c>
      <x:c r="AO124" s="8" t="n">
        <x:v>80.837</x:v>
      </x:c>
      <x:c r="AP124" s="8"/>
      <x:c r="AQ124" s="8"/>
      <x:c r="AR124" s="8" t="n">
        <x:v>0</x:v>
      </x:c>
      <x:c r="AS124" s="8" t="n">
        <x:v>117.402</x:v>
      </x:c>
      <x:c r="AT124" s="8" t="n">
        <x:v>0</x:v>
      </x:c>
      <x:c r="AU124" s="8" t="n">
        <x:v>86.114</x:v>
      </x:c>
      <x:c r="AV124" s="8" t="n">
        <x:v>0</x:v>
      </x:c>
      <x:c r="AW124" s="8" t="n">
        <x:v>103.942</x:v>
      </x:c>
      <x:c r="AX124" s="8" t="n">
        <x:v>0</x:v>
      </x:c>
      <x:c r="AY124" s="8" t="n">
        <x:v>104.65</x:v>
      </x:c>
      <x:c r="AZ124" s="8" t="n">
        <x:v>0</x:v>
      </x:c>
      <x:c r="BA124" s="8" t="n">
        <x:v>104.65</x:v>
      </x:c>
      <x:c r="BB124" s="8" t="str">
        <x:f>LET(m,MIN(IF(D124&gt;0,D124,1E+99),IF(F124&gt;0,F124,1E+99),IF(H124&gt;0,H124,1E+99),IF(J124&gt;0,J124,1E+99),IF(L124&gt;0,L124,1E+99),IF(N124&gt;0,N124,1E+99),IF(P124&gt;0,P124,1E+99),IF(R124&gt;0,R124,1E+99),IF(T124&gt;0,T124,1E+99),IF(V124&gt;0,V124,1E+99),IF(X124&gt;0,X124,1E+99),IF(Z124&gt;0,Z124,1E+99),IF(AB124&gt;0,AB124,1E+99),IF(AD124&gt;0,AD124,1E+99),IF(AF124&gt;0,AF124,1E+99),IF(AH124&gt;0,AH124,1E+99),IF(AJ124&gt;0,AJ124,1E+99),IF(AL124&gt;0,AL124,1E+99),IF(AN124&gt;0,AN124,1E+99),IF(AP124&gt;0,AP124,1E+99),IF(AR124&gt;0,AR124,1E+99),IF(AT124&gt;0,AT124,1E+99),IF(AV124&gt;0,AV124,1E+99),IF(AX124&gt;0,AX124,1E+99),IF(AZ124&gt;0,AZ124,1E+99)),IF(m=1E+99,"",m))</x:f>
      </x:c>
      <x:c r="BC124" s="12" t="str">
        <x:f>IF(BB124="","",INDEX({"v1.4.20","v1.4.20","v1.4.21","v1.4.21","v1.4.23","v1.4.23","v1.4.26","v1.4.26","v1.4.26.1","v1.4.26.1","v1.4.27","v1.4.27","v1.4.29","v1.4.29","v1.4.30","v1.4.30","v1.4.31","v1.4.31","v1.4.33","v1.4.33","v1.4.35","v1.4.35.2","v1.5","v1.5.1","v1.5.1"},MATCH(BB124,CHOOSE({1,2,3,4,5,6,7,8,9,10,11,12,13,14,15,16,17,18,19,20,21,22,23,24,25},D124,F124,H124,J124,L124,N124,P124,R124,T124,V124,X124,Z124,AB124,AD124,AF124,AH124,AJ124,AL124,AN124,AP124,AR124,AT124,AV124,AX124,AZ124),0)))</x:f>
      </x:c>
      <x:c r="BD124" s="14" t="n">
        <x:f>LET(m,MIN(IF(E124&gt;0,E124,1E+99),IF(G124&gt;0,G124,1E+99),IF(I124&gt;0,I124,1E+99),IF(K124&gt;0,K124,1E+99),IF(M124&gt;0,M124,1E+99),IF(O124&gt;0,O124,1E+99),IF(Q124&gt;0,Q124,1E+99),IF(S124&gt;0,S124,1E+99),IF(U124&gt;0,U124,1E+99),IF(W124&gt;0,W124,1E+99),IF(Y124&gt;0,Y124,1E+99),IF(AA124&gt;0,AA124,1E+99),IF(AC124&gt;0,AC124,1E+99),IF(AE124&gt;0,AE124,1E+99),IF(AG124&gt;0,AG124,1E+99),IF(AI124&gt;0,AI124,1E+99),IF(AK124&gt;0,AK124,1E+99),IF(AM124&gt;0,AM124,1E+99),IF(AO124&gt;0,AO124,1E+99),IF(AQ124&gt;0,AQ124,1E+99),IF(AS124&gt;0,AS124,1E+99),IF(AU124&gt;0,AU124,1E+99),IF(AW124&gt;0,AW124,1E+99),IF(AY124&gt;0,AY124,1E+99),IF(BA124&gt;0,BA124,1E+99)),IF(m=1E+99,"",m))</x:f>
        <x:v>60.128</x:v>
      </x:c>
      <x:c r="BE124" s="16" t="e">
        <x:f>IF(BD124="","",INDEX({"v1.4.20","v1.4.20","v1.4.21","v1.4.21","v1.4.23","v1.4.23","v1.4.26","v1.4.26","v1.4.26.1","v1.4.26.1","v1.4.27","v1.4.27","v1.4.29","v1.4.29","v1.4.30","v1.4.30","v1.4.31","v1.4.31","v1.4.33","v1.4.33","v1.4.35","v1.4.35.2","v1.5","v1.5.1","v1.5.1"},MATCH(BD124,CHOOSE({1,2,3,4,5,6,7,8,9,10,11,12,13,14,15,16,17,18,19,20,21,22,23,24,25},E124,G124,I124,K124,M124,O124,Q124,S124,U124,W124,Y124,AA124,AC124,AE124,AG124,AI124,AK124,AM124,AO124,AQ124,AS124,AU124,AW124,AY124,BA124),0)))</x:f>
      </x:c>
      <x:c r="BF124" s="10" t="str">
        <x:f>IFERROR((AX124-BB124)/BB124,"")</x:f>
      </x:c>
      <x:c r="BG124" s="10" t="n">
        <x:f>IFERROR((AY124-BD124)/BD124,"")</x:f>
        <x:v>0.7404536987759447</x:v>
      </x:c>
    </x:row>
    <x:row r="125">
      <x:c r="A125" t="str">
        <x:v>Unlocked Care Plan</x:v>
      </x:c>
      <x:c r="B125" t="str">
        <x:v>Create / Refresh All Templates</x:v>
      </x:c>
      <x:c r="C125" t="str">
        <x:v>Apply row heights: Template - Unlocked Care Plan</x:v>
      </x:c>
      <x:c r="D125" s="8" t="n">
        <x:v>0.011</x:v>
      </x:c>
      <x:c r="E125" s="8" t="n">
        <x:v>71.581</x:v>
      </x:c>
      <x:c r="F125" s="8" t="n">
        <x:v>0.011</x:v>
      </x:c>
      <x:c r="G125" s="8" t="n">
        <x:v>71.581</x:v>
      </x:c>
      <x:c r="H125" s="8" t="n">
        <x:v>0.006</x:v>
      </x:c>
      <x:c r="I125" s="8" t="n">
        <x:v>96.119</x:v>
      </x:c>
      <x:c r="J125" s="8"/>
      <x:c r="K125" s="8"/>
      <x:c r="L125" s="8"/>
      <x:c r="M125" s="8"/>
      <x:c r="N125" s="8" t="n">
        <x:v>0.015</x:v>
      </x:c>
      <x:c r="O125" s="8" t="n">
        <x:v>89.293</x:v>
      </x:c>
      <x:c r="P125" s="8" t="n">
        <x:v>0.008</x:v>
      </x:c>
      <x:c r="Q125" s="8" t="n">
        <x:v>57.157</x:v>
      </x:c>
      <x:c r="R125" s="8" t="n">
        <x:v>0.008</x:v>
      </x:c>
      <x:c r="S125" s="8" t="n">
        <x:v>57.157</x:v>
      </x:c>
      <x:c r="T125" s="8"/>
      <x:c r="U125" s="8"/>
      <x:c r="V125" s="8" t="n">
        <x:v>0.811</x:v>
      </x:c>
      <x:c r="W125" s="8" t="n">
        <x:v>75.688</x:v>
      </x:c>
      <x:c r="X125" s="8" t="n">
        <x:v>0.01</x:v>
      </x:c>
      <x:c r="Y125" s="8" t="n">
        <x:v>108.908</x:v>
      </x:c>
      <x:c r="Z125" s="8" t="n">
        <x:v>0.01</x:v>
      </x:c>
      <x:c r="AA125" s="8" t="n">
        <x:v>108.908</x:v>
      </x:c>
      <x:c r="AB125" s="8" t="n">
        <x:v>1.202</x:v>
      </x:c>
      <x:c r="AC125" s="8" t="n">
        <x:v>103.473</x:v>
      </x:c>
      <x:c r="AD125" s="8" t="n">
        <x:v>1.202</x:v>
      </x:c>
      <x:c r="AE125" s="8" t="n">
        <x:v>103.473</x:v>
      </x:c>
      <x:c r="AF125" s="8" t="n">
        <x:v>1.292</x:v>
      </x:c>
      <x:c r="AG125" s="8" t="n">
        <x:v>108.971</x:v>
      </x:c>
      <x:c r="AH125" s="8"/>
      <x:c r="AI125" s="8"/>
      <x:c r="AJ125" s="8" t="n">
        <x:v>1.842</x:v>
      </x:c>
      <x:c r="AK125" s="8" t="n">
        <x:v>91.847</x:v>
      </x:c>
      <x:c r="AL125" s="8" t="n">
        <x:v>1.842</x:v>
      </x:c>
      <x:c r="AM125" s="8" t="n">
        <x:v>91.847</x:v>
      </x:c>
      <x:c r="AN125" s="8" t="n">
        <x:v>0.824</x:v>
      </x:c>
      <x:c r="AO125" s="8" t="n">
        <x:v>77.768</x:v>
      </x:c>
      <x:c r="AP125" s="8"/>
      <x:c r="AQ125" s="8"/>
      <x:c r="AR125" s="8" t="n">
        <x:v>0.017</x:v>
      </x:c>
      <x:c r="AS125" s="8" t="n">
        <x:v>112.01</x:v>
      </x:c>
      <x:c r="AT125" s="8" t="n">
        <x:v>0.021</x:v>
      </x:c>
      <x:c r="AU125" s="8" t="n">
        <x:v>81.699</x:v>
      </x:c>
      <x:c r="AV125" s="8"/>
      <x:c r="AW125" s="8"/>
      <x:c r="AX125" s="8"/>
      <x:c r="AY125" s="8"/>
      <x:c r="AZ125" s="8"/>
      <x:c r="BA125" s="8"/>
      <x:c r="BB125" s="8" t="n">
        <x:f>LET(m,MIN(IF(D125&gt;0,D125,1E+99),IF(F125&gt;0,F125,1E+99),IF(H125&gt;0,H125,1E+99),IF(J125&gt;0,J125,1E+99),IF(L125&gt;0,L125,1E+99),IF(N125&gt;0,N125,1E+99),IF(P125&gt;0,P125,1E+99),IF(R125&gt;0,R125,1E+99),IF(T125&gt;0,T125,1E+99),IF(V125&gt;0,V125,1E+99),IF(X125&gt;0,X125,1E+99),IF(Z125&gt;0,Z125,1E+99),IF(AB125&gt;0,AB125,1E+99),IF(AD125&gt;0,AD125,1E+99),IF(AF125&gt;0,AF125,1E+99),IF(AH125&gt;0,AH125,1E+99),IF(AJ125&gt;0,AJ125,1E+99),IF(AL125&gt;0,AL125,1E+99),IF(AN125&gt;0,AN125,1E+99),IF(AP125&gt;0,AP125,1E+99),IF(AR125&gt;0,AR125,1E+99),IF(AT125&gt;0,AT125,1E+99),IF(AV125&gt;0,AV125,1E+99),IF(AX125&gt;0,AX125,1E+99),IF(AZ125&gt;0,AZ125,1E+99)),IF(m=1E+99,"",m))</x:f>
        <x:v>0.006</x:v>
      </x:c>
      <x:c r="BC125" s="12" t="e">
        <x:f>IF(BB125="","",INDEX({"v1.4.20","v1.4.20","v1.4.21","v1.4.21","v1.4.23","v1.4.23","v1.4.26","v1.4.26","v1.4.26.1","v1.4.26.1","v1.4.27","v1.4.27","v1.4.29","v1.4.29","v1.4.30","v1.4.30","v1.4.31","v1.4.31","v1.4.33","v1.4.33","v1.4.35","v1.4.35.2","v1.5","v1.5.1","v1.5.1"},MATCH(BB125,CHOOSE({1,2,3,4,5,6,7,8,9,10,11,12,13,14,15,16,17,18,19,20,21,22,23,24,25},D125,F125,H125,J125,L125,N125,P125,R125,T125,V125,X125,Z125,AB125,AD125,AF125,AH125,AJ125,AL125,AN125,AP125,AR125,AT125,AV125,AX125,AZ125),0)))</x:f>
      </x:c>
      <x:c r="BD125" s="14" t="n">
        <x:f>LET(m,MIN(IF(E125&gt;0,E125,1E+99),IF(G125&gt;0,G125,1E+99),IF(I125&gt;0,I125,1E+99),IF(K125&gt;0,K125,1E+99),IF(M125&gt;0,M125,1E+99),IF(O125&gt;0,O125,1E+99),IF(Q125&gt;0,Q125,1E+99),IF(S125&gt;0,S125,1E+99),IF(U125&gt;0,U125,1E+99),IF(W125&gt;0,W125,1E+99),IF(Y125&gt;0,Y125,1E+99),IF(AA125&gt;0,AA125,1E+99),IF(AC125&gt;0,AC125,1E+99),IF(AE125&gt;0,AE125,1E+99),IF(AG125&gt;0,AG125,1E+99),IF(AI125&gt;0,AI125,1E+99),IF(AK125&gt;0,AK125,1E+99),IF(AM125&gt;0,AM125,1E+99),IF(AO125&gt;0,AO125,1E+99),IF(AQ125&gt;0,AQ125,1E+99),IF(AS125&gt;0,AS125,1E+99),IF(AU125&gt;0,AU125,1E+99),IF(AW125&gt;0,AW125,1E+99),IF(AY125&gt;0,AY125,1E+99),IF(BA125&gt;0,BA125,1E+99)),IF(m=1E+99,"",m))</x:f>
        <x:v>57.157</x:v>
      </x:c>
      <x:c r="BE125" s="16" t="e">
        <x:f>IF(BD125="","",INDEX({"v1.4.20","v1.4.20","v1.4.21","v1.4.21","v1.4.23","v1.4.23","v1.4.26","v1.4.26","v1.4.26.1","v1.4.26.1","v1.4.27","v1.4.27","v1.4.29","v1.4.29","v1.4.30","v1.4.30","v1.4.31","v1.4.31","v1.4.33","v1.4.33","v1.4.35","v1.4.35.2","v1.5","v1.5.1","v1.5.1"},MATCH(BD125,CHOOSE({1,2,3,4,5,6,7,8,9,10,11,12,13,14,15,16,17,18,19,20,21,22,23,24,25},E125,G125,I125,K125,M125,O125,Q125,S125,U125,W125,Y125,AA125,AC125,AE125,AG125,AI125,AK125,AM125,AO125,AQ125,AS125,AU125,AW125,AY125,BA125),0)))</x:f>
      </x:c>
      <x:c r="BF125" s="10" t="n">
        <x:f>IFERROR((AX125-BB125)/BB125,"")</x:f>
        <x:v>-1</x:v>
      </x:c>
      <x:c r="BG125" s="10" t="n">
        <x:f>IFERROR((AY125-BD125)/BD125,"")</x:f>
        <x:v>-1</x:v>
      </x:c>
    </x:row>
    <x:row r="126">
      <x:c r="A126" t="str">
        <x:v>Unlocked Care Plan</x:v>
      </x:c>
      <x:c r="B126" t="str">
        <x:v>Create / Refresh All Templates</x:v>
      </x:c>
      <x:c r="C126" t="str">
        <x:v>Clear sheet/formats for full build: Template - Unlocked Care Plan</x:v>
      </x:c>
      <x:c r="D126" s="8" t="n">
        <x:v>6.381</x:v>
      </x:c>
      <x:c r="E126" s="8" t="n">
        <x:v>65.294</x:v>
      </x:c>
      <x:c r="F126" s="8" t="n">
        <x:v>6.381</x:v>
      </x:c>
      <x:c r="G126" s="8" t="n">
        <x:v>65.294</x:v>
      </x:c>
      <x:c r="H126" s="8" t="n">
        <x:v>8.674</x:v>
      </x:c>
      <x:c r="I126" s="8" t="n">
        <x:v>90.478</x:v>
      </x:c>
      <x:c r="J126" s="8"/>
      <x:c r="K126" s="8"/>
      <x:c r="L126" s="8"/>
      <x:c r="M126" s="8"/>
      <x:c r="N126" s="8" t="n">
        <x:v>7.972</x:v>
      </x:c>
      <x:c r="O126" s="8" t="n">
        <x:v>82.935</x:v>
      </x:c>
      <x:c r="P126" s="8" t="n">
        <x:v>5.003</x:v>
      </x:c>
      <x:c r="Q126" s="8" t="n">
        <x:v>52.951</x:v>
      </x:c>
      <x:c r="R126" s="8" t="n">
        <x:v>5.003</x:v>
      </x:c>
      <x:c r="S126" s="8" t="n">
        <x:v>52.951</x:v>
      </x:c>
      <x:c r="T126" s="8"/>
      <x:c r="U126" s="8"/>
      <x:c r="V126" s="8"/>
      <x:c r="W126" s="8"/>
      <x:c r="X126" s="8" t="n">
        <x:v>9.771</x:v>
      </x:c>
      <x:c r="Y126" s="8" t="n">
        <x:v>100.833</x:v>
      </x:c>
      <x:c r="Z126" s="8" t="n">
        <x:v>9.771</x:v>
      </x:c>
      <x:c r="AA126" s="8" t="n">
        <x:v>100.833</x:v>
      </x:c>
      <x:c r="AB126" s="8"/>
      <x:c r="AC126" s="8"/>
      <x:c r="AD126" s="8"/>
      <x:c r="AE126" s="8"/>
      <x:c r="AF126" s="8"/>
      <x:c r="AG126" s="8"/>
      <x:c r="AH126" s="8"/>
      <x:c r="AI126" s="8"/>
      <x:c r="AJ126" s="8"/>
      <x:c r="AK126" s="8"/>
      <x:c r="AL126" s="8"/>
      <x:c r="AM126" s="8"/>
      <x:c r="AN126" s="8"/>
      <x:c r="AO126" s="8"/>
      <x:c r="AP126" s="8"/>
      <x:c r="AQ126" s="8"/>
      <x:c r="AR126" s="8" t="n">
        <x:v>9.939</x:v>
      </x:c>
      <x:c r="AS126" s="8" t="n">
        <x:v>104.137</x:v>
      </x:c>
      <x:c r="AT126" s="8" t="n">
        <x:v>8.44</x:v>
      </x:c>
      <x:c r="AU126" s="8" t="n">
        <x:v>76.405</x:v>
      </x:c>
      <x:c r="AV126" s="8"/>
      <x:c r="AW126" s="8"/>
      <x:c r="AX126" s="8"/>
      <x:c r="AY126" s="8"/>
      <x:c r="AZ126" s="8"/>
      <x:c r="BA126" s="8"/>
      <x:c r="BB126" s="8" t="n">
        <x:f>LET(m,MIN(IF(D126&gt;0,D126,1E+99),IF(F126&gt;0,F126,1E+99),IF(H126&gt;0,H126,1E+99),IF(J126&gt;0,J126,1E+99),IF(L126&gt;0,L126,1E+99),IF(N126&gt;0,N126,1E+99),IF(P126&gt;0,P126,1E+99),IF(R126&gt;0,R126,1E+99),IF(T126&gt;0,T126,1E+99),IF(V126&gt;0,V126,1E+99),IF(X126&gt;0,X126,1E+99),IF(Z126&gt;0,Z126,1E+99),IF(AB126&gt;0,AB126,1E+99),IF(AD126&gt;0,AD126,1E+99),IF(AF126&gt;0,AF126,1E+99),IF(AH126&gt;0,AH126,1E+99),IF(AJ126&gt;0,AJ126,1E+99),IF(AL126&gt;0,AL126,1E+99),IF(AN126&gt;0,AN126,1E+99),IF(AP126&gt;0,AP126,1E+99),IF(AR126&gt;0,AR126,1E+99),IF(AT126&gt;0,AT126,1E+99),IF(AV126&gt;0,AV126,1E+99),IF(AX126&gt;0,AX126,1E+99),IF(AZ126&gt;0,AZ126,1E+99)),IF(m=1E+99,"",m))</x:f>
        <x:v>5.003</x:v>
      </x:c>
      <x:c r="BC126" s="12" t="e">
        <x:f>IF(BB126="","",INDEX({"v1.4.20","v1.4.20","v1.4.21","v1.4.21","v1.4.23","v1.4.23","v1.4.26","v1.4.26","v1.4.26.1","v1.4.26.1","v1.4.27","v1.4.27","v1.4.29","v1.4.29","v1.4.30","v1.4.30","v1.4.31","v1.4.31","v1.4.33","v1.4.33","v1.4.35","v1.4.35.2","v1.5","v1.5.1","v1.5.1"},MATCH(BB126,CHOOSE({1,2,3,4,5,6,7,8,9,10,11,12,13,14,15,16,17,18,19,20,21,22,23,24,25},D126,F126,H126,J126,L126,N126,P126,R126,T126,V126,X126,Z126,AB126,AD126,AF126,AH126,AJ126,AL126,AN126,AP126,AR126,AT126,AV126,AX126,AZ126),0)))</x:f>
      </x:c>
      <x:c r="BD126" s="14" t="n">
        <x:f>LET(m,MIN(IF(E126&gt;0,E126,1E+99),IF(G126&gt;0,G126,1E+99),IF(I126&gt;0,I126,1E+99),IF(K126&gt;0,K126,1E+99),IF(M126&gt;0,M126,1E+99),IF(O126&gt;0,O126,1E+99),IF(Q126&gt;0,Q126,1E+99),IF(S126&gt;0,S126,1E+99),IF(U126&gt;0,U126,1E+99),IF(W126&gt;0,W126,1E+99),IF(Y126&gt;0,Y126,1E+99),IF(AA126&gt;0,AA126,1E+99),IF(AC126&gt;0,AC126,1E+99),IF(AE126&gt;0,AE126,1E+99),IF(AG126&gt;0,AG126,1E+99),IF(AI126&gt;0,AI126,1E+99),IF(AK126&gt;0,AK126,1E+99),IF(AM126&gt;0,AM126,1E+99),IF(AO126&gt;0,AO126,1E+99),IF(AQ126&gt;0,AQ126,1E+99),IF(AS126&gt;0,AS126,1E+99),IF(AU126&gt;0,AU126,1E+99),IF(AW126&gt;0,AW126,1E+99),IF(AY126&gt;0,AY126,1E+99),IF(BA126&gt;0,BA126,1E+99)),IF(m=1E+99,"",m))</x:f>
        <x:v>52.951</x:v>
      </x:c>
      <x:c r="BE126" s="16" t="e">
        <x:f>IF(BD126="","",INDEX({"v1.4.20","v1.4.20","v1.4.21","v1.4.21","v1.4.23","v1.4.23","v1.4.26","v1.4.26","v1.4.26.1","v1.4.26.1","v1.4.27","v1.4.27","v1.4.29","v1.4.29","v1.4.30","v1.4.30","v1.4.31","v1.4.31","v1.4.33","v1.4.33","v1.4.35","v1.4.35.2","v1.5","v1.5.1","v1.5.1"},MATCH(BD126,CHOOSE({1,2,3,4,5,6,7,8,9,10,11,12,13,14,15,16,17,18,19,20,21,22,23,24,25},E126,G126,I126,K126,M126,O126,Q126,S126,U126,W126,Y126,AA126,AC126,AE126,AG126,AI126,AK126,AM126,AO126,AQ126,AS126,AU126,AW126,AY126,BA126),0)))</x:f>
      </x:c>
      <x:c r="BF126" s="10" t="n">
        <x:f>IFERROR((AX126-BB126)/BB126,"")</x:f>
        <x:v>-1</x:v>
      </x:c>
      <x:c r="BG126" s="10" t="n">
        <x:f>IFERROR((AY126-BD126)/BD126,"")</x:f>
        <x:v>-1</x:v>
      </x:c>
    </x:row>
    <x:row r="127">
      <x:c r="A127" t="str">
        <x:v>Unlocked Care Plan</x:v>
      </x:c>
      <x:c r="B127" t="str">
        <x:v>Create / Refresh All Templates</x:v>
      </x:c>
      <x:c r="C127" t="str">
        <x:v>Resize columns: Template - Unlocked Care Plan (4 cols)</x:v>
      </x:c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 t="n">
        <x:v>0.125</x:v>
      </x:c>
      <x:c r="W127" s="8" t="n">
        <x:v>70.531</x:v>
      </x:c>
      <x:c r="X127" s="8"/>
      <x:c r="Y127" s="8"/>
      <x:c r="Z127" s="8"/>
      <x:c r="AA127" s="8"/>
      <x:c r="AB127" s="8"/>
      <x:c r="AC127" s="8"/>
      <x:c r="AD127" s="8"/>
      <x:c r="AE127" s="8"/>
      <x:c r="AF127" s="8" t="n">
        <x:v>0.692</x:v>
      </x:c>
      <x:c r="AG127" s="8" t="n">
        <x:v>101.246</x:v>
      </x:c>
      <x:c r="AH127" s="8"/>
      <x:c r="AI127" s="8"/>
      <x:c r="AJ127" s="8" t="n">
        <x:v>1.036</x:v>
      </x:c>
      <x:c r="AK127" s="8" t="n">
        <x:v>81.327</x:v>
      </x:c>
      <x:c r="AL127" s="8" t="n">
        <x:v>1.036</x:v>
      </x:c>
      <x:c r="AM127" s="8" t="n">
        <x:v>81.327</x:v>
      </x:c>
      <x:c r="AN127" s="8" t="n">
        <x:v>0.159</x:v>
      </x:c>
      <x:c r="AO127" s="8" t="n">
        <x:v>72.52</x:v>
      </x:c>
      <x:c r="AP127" s="8"/>
      <x:c r="AQ127" s="8"/>
      <x:c r="AR127" s="8"/>
      <x:c r="AS127" s="8"/>
      <x:c r="AT127" s="8"/>
      <x:c r="AU127" s="8"/>
      <x:c r="AV127" s="8"/>
      <x:c r="AW127" s="8"/>
      <x:c r="AX127" s="8"/>
      <x:c r="AY127" s="8"/>
      <x:c r="AZ127" s="8"/>
      <x:c r="BA127" s="8"/>
      <x:c r="BB127" s="8" t="n">
        <x:f>LET(m,MIN(IF(D127&gt;0,D127,1E+99),IF(F127&gt;0,F127,1E+99),IF(H127&gt;0,H127,1E+99),IF(J127&gt;0,J127,1E+99),IF(L127&gt;0,L127,1E+99),IF(N127&gt;0,N127,1E+99),IF(P127&gt;0,P127,1E+99),IF(R127&gt;0,R127,1E+99),IF(T127&gt;0,T127,1E+99),IF(V127&gt;0,V127,1E+99),IF(X127&gt;0,X127,1E+99),IF(Z127&gt;0,Z127,1E+99),IF(AB127&gt;0,AB127,1E+99),IF(AD127&gt;0,AD127,1E+99),IF(AF127&gt;0,AF127,1E+99),IF(AH127&gt;0,AH127,1E+99),IF(AJ127&gt;0,AJ127,1E+99),IF(AL127&gt;0,AL127,1E+99),IF(AN127&gt;0,AN127,1E+99),IF(AP127&gt;0,AP127,1E+99),IF(AR127&gt;0,AR127,1E+99),IF(AT127&gt;0,AT127,1E+99),IF(AV127&gt;0,AV127,1E+99),IF(AX127&gt;0,AX127,1E+99),IF(AZ127&gt;0,AZ127,1E+99)),IF(m=1E+99,"",m))</x:f>
        <x:v>0.125</x:v>
      </x:c>
      <x:c r="BC127" s="12" t="e">
        <x:f>IF(BB127="","",INDEX({"v1.4.20","v1.4.20","v1.4.21","v1.4.21","v1.4.23","v1.4.23","v1.4.26","v1.4.26","v1.4.26.1","v1.4.26.1","v1.4.27","v1.4.27","v1.4.29","v1.4.29","v1.4.30","v1.4.30","v1.4.31","v1.4.31","v1.4.33","v1.4.33","v1.4.35","v1.4.35.2","v1.5","v1.5.1","v1.5.1"},MATCH(BB127,CHOOSE({1,2,3,4,5,6,7,8,9,10,11,12,13,14,15,16,17,18,19,20,21,22,23,24,25},D127,F127,H127,J127,L127,N127,P127,R127,T127,V127,X127,Z127,AB127,AD127,AF127,AH127,AJ127,AL127,AN127,AP127,AR127,AT127,AV127,AX127,AZ127),0)))</x:f>
      </x:c>
      <x:c r="BD127" s="14" t="n">
        <x:f>LET(m,MIN(IF(E127&gt;0,E127,1E+99),IF(G127&gt;0,G127,1E+99),IF(I127&gt;0,I127,1E+99),IF(K127&gt;0,K127,1E+99),IF(M127&gt;0,M127,1E+99),IF(O127&gt;0,O127,1E+99),IF(Q127&gt;0,Q127,1E+99),IF(S127&gt;0,S127,1E+99),IF(U127&gt;0,U127,1E+99),IF(W127&gt;0,W127,1E+99),IF(Y127&gt;0,Y127,1E+99),IF(AA127&gt;0,AA127,1E+99),IF(AC127&gt;0,AC127,1E+99),IF(AE127&gt;0,AE127,1E+99),IF(AG127&gt;0,AG127,1E+99),IF(AI127&gt;0,AI127,1E+99),IF(AK127&gt;0,AK127,1E+99),IF(AM127&gt;0,AM127,1E+99),IF(AO127&gt;0,AO127,1E+99),IF(AQ127&gt;0,AQ127,1E+99),IF(AS127&gt;0,AS127,1E+99),IF(AU127&gt;0,AU127,1E+99),IF(AW127&gt;0,AW127,1E+99),IF(AY127&gt;0,AY127,1E+99),IF(BA127&gt;0,BA127,1E+99)),IF(m=1E+99,"",m))</x:f>
        <x:v>70.531</x:v>
      </x:c>
      <x:c r="BE127" s="16" t="e">
        <x:f>IF(BD127="","",INDEX({"v1.4.20","v1.4.20","v1.4.21","v1.4.21","v1.4.23","v1.4.23","v1.4.26","v1.4.26","v1.4.26.1","v1.4.26.1","v1.4.27","v1.4.27","v1.4.29","v1.4.29","v1.4.30","v1.4.30","v1.4.31","v1.4.31","v1.4.33","v1.4.33","v1.4.35","v1.4.35.2","v1.5","v1.5.1","v1.5.1"},MATCH(BD127,CHOOSE({1,2,3,4,5,6,7,8,9,10,11,12,13,14,15,16,17,18,19,20,21,22,23,24,25},E127,G127,I127,K127,M127,O127,Q127,S127,U127,W127,Y127,AA127,AC127,AE127,AG127,AI127,AK127,AM127,AO127,AQ127,AS127,AU127,AW127,AY127,BA127),0)))</x:f>
      </x:c>
      <x:c r="BF127" s="10" t="n">
        <x:f>IFERROR((AX127-BB127)/BB127,"")</x:f>
        <x:v>-1</x:v>
      </x:c>
      <x:c r="BG127" s="10" t="n">
        <x:f>IFERROR((AY127-BD127)/BD127,"")</x:f>
        <x:v>-1</x:v>
      </x:c>
    </x:row>
    <x:row r="128">
      <x:c r="A128" t="str">
        <x:v>Unlocked Care Plan</x:v>
      </x:c>
      <x:c r="B128" t="str">
        <x:v>Create / Refresh All Templates</x:v>
      </x:c>
      <x:c r="C128" t="str">
        <x:v>Resize rows: Template - Unlocked Care Plan (500 rows)</x:v>
      </x:c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 t="n">
        <x:v>5.659</x:v>
      </x:c>
      <x:c r="W128" s="8" t="n">
        <x:v>70.406</x:v>
      </x:c>
      <x:c r="X128" s="8"/>
      <x:c r="Y128" s="8"/>
      <x:c r="Z128" s="8"/>
      <x:c r="AA128" s="8"/>
      <x:c r="AB128" s="8"/>
      <x:c r="AC128" s="8"/>
      <x:c r="AD128" s="8"/>
      <x:c r="AE128" s="8"/>
      <x:c r="AF128" s="8" t="n">
        <x:v>10.516</x:v>
      </x:c>
      <x:c r="AG128" s="8" t="n">
        <x:v>100.554</x:v>
      </x:c>
      <x:c r="AH128" s="8"/>
      <x:c r="AI128" s="8"/>
      <x:c r="AJ128" s="8" t="n">
        <x:v>12.949</x:v>
      </x:c>
      <x:c r="AK128" s="8" t="n">
        <x:v>80.291</x:v>
      </x:c>
      <x:c r="AL128" s="8" t="n">
        <x:v>12.949</x:v>
      </x:c>
      <x:c r="AM128" s="8" t="n">
        <x:v>80.291</x:v>
      </x:c>
      <x:c r="AN128" s="8" t="n">
        <x:v>5.459</x:v>
      </x:c>
      <x:c r="AO128" s="8" t="n">
        <x:v>72.361</x:v>
      </x:c>
      <x:c r="AP128" s="8"/>
      <x:c r="AQ128" s="8"/>
      <x:c r="AR128" s="8"/>
      <x:c r="AS128" s="8"/>
      <x:c r="AT128" s="8"/>
      <x:c r="AU128" s="8"/>
      <x:c r="AV128" s="8"/>
      <x:c r="AW128" s="8"/>
      <x:c r="AX128" s="8"/>
      <x:c r="AY128" s="8"/>
      <x:c r="AZ128" s="8"/>
      <x:c r="BA128" s="8"/>
      <x:c r="BB128" s="8" t="n">
        <x:f>LET(m,MIN(IF(D128&gt;0,D128,1E+99),IF(F128&gt;0,F128,1E+99),IF(H128&gt;0,H128,1E+99),IF(J128&gt;0,J128,1E+99),IF(L128&gt;0,L128,1E+99),IF(N128&gt;0,N128,1E+99),IF(P128&gt;0,P128,1E+99),IF(R128&gt;0,R128,1E+99),IF(T128&gt;0,T128,1E+99),IF(V128&gt;0,V128,1E+99),IF(X128&gt;0,X128,1E+99),IF(Z128&gt;0,Z128,1E+99),IF(AB128&gt;0,AB128,1E+99),IF(AD128&gt;0,AD128,1E+99),IF(AF128&gt;0,AF128,1E+99),IF(AH128&gt;0,AH128,1E+99),IF(AJ128&gt;0,AJ128,1E+99),IF(AL128&gt;0,AL128,1E+99),IF(AN128&gt;0,AN128,1E+99),IF(AP128&gt;0,AP128,1E+99),IF(AR128&gt;0,AR128,1E+99),IF(AT128&gt;0,AT128,1E+99),IF(AV128&gt;0,AV128,1E+99),IF(AX128&gt;0,AX128,1E+99),IF(AZ128&gt;0,AZ128,1E+99)),IF(m=1E+99,"",m))</x:f>
        <x:v>5.459</x:v>
      </x:c>
      <x:c r="BC128" s="12" t="e">
        <x:f>IF(BB128="","",INDEX({"v1.4.20","v1.4.20","v1.4.21","v1.4.21","v1.4.23","v1.4.23","v1.4.26","v1.4.26","v1.4.26.1","v1.4.26.1","v1.4.27","v1.4.27","v1.4.29","v1.4.29","v1.4.30","v1.4.30","v1.4.31","v1.4.31","v1.4.33","v1.4.33","v1.4.35","v1.4.35.2","v1.5","v1.5.1","v1.5.1"},MATCH(BB128,CHOOSE({1,2,3,4,5,6,7,8,9,10,11,12,13,14,15,16,17,18,19,20,21,22,23,24,25},D128,F128,H128,J128,L128,N128,P128,R128,T128,V128,X128,Z128,AB128,AD128,AF128,AH128,AJ128,AL128,AN128,AP128,AR128,AT128,AV128,AX128,AZ128),0)))</x:f>
      </x:c>
      <x:c r="BD128" s="14" t="n">
        <x:f>LET(m,MIN(IF(E128&gt;0,E128,1E+99),IF(G128&gt;0,G128,1E+99),IF(I128&gt;0,I128,1E+99),IF(K128&gt;0,K128,1E+99),IF(M128&gt;0,M128,1E+99),IF(O128&gt;0,O128,1E+99),IF(Q128&gt;0,Q128,1E+99),IF(S128&gt;0,S128,1E+99),IF(U128&gt;0,U128,1E+99),IF(W128&gt;0,W128,1E+99),IF(Y128&gt;0,Y128,1E+99),IF(AA128&gt;0,AA128,1E+99),IF(AC128&gt;0,AC128,1E+99),IF(AE128&gt;0,AE128,1E+99),IF(AG128&gt;0,AG128,1E+99),IF(AI128&gt;0,AI128,1E+99),IF(AK128&gt;0,AK128,1E+99),IF(AM128&gt;0,AM128,1E+99),IF(AO128&gt;0,AO128,1E+99),IF(AQ128&gt;0,AQ128,1E+99),IF(AS128&gt;0,AS128,1E+99),IF(AU128&gt;0,AU128,1E+99),IF(AW128&gt;0,AW128,1E+99),IF(AY128&gt;0,AY128,1E+99),IF(BA128&gt;0,BA128,1E+99)),IF(m=1E+99,"",m))</x:f>
        <x:v>70.406</x:v>
      </x:c>
      <x:c r="BE128" s="16" t="e">
        <x:f>IF(BD128="","",INDEX({"v1.4.20","v1.4.20","v1.4.21","v1.4.21","v1.4.23","v1.4.23","v1.4.26","v1.4.26","v1.4.26.1","v1.4.26.1","v1.4.27","v1.4.27","v1.4.29","v1.4.29","v1.4.30","v1.4.30","v1.4.31","v1.4.31","v1.4.33","v1.4.33","v1.4.35","v1.4.35.2","v1.5","v1.5.1","v1.5.1"},MATCH(BD128,CHOOSE({1,2,3,4,5,6,7,8,9,10,11,12,13,14,15,16,17,18,19,20,21,22,23,24,25},E128,G128,I128,K128,M128,O128,Q128,S128,U128,W128,Y128,AA128,AC128,AE128,AG128,AI128,AK128,AM128,AO128,AQ128,AS128,AU128,AW128,AY128,BA128),0)))</x:f>
      </x:c>
      <x:c r="BF128" s="10" t="n">
        <x:f>IFERROR((AX128-BB128)/BB128,"")</x:f>
        <x:v>-1</x:v>
      </x:c>
      <x:c r="BG128" s="10" t="n">
        <x:f>IFERROR((AY128-BD128)/BD128,"")</x:f>
        <x:v>-1</x:v>
      </x:c>
    </x:row>
    <x:row r="129">
      <x:c r="A129" t="str">
        <x:v>Demo P</x:v>
      </x:c>
      <x:c r="B129" t="str">
        <x:v>Create / Refresh All Templates</x:v>
      </x:c>
      <x:c r="C129" t="str">
        <x:v>Open/create sheet: Template - Demo P</x:v>
      </x:c>
      <x:c r="D129" s="8" t="n">
        <x:v>1.796</x:v>
      </x:c>
      <x:c r="E129" s="8" t="n">
        <x:v>78.072</x:v>
      </x:c>
      <x:c r="F129" s="8" t="n">
        <x:v>1.796</x:v>
      </x:c>
      <x:c r="G129" s="8" t="n">
        <x:v>78.072</x:v>
      </x:c>
      <x:c r="H129" s="8" t="n">
        <x:v>1.98</x:v>
      </x:c>
      <x:c r="I129" s="8" t="n">
        <x:v>102.322</x:v>
      </x:c>
      <x:c r="J129" s="8"/>
      <x:c r="K129" s="8"/>
      <x:c r="L129" s="8"/>
      <x:c r="M129" s="8"/>
      <x:c r="N129" s="8" t="n">
        <x:v>2.902</x:v>
      </x:c>
      <x:c r="O129" s="8" t="n">
        <x:v>98.379</x:v>
      </x:c>
      <x:c r="P129" s="8" t="n">
        <x:v>1.307</x:v>
      </x:c>
      <x:c r="Q129" s="8" t="n">
        <x:v>61.435</x:v>
      </x:c>
      <x:c r="R129" s="8" t="n">
        <x:v>1.307</x:v>
      </x:c>
      <x:c r="S129" s="8" t="n">
        <x:v>61.435</x:v>
      </x:c>
      <x:c r="T129" s="8"/>
      <x:c r="U129" s="8"/>
      <x:c r="V129" s="8" t="n">
        <x:v>2.233</x:v>
      </x:c>
      <x:c r="W129" s="8" t="n">
        <x:v>81.308</x:v>
      </x:c>
      <x:c r="X129" s="8" t="n">
        <x:v>5.471</x:v>
      </x:c>
      <x:c r="Y129" s="8" t="n">
        <x:v>121.705</x:v>
      </x:c>
      <x:c r="Z129" s="8" t="n">
        <x:v>5.471</x:v>
      </x:c>
      <x:c r="AA129" s="8" t="n">
        <x:v>121.705</x:v>
      </x:c>
      <x:c r="AB129" s="8" t="n">
        <x:v>2.442</x:v>
      </x:c>
      <x:c r="AC129" s="8" t="n">
        <x:v>109.866</x:v>
      </x:c>
      <x:c r="AD129" s="8" t="n">
        <x:v>2.442</x:v>
      </x:c>
      <x:c r="AE129" s="8" t="n">
        <x:v>109.866</x:v>
      </x:c>
      <x:c r="AF129" s="8" t="n">
        <x:v>2.535</x:v>
      </x:c>
      <x:c r="AG129" s="8" t="n">
        <x:v>115.83</x:v>
      </x:c>
      <x:c r="AH129" s="8"/>
      <x:c r="AI129" s="8"/>
      <x:c r="AJ129" s="8" t="n">
        <x:v>0.699</x:v>
      </x:c>
      <x:c r="AK129" s="8" t="n">
        <x:v>98.402</x:v>
      </x:c>
      <x:c r="AL129" s="8" t="n">
        <x:v>0.699</x:v>
      </x:c>
      <x:c r="AM129" s="8" t="n">
        <x:v>98.402</x:v>
      </x:c>
      <x:c r="AN129" s="8" t="n">
        <x:v>1.65</x:v>
      </x:c>
      <x:c r="AO129" s="8" t="n">
        <x:v>82.487</x:v>
      </x:c>
      <x:c r="AP129" s="8"/>
      <x:c r="AQ129" s="8"/>
      <x:c r="AR129" s="8" t="n">
        <x:v>2.937</x:v>
      </x:c>
      <x:c r="AS129" s="8" t="n">
        <x:v>120.339</x:v>
      </x:c>
      <x:c r="AT129" s="8" t="n">
        <x:v>1.735</x:v>
      </x:c>
      <x:c r="AU129" s="8" t="n">
        <x:v>87.849</x:v>
      </x:c>
      <x:c r="AV129" s="8" t="n">
        <x:v>2.846</x:v>
      </x:c>
      <x:c r="AW129" s="8" t="n">
        <x:v>106.788</x:v>
      </x:c>
      <x:c r="AX129" s="8" t="n">
        <x:v>2.58</x:v>
      </x:c>
      <x:c r="AY129" s="8" t="n">
        <x:v>107.23</x:v>
      </x:c>
      <x:c r="AZ129" s="8" t="n">
        <x:v>2.58</x:v>
      </x:c>
      <x:c r="BA129" s="8" t="n">
        <x:v>107.23</x:v>
      </x:c>
      <x:c r="BB129" s="8" t="n">
        <x:f>LET(m,MIN(IF(D129&gt;0,D129,1E+99),IF(F129&gt;0,F129,1E+99),IF(H129&gt;0,H129,1E+99),IF(J129&gt;0,J129,1E+99),IF(L129&gt;0,L129,1E+99),IF(N129&gt;0,N129,1E+99),IF(P129&gt;0,P129,1E+99),IF(R129&gt;0,R129,1E+99),IF(T129&gt;0,T129,1E+99),IF(V129&gt;0,V129,1E+99),IF(X129&gt;0,X129,1E+99),IF(Z129&gt;0,Z129,1E+99),IF(AB129&gt;0,AB129,1E+99),IF(AD129&gt;0,AD129,1E+99),IF(AF129&gt;0,AF129,1E+99),IF(AH129&gt;0,AH129,1E+99),IF(AJ129&gt;0,AJ129,1E+99),IF(AL129&gt;0,AL129,1E+99),IF(AN129&gt;0,AN129,1E+99),IF(AP129&gt;0,AP129,1E+99),IF(AR129&gt;0,AR129,1E+99),IF(AT129&gt;0,AT129,1E+99),IF(AV129&gt;0,AV129,1E+99),IF(AX129&gt;0,AX129,1E+99),IF(AZ129&gt;0,AZ129,1E+99)),IF(m=1E+99,"",m))</x:f>
        <x:v>0.699</x:v>
      </x:c>
      <x:c r="BC129" s="12" t="e">
        <x:f>IF(BB129="","",INDEX({"v1.4.20","v1.4.20","v1.4.21","v1.4.21","v1.4.23","v1.4.23","v1.4.26","v1.4.26","v1.4.26.1","v1.4.26.1","v1.4.27","v1.4.27","v1.4.29","v1.4.29","v1.4.30","v1.4.30","v1.4.31","v1.4.31","v1.4.33","v1.4.33","v1.4.35","v1.4.35.2","v1.5","v1.5.1","v1.5.1"},MATCH(BB129,CHOOSE({1,2,3,4,5,6,7,8,9,10,11,12,13,14,15,16,17,18,19,20,21,22,23,24,25},D129,F129,H129,J129,L129,N129,P129,R129,T129,V129,X129,Z129,AB129,AD129,AF129,AH129,AJ129,AL129,AN129,AP129,AR129,AT129,AV129,AX129,AZ129),0)))</x:f>
      </x:c>
      <x:c r="BD129" s="14" t="n">
        <x:f>LET(m,MIN(IF(E129&gt;0,E129,1E+99),IF(G129&gt;0,G129,1E+99),IF(I129&gt;0,I129,1E+99),IF(K129&gt;0,K129,1E+99),IF(M129&gt;0,M129,1E+99),IF(O129&gt;0,O129,1E+99),IF(Q129&gt;0,Q129,1E+99),IF(S129&gt;0,S129,1E+99),IF(U129&gt;0,U129,1E+99),IF(W129&gt;0,W129,1E+99),IF(Y129&gt;0,Y129,1E+99),IF(AA129&gt;0,AA129,1E+99),IF(AC129&gt;0,AC129,1E+99),IF(AE129&gt;0,AE129,1E+99),IF(AG129&gt;0,AG129,1E+99),IF(AI129&gt;0,AI129,1E+99),IF(AK129&gt;0,AK129,1E+99),IF(AM129&gt;0,AM129,1E+99),IF(AO129&gt;0,AO129,1E+99),IF(AQ129&gt;0,AQ129,1E+99),IF(AS129&gt;0,AS129,1E+99),IF(AU129&gt;0,AU129,1E+99),IF(AW129&gt;0,AW129,1E+99),IF(AY129&gt;0,AY129,1E+99),IF(BA129&gt;0,BA129,1E+99)),IF(m=1E+99,"",m))</x:f>
        <x:v>61.435</x:v>
      </x:c>
      <x:c r="BE129" s="16" t="e">
        <x:f>IF(BD129="","",INDEX({"v1.4.20","v1.4.20","v1.4.21","v1.4.21","v1.4.23","v1.4.23","v1.4.26","v1.4.26","v1.4.26.1","v1.4.26.1","v1.4.27","v1.4.27","v1.4.29","v1.4.29","v1.4.30","v1.4.30","v1.4.31","v1.4.31","v1.4.33","v1.4.33","v1.4.35","v1.4.35.2","v1.5","v1.5.1","v1.5.1"},MATCH(BD129,CHOOSE({1,2,3,4,5,6,7,8,9,10,11,12,13,14,15,16,17,18,19,20,21,22,23,24,25},E129,G129,I129,K129,M129,O129,Q129,S129,U129,W129,Y129,AA129,AC129,AE129,AG129,AI129,AK129,AM129,AO129,AQ129,AS129,AU129,AW129,AY129,BA129),0)))</x:f>
      </x:c>
      <x:c r="BF129" s="10" t="n">
        <x:f>IFERROR((AX129-BB129)/BB129,"")</x:f>
        <x:v>2.6909871244635197</x:v>
      </x:c>
      <x:c r="BG129" s="10" t="n">
        <x:f>IFERROR((AY129-BD129)/BD129,"")</x:f>
        <x:v>0.7454219907219012</x:v>
      </x:c>
    </x:row>
    <x:row r="130">
      <x:c r="A130" t="str">
        <x:v>Demo P</x:v>
      </x:c>
      <x:c r="B130" t="str">
        <x:v>Create / Refresh All Templates</x:v>
      </x:c>
      <x:c r="C130" t="str">
        <x:v>Template signature mismatch - full build required: Template - Demo P</x:v>
      </x:c>
      <x:c r="D130" s="8" t="n">
        <x:v>0.049</x:v>
      </x:c>
      <x:c r="E130" s="8" t="n">
        <x:v>78.121</x:v>
      </x:c>
      <x:c r="F130" s="8" t="n">
        <x:v>0.049</x:v>
      </x:c>
      <x:c r="G130" s="8" t="n">
        <x:v>78.121</x:v>
      </x:c>
      <x:c r="H130" s="8" t="n">
        <x:v>0.022</x:v>
      </x:c>
      <x:c r="I130" s="8" t="n">
        <x:v>102.344</x:v>
      </x:c>
      <x:c r="J130" s="8"/>
      <x:c r="K130" s="8"/>
      <x:c r="L130" s="8"/>
      <x:c r="M130" s="8"/>
      <x:c r="N130" s="8" t="n">
        <x:v>0.037</x:v>
      </x:c>
      <x:c r="O130" s="8" t="n">
        <x:v>98.416</x:v>
      </x:c>
      <x:c r="P130" s="8" t="n">
        <x:v>0.025</x:v>
      </x:c>
      <x:c r="Q130" s="8" t="n">
        <x:v>61.46</x:v>
      </x:c>
      <x:c r="R130" s="8" t="n">
        <x:v>0.025</x:v>
      </x:c>
      <x:c r="S130" s="8" t="n">
        <x:v>61.46</x:v>
      </x:c>
      <x:c r="T130" s="8"/>
      <x:c r="U130" s="8"/>
      <x:c r="V130" s="8" t="n">
        <x:v>0.135</x:v>
      </x:c>
      <x:c r="W130" s="8" t="n">
        <x:v>81.443</x:v>
      </x:c>
      <x:c r="X130" s="8" t="n">
        <x:v>0.052</x:v>
      </x:c>
      <x:c r="Y130" s="8" t="n">
        <x:v>121.757</x:v>
      </x:c>
      <x:c r="Z130" s="8" t="n">
        <x:v>0.052</x:v>
      </x:c>
      <x:c r="AA130" s="8" t="n">
        <x:v>121.757</x:v>
      </x:c>
      <x:c r="AB130" s="8" t="n">
        <x:v>0.033</x:v>
      </x:c>
      <x:c r="AC130" s="8" t="n">
        <x:v>109.899</x:v>
      </x:c>
      <x:c r="AD130" s="8" t="n">
        <x:v>0.033</x:v>
      </x:c>
      <x:c r="AE130" s="8" t="n">
        <x:v>109.899</x:v>
      </x:c>
      <x:c r="AF130" s="8" t="n">
        <x:v>0.033</x:v>
      </x:c>
      <x:c r="AG130" s="8" t="n">
        <x:v>115.863</x:v>
      </x:c>
      <x:c r="AH130" s="8"/>
      <x:c r="AI130" s="8"/>
      <x:c r="AJ130" s="8"/>
      <x:c r="AK130" s="8"/>
      <x:c r="AL130" s="8" t="n">
        <x:v>0.137</x:v>
      </x:c>
      <x:c r="AM130" s="8" t="n">
        <x:v>5.972</x:v>
      </x:c>
      <x:c r="AN130" s="8" t="n">
        <x:v>0.065</x:v>
      </x:c>
      <x:c r="AO130" s="8" t="n">
        <x:v>82.552</x:v>
      </x:c>
      <x:c r="AP130" s="8"/>
      <x:c r="AQ130" s="8"/>
      <x:c r="AR130" s="8" t="n">
        <x:v>0.049</x:v>
      </x:c>
      <x:c r="AS130" s="8" t="n">
        <x:v>120.388</x:v>
      </x:c>
      <x:c r="AT130" s="8" t="n">
        <x:v>0.022</x:v>
      </x:c>
      <x:c r="AU130" s="8" t="n">
        <x:v>87.871</x:v>
      </x:c>
      <x:c r="AV130" s="8" t="n">
        <x:v>0.042</x:v>
      </x:c>
      <x:c r="AW130" s="8" t="n">
        <x:v>106.83</x:v>
      </x:c>
      <x:c r="AX130" s="8" t="n">
        <x:v>0.049</x:v>
      </x:c>
      <x:c r="AY130" s="8" t="n">
        <x:v>107.279</x:v>
      </x:c>
      <x:c r="AZ130" s="8" t="n">
        <x:v>0.049</x:v>
      </x:c>
      <x:c r="BA130" s="8" t="n">
        <x:v>107.279</x:v>
      </x:c>
      <x:c r="BB130" s="8" t="n">
        <x:f>LET(m,MIN(IF(D130&gt;0,D130,1E+99),IF(F130&gt;0,F130,1E+99),IF(H130&gt;0,H130,1E+99),IF(J130&gt;0,J130,1E+99),IF(L130&gt;0,L130,1E+99),IF(N130&gt;0,N130,1E+99),IF(P130&gt;0,P130,1E+99),IF(R130&gt;0,R130,1E+99),IF(T130&gt;0,T130,1E+99),IF(V130&gt;0,V130,1E+99),IF(X130&gt;0,X130,1E+99),IF(Z130&gt;0,Z130,1E+99),IF(AB130&gt;0,AB130,1E+99),IF(AD130&gt;0,AD130,1E+99),IF(AF130&gt;0,AF130,1E+99),IF(AH130&gt;0,AH130,1E+99),IF(AJ130&gt;0,AJ130,1E+99),IF(AL130&gt;0,AL130,1E+99),IF(AN130&gt;0,AN130,1E+99),IF(AP130&gt;0,AP130,1E+99),IF(AR130&gt;0,AR130,1E+99),IF(AT130&gt;0,AT130,1E+99),IF(AV130&gt;0,AV130,1E+99),IF(AX130&gt;0,AX130,1E+99),IF(AZ130&gt;0,AZ130,1E+99)),IF(m=1E+99,"",m))</x:f>
        <x:v>0.022</x:v>
      </x:c>
      <x:c r="BC130" s="12" t="e">
        <x:f>IF(BB130="","",INDEX({"v1.4.20","v1.4.20","v1.4.21","v1.4.21","v1.4.23","v1.4.23","v1.4.26","v1.4.26","v1.4.26.1","v1.4.26.1","v1.4.27","v1.4.27","v1.4.29","v1.4.29","v1.4.30","v1.4.30","v1.4.31","v1.4.31","v1.4.33","v1.4.33","v1.4.35","v1.4.35.2","v1.5","v1.5.1","v1.5.1"},MATCH(BB130,CHOOSE({1,2,3,4,5,6,7,8,9,10,11,12,13,14,15,16,17,18,19,20,21,22,23,24,25},D130,F130,H130,J130,L130,N130,P130,R130,T130,V130,X130,Z130,AB130,AD130,AF130,AH130,AJ130,AL130,AN130,AP130,AR130,AT130,AV130,AX130,AZ130),0)))</x:f>
      </x:c>
      <x:c r="BD130" s="14" t="n">
        <x:f>LET(m,MIN(IF(E130&gt;0,E130,1E+99),IF(G130&gt;0,G130,1E+99),IF(I130&gt;0,I130,1E+99),IF(K130&gt;0,K130,1E+99),IF(M130&gt;0,M130,1E+99),IF(O130&gt;0,O130,1E+99),IF(Q130&gt;0,Q130,1E+99),IF(S130&gt;0,S130,1E+99),IF(U130&gt;0,U130,1E+99),IF(W130&gt;0,W130,1E+99),IF(Y130&gt;0,Y130,1E+99),IF(AA130&gt;0,AA130,1E+99),IF(AC130&gt;0,AC130,1E+99),IF(AE130&gt;0,AE130,1E+99),IF(AG130&gt;0,AG130,1E+99),IF(AI130&gt;0,AI130,1E+99),IF(AK130&gt;0,AK130,1E+99),IF(AM130&gt;0,AM130,1E+99),IF(AO130&gt;0,AO130,1E+99),IF(AQ130&gt;0,AQ130,1E+99),IF(AS130&gt;0,AS130,1E+99),IF(AU130&gt;0,AU130,1E+99),IF(AW130&gt;0,AW130,1E+99),IF(AY130&gt;0,AY130,1E+99),IF(BA130&gt;0,BA130,1E+99)),IF(m=1E+99,"",m))</x:f>
        <x:v>5.972</x:v>
      </x:c>
      <x:c r="BE130" s="16" t="e">
        <x:f>IF(BD130="","",INDEX({"v1.4.20","v1.4.20","v1.4.21","v1.4.21","v1.4.23","v1.4.23","v1.4.26","v1.4.26","v1.4.26.1","v1.4.26.1","v1.4.27","v1.4.27","v1.4.29","v1.4.29","v1.4.30","v1.4.30","v1.4.31","v1.4.31","v1.4.33","v1.4.33","v1.4.35","v1.4.35.2","v1.5","v1.5.1","v1.5.1"},MATCH(BD130,CHOOSE({1,2,3,4,5,6,7,8,9,10,11,12,13,14,15,16,17,18,19,20,21,22,23,24,25},E130,G130,I130,K130,M130,O130,Q130,S130,U130,W130,Y130,AA130,AC130,AE130,AG130,AI130,AK130,AM130,AO130,AQ130,AS130,AU130,AW130,AY130,BA130),0)))</x:f>
      </x:c>
      <x:c r="BF130" s="10" t="n">
        <x:f>IFERROR((AX130-BB130)/BB130,"")</x:f>
        <x:v>1.2272727272727275</x:v>
      </x:c>
      <x:c r="BG130" s="10" t="n">
        <x:f>IFERROR((AY130-BD130)/BD130,"")</x:f>
        <x:v>16.963663764233086</x:v>
      </x:c>
    </x:row>
    <x:row r="131">
      <x:c r="A131" t="str">
        <x:v>Demo P</x:v>
      </x:c>
      <x:c r="B131" t="str">
        <x:v>Create / Refresh All Templates</x:v>
      </x:c>
      <x:c r="C131" t="str">
        <x:v>Template refresh decision: FULL_BUILD - Template - Demo P (template sheet did not exist; no stored signature)</x:v>
      </x:c>
      <x:c r="D131" s="8" t="n">
        <x:v>0</x:v>
      </x:c>
      <x:c r="E131" s="8" t="n">
        <x:v>78.121</x:v>
      </x:c>
      <x:c r="F131" s="8" t="n">
        <x:v>0</x:v>
      </x:c>
      <x:c r="G131" s="8" t="n">
        <x:v>78.121</x:v>
      </x:c>
      <x:c r="H131" s="8" t="n">
        <x:v>0</x:v>
      </x:c>
      <x:c r="I131" s="8" t="n">
        <x:v>102.344</x:v>
      </x:c>
      <x:c r="J131" s="8"/>
      <x:c r="K131" s="8"/>
      <x:c r="L131" s="8"/>
      <x:c r="M131" s="8"/>
      <x:c r="N131" s="8" t="n">
        <x:v>0</x:v>
      </x:c>
      <x:c r="O131" s="8" t="n">
        <x:v>98.416</x:v>
      </x:c>
      <x:c r="P131" s="8" t="n">
        <x:v>0</x:v>
      </x:c>
      <x:c r="Q131" s="8" t="n">
        <x:v>61.46</x:v>
      </x:c>
      <x:c r="R131" s="8" t="n">
        <x:v>0</x:v>
      </x:c>
      <x:c r="S131" s="8" t="n">
        <x:v>61.46</x:v>
      </x:c>
      <x:c r="T131" s="8"/>
      <x:c r="U131" s="8"/>
      <x:c r="V131" s="8" t="n">
        <x:v>0</x:v>
      </x:c>
      <x:c r="W131" s="8" t="n">
        <x:v>81.443</x:v>
      </x:c>
      <x:c r="X131" s="8" t="n">
        <x:v>0</x:v>
      </x:c>
      <x:c r="Y131" s="8" t="n">
        <x:v>121.757</x:v>
      </x:c>
      <x:c r="Z131" s="8" t="n">
        <x:v>0</x:v>
      </x:c>
      <x:c r="AA131" s="8" t="n">
        <x:v>121.757</x:v>
      </x:c>
      <x:c r="AB131" s="8" t="n">
        <x:v>0</x:v>
      </x:c>
      <x:c r="AC131" s="8" t="n">
        <x:v>109.899</x:v>
      </x:c>
      <x:c r="AD131" s="8" t="n">
        <x:v>0</x:v>
      </x:c>
      <x:c r="AE131" s="8" t="n">
        <x:v>109.899</x:v>
      </x:c>
      <x:c r="AF131" s="8" t="n">
        <x:v>0</x:v>
      </x:c>
      <x:c r="AG131" s="8" t="n">
        <x:v>115.863</x:v>
      </x:c>
      <x:c r="AH131" s="8"/>
      <x:c r="AI131" s="8"/>
      <x:c r="AJ131" s="8"/>
      <x:c r="AK131" s="8"/>
      <x:c r="AL131" s="8" t="n">
        <x:v>0</x:v>
      </x:c>
      <x:c r="AM131" s="8" t="n">
        <x:v>5.972</x:v>
      </x:c>
      <x:c r="AN131" s="8" t="n">
        <x:v>0</x:v>
      </x:c>
      <x:c r="AO131" s="8" t="n">
        <x:v>82.552</x:v>
      </x:c>
      <x:c r="AP131" s="8"/>
      <x:c r="AQ131" s="8"/>
      <x:c r="AR131" s="8" t="n">
        <x:v>0</x:v>
      </x:c>
      <x:c r="AS131" s="8" t="n">
        <x:v>120.388</x:v>
      </x:c>
      <x:c r="AT131" s="8" t="n">
        <x:v>0</x:v>
      </x:c>
      <x:c r="AU131" s="8" t="n">
        <x:v>87.871</x:v>
      </x:c>
      <x:c r="AV131" s="8" t="n">
        <x:v>0</x:v>
      </x:c>
      <x:c r="AW131" s="8" t="n">
        <x:v>106.83</x:v>
      </x:c>
      <x:c r="AX131" s="8" t="n">
        <x:v>0</x:v>
      </x:c>
      <x:c r="AY131" s="8" t="n">
        <x:v>107.279</x:v>
      </x:c>
      <x:c r="AZ131" s="8" t="n">
        <x:v>0</x:v>
      </x:c>
      <x:c r="BA131" s="8" t="n">
        <x:v>107.279</x:v>
      </x:c>
      <x:c r="BB131" s="8" t="str">
        <x:f>LET(m,MIN(IF(D131&gt;0,D131,1E+99),IF(F131&gt;0,F131,1E+99),IF(H131&gt;0,H131,1E+99),IF(J131&gt;0,J131,1E+99),IF(L131&gt;0,L131,1E+99),IF(N131&gt;0,N131,1E+99),IF(P131&gt;0,P131,1E+99),IF(R131&gt;0,R131,1E+99),IF(T131&gt;0,T131,1E+99),IF(V131&gt;0,V131,1E+99),IF(X131&gt;0,X131,1E+99),IF(Z131&gt;0,Z131,1E+99),IF(AB131&gt;0,AB131,1E+99),IF(AD131&gt;0,AD131,1E+99),IF(AF131&gt;0,AF131,1E+99),IF(AH131&gt;0,AH131,1E+99),IF(AJ131&gt;0,AJ131,1E+99),IF(AL131&gt;0,AL131,1E+99),IF(AN131&gt;0,AN131,1E+99),IF(AP131&gt;0,AP131,1E+99),IF(AR131&gt;0,AR131,1E+99),IF(AT131&gt;0,AT131,1E+99),IF(AV131&gt;0,AV131,1E+99),IF(AX131&gt;0,AX131,1E+99),IF(AZ131&gt;0,AZ131,1E+99)),IF(m=1E+99,"",m))</x:f>
      </x:c>
      <x:c r="BC131" s="12" t="str">
        <x:f>IF(BB131="","",INDEX({"v1.4.20","v1.4.20","v1.4.21","v1.4.21","v1.4.23","v1.4.23","v1.4.26","v1.4.26","v1.4.26.1","v1.4.26.1","v1.4.27","v1.4.27","v1.4.29","v1.4.29","v1.4.30","v1.4.30","v1.4.31","v1.4.31","v1.4.33","v1.4.33","v1.4.35","v1.4.35.2","v1.5","v1.5.1","v1.5.1"},MATCH(BB131,CHOOSE({1,2,3,4,5,6,7,8,9,10,11,12,13,14,15,16,17,18,19,20,21,22,23,24,25},D131,F131,H131,J131,L131,N131,P131,R131,T131,V131,X131,Z131,AB131,AD131,AF131,AH131,AJ131,AL131,AN131,AP131,AR131,AT131,AV131,AX131,AZ131),0)))</x:f>
      </x:c>
      <x:c r="BD131" s="14" t="n">
        <x:f>LET(m,MIN(IF(E131&gt;0,E131,1E+99),IF(G131&gt;0,G131,1E+99),IF(I131&gt;0,I131,1E+99),IF(K131&gt;0,K131,1E+99),IF(M131&gt;0,M131,1E+99),IF(O131&gt;0,O131,1E+99),IF(Q131&gt;0,Q131,1E+99),IF(S131&gt;0,S131,1E+99),IF(U131&gt;0,U131,1E+99),IF(W131&gt;0,W131,1E+99),IF(Y131&gt;0,Y131,1E+99),IF(AA131&gt;0,AA131,1E+99),IF(AC131&gt;0,AC131,1E+99),IF(AE131&gt;0,AE131,1E+99),IF(AG131&gt;0,AG131,1E+99),IF(AI131&gt;0,AI131,1E+99),IF(AK131&gt;0,AK131,1E+99),IF(AM131&gt;0,AM131,1E+99),IF(AO131&gt;0,AO131,1E+99),IF(AQ131&gt;0,AQ131,1E+99),IF(AS131&gt;0,AS131,1E+99),IF(AU131&gt;0,AU131,1E+99),IF(AW131&gt;0,AW131,1E+99),IF(AY131&gt;0,AY131,1E+99),IF(BA131&gt;0,BA131,1E+99)),IF(m=1E+99,"",m))</x:f>
        <x:v>5.972</x:v>
      </x:c>
      <x:c r="BE131" s="16" t="e">
        <x:f>IF(BD131="","",INDEX({"v1.4.20","v1.4.20","v1.4.21","v1.4.21","v1.4.23","v1.4.23","v1.4.26","v1.4.26","v1.4.26.1","v1.4.26.1","v1.4.27","v1.4.27","v1.4.29","v1.4.29","v1.4.30","v1.4.30","v1.4.31","v1.4.31","v1.4.33","v1.4.33","v1.4.35","v1.4.35.2","v1.5","v1.5.1","v1.5.1"},MATCH(BD131,CHOOSE({1,2,3,4,5,6,7,8,9,10,11,12,13,14,15,16,17,18,19,20,21,22,23,24,25},E131,G131,I131,K131,M131,O131,Q131,S131,U131,W131,Y131,AA131,AC131,AE131,AG131,AI131,AK131,AM131,AO131,AQ131,AS131,AU131,AW131,AY131,BA131),0)))</x:f>
      </x:c>
      <x:c r="BF131" s="10" t="str">
        <x:f>IFERROR((AX131-BB131)/BB131,"")</x:f>
      </x:c>
      <x:c r="BG131" s="10" t="n">
        <x:f>IFERROR((AY131-BD131)/BD131,"")</x:f>
        <x:v>16.963663764233086</x:v>
      </x:c>
    </x:row>
    <x:row r="132">
      <x:c r="A132" t="str">
        <x:v>Demo P</x:v>
      </x:c>
      <x:c r="B132" t="str">
        <x:v>Create / Refresh All Templates</x:v>
      </x:c>
      <x:c r="C132" t="str">
        <x:v>Full template build required: Template - Demo P</x:v>
      </x:c>
      <x:c r="D132" s="8" t="n">
        <x:v>0</x:v>
      </x:c>
      <x:c r="E132" s="8" t="n">
        <x:v>78.121</x:v>
      </x:c>
      <x:c r="F132" s="8" t="n">
        <x:v>0</x:v>
      </x:c>
      <x:c r="G132" s="8" t="n">
        <x:v>78.121</x:v>
      </x:c>
      <x:c r="H132" s="8" t="n">
        <x:v>0</x:v>
      </x:c>
      <x:c r="I132" s="8" t="n">
        <x:v>102.344</x:v>
      </x:c>
      <x:c r="J132" s="8"/>
      <x:c r="K132" s="8"/>
      <x:c r="L132" s="8"/>
      <x:c r="M132" s="8"/>
      <x:c r="N132" s="8" t="n">
        <x:v>0</x:v>
      </x:c>
      <x:c r="O132" s="8" t="n">
        <x:v>98.416</x:v>
      </x:c>
      <x:c r="P132" s="8" t="n">
        <x:v>0</x:v>
      </x:c>
      <x:c r="Q132" s="8" t="n">
        <x:v>61.46</x:v>
      </x:c>
      <x:c r="R132" s="8" t="n">
        <x:v>0</x:v>
      </x:c>
      <x:c r="S132" s="8" t="n">
        <x:v>61.46</x:v>
      </x:c>
      <x:c r="T132" s="8"/>
      <x:c r="U132" s="8"/>
      <x:c r="V132" s="8" t="n">
        <x:v>0</x:v>
      </x:c>
      <x:c r="W132" s="8" t="n">
        <x:v>81.443</x:v>
      </x:c>
      <x:c r="X132" s="8" t="n">
        <x:v>0</x:v>
      </x:c>
      <x:c r="Y132" s="8" t="n">
        <x:v>121.757</x:v>
      </x:c>
      <x:c r="Z132" s="8" t="n">
        <x:v>0</x:v>
      </x:c>
      <x:c r="AA132" s="8" t="n">
        <x:v>121.757</x:v>
      </x:c>
      <x:c r="AB132" s="8" t="n">
        <x:v>0</x:v>
      </x:c>
      <x:c r="AC132" s="8" t="n">
        <x:v>109.899</x:v>
      </x:c>
      <x:c r="AD132" s="8" t="n">
        <x:v>0</x:v>
      </x:c>
      <x:c r="AE132" s="8" t="n">
        <x:v>109.899</x:v>
      </x:c>
      <x:c r="AF132" s="8" t="n">
        <x:v>0</x:v>
      </x:c>
      <x:c r="AG132" s="8" t="n">
        <x:v>115.863</x:v>
      </x:c>
      <x:c r="AH132" s="8"/>
      <x:c r="AI132" s="8"/>
      <x:c r="AJ132" s="8"/>
      <x:c r="AK132" s="8"/>
      <x:c r="AL132" s="8" t="n">
        <x:v>0</x:v>
      </x:c>
      <x:c r="AM132" s="8" t="n">
        <x:v>5.972</x:v>
      </x:c>
      <x:c r="AN132" s="8" t="n">
        <x:v>0</x:v>
      </x:c>
      <x:c r="AO132" s="8" t="n">
        <x:v>82.552</x:v>
      </x:c>
      <x:c r="AP132" s="8"/>
      <x:c r="AQ132" s="8"/>
      <x:c r="AR132" s="8" t="n">
        <x:v>0</x:v>
      </x:c>
      <x:c r="AS132" s="8" t="n">
        <x:v>120.388</x:v>
      </x:c>
      <x:c r="AT132" s="8" t="n">
        <x:v>0</x:v>
      </x:c>
      <x:c r="AU132" s="8" t="n">
        <x:v>87.871</x:v>
      </x:c>
      <x:c r="AV132" s="8" t="n">
        <x:v>0</x:v>
      </x:c>
      <x:c r="AW132" s="8" t="n">
        <x:v>106.83</x:v>
      </x:c>
      <x:c r="AX132" s="8" t="n">
        <x:v>0</x:v>
      </x:c>
      <x:c r="AY132" s="8" t="n">
        <x:v>107.279</x:v>
      </x:c>
      <x:c r="AZ132" s="8" t="n">
        <x:v>0</x:v>
      </x:c>
      <x:c r="BA132" s="8" t="n">
        <x:v>107.279</x:v>
      </x:c>
      <x:c r="BB132" s="8" t="str">
        <x:f>LET(m,MIN(IF(D132&gt;0,D132,1E+99),IF(F132&gt;0,F132,1E+99),IF(H132&gt;0,H132,1E+99),IF(J132&gt;0,J132,1E+99),IF(L132&gt;0,L132,1E+99),IF(N132&gt;0,N132,1E+99),IF(P132&gt;0,P132,1E+99),IF(R132&gt;0,R132,1E+99),IF(T132&gt;0,T132,1E+99),IF(V132&gt;0,V132,1E+99),IF(X132&gt;0,X132,1E+99),IF(Z132&gt;0,Z132,1E+99),IF(AB132&gt;0,AB132,1E+99),IF(AD132&gt;0,AD132,1E+99),IF(AF132&gt;0,AF132,1E+99),IF(AH132&gt;0,AH132,1E+99),IF(AJ132&gt;0,AJ132,1E+99),IF(AL132&gt;0,AL132,1E+99),IF(AN132&gt;0,AN132,1E+99),IF(AP132&gt;0,AP132,1E+99),IF(AR132&gt;0,AR132,1E+99),IF(AT132&gt;0,AT132,1E+99),IF(AV132&gt;0,AV132,1E+99),IF(AX132&gt;0,AX132,1E+99),IF(AZ132&gt;0,AZ132,1E+99)),IF(m=1E+99,"",m))</x:f>
      </x:c>
      <x:c r="BC132" s="12" t="str">
        <x:f>IF(BB132="","",INDEX({"v1.4.20","v1.4.20","v1.4.21","v1.4.21","v1.4.23","v1.4.23","v1.4.26","v1.4.26","v1.4.26.1","v1.4.26.1","v1.4.27","v1.4.27","v1.4.29","v1.4.29","v1.4.30","v1.4.30","v1.4.31","v1.4.31","v1.4.33","v1.4.33","v1.4.35","v1.4.35.2","v1.5","v1.5.1","v1.5.1"},MATCH(BB132,CHOOSE({1,2,3,4,5,6,7,8,9,10,11,12,13,14,15,16,17,18,19,20,21,22,23,24,25},D132,F132,H132,J132,L132,N132,P132,R132,T132,V132,X132,Z132,AB132,AD132,AF132,AH132,AJ132,AL132,AN132,AP132,AR132,AT132,AV132,AX132,AZ132),0)))</x:f>
      </x:c>
      <x:c r="BD132" s="14" t="n">
        <x:f>LET(m,MIN(IF(E132&gt;0,E132,1E+99),IF(G132&gt;0,G132,1E+99),IF(I132&gt;0,I132,1E+99),IF(K132&gt;0,K132,1E+99),IF(M132&gt;0,M132,1E+99),IF(O132&gt;0,O132,1E+99),IF(Q132&gt;0,Q132,1E+99),IF(S132&gt;0,S132,1E+99),IF(U132&gt;0,U132,1E+99),IF(W132&gt;0,W132,1E+99),IF(Y132&gt;0,Y132,1E+99),IF(AA132&gt;0,AA132,1E+99),IF(AC132&gt;0,AC132,1E+99),IF(AE132&gt;0,AE132,1E+99),IF(AG132&gt;0,AG132,1E+99),IF(AI132&gt;0,AI132,1E+99),IF(AK132&gt;0,AK132,1E+99),IF(AM132&gt;0,AM132,1E+99),IF(AO132&gt;0,AO132,1E+99),IF(AQ132&gt;0,AQ132,1E+99),IF(AS132&gt;0,AS132,1E+99),IF(AU132&gt;0,AU132,1E+99),IF(AW132&gt;0,AW132,1E+99),IF(AY132&gt;0,AY132,1E+99),IF(BA132&gt;0,BA132,1E+99)),IF(m=1E+99,"",m))</x:f>
        <x:v>5.972</x:v>
      </x:c>
      <x:c r="BE132" s="16" t="e">
        <x:f>IF(BD132="","",INDEX({"v1.4.20","v1.4.20","v1.4.21","v1.4.21","v1.4.23","v1.4.23","v1.4.26","v1.4.26","v1.4.26.1","v1.4.26.1","v1.4.27","v1.4.27","v1.4.29","v1.4.29","v1.4.30","v1.4.30","v1.4.31","v1.4.31","v1.4.33","v1.4.33","v1.4.35","v1.4.35.2","v1.5","v1.5.1","v1.5.1"},MATCH(BD132,CHOOSE({1,2,3,4,5,6,7,8,9,10,11,12,13,14,15,16,17,18,19,20,21,22,23,24,25},E132,G132,I132,K132,M132,O132,Q132,S132,U132,W132,Y132,AA132,AC132,AE132,AG132,AI132,AK132,AM132,AO132,AQ132,AS132,AU132,AW132,AY132,BA132),0)))</x:f>
      </x:c>
      <x:c r="BF132" s="10" t="str">
        <x:f>IFERROR((AX132-BB132)/BB132,"")</x:f>
      </x:c>
      <x:c r="BG132" s="10" t="n">
        <x:f>IFERROR((AY132-BD132)/BD132,"")</x:f>
        <x:v>16.963663764233086</x:v>
      </x:c>
    </x:row>
    <x:row r="133">
      <x:c r="A133" t="str">
        <x:v>Demo P</x:v>
      </x:c>
      <x:c r="B133" t="str">
        <x:v>Create / Refresh All Templates</x:v>
      </x:c>
      <x:c r="C133" t="str">
        <x:v>Create template fast path - clear skipped for blank sheet: Template - Demo P</x:v>
      </x:c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 t="n">
        <x:v>0</x:v>
      </x:c>
      <x:c r="W133" s="8" t="n">
        <x:v>81.443</x:v>
      </x:c>
      <x:c r="X133" s="8"/>
      <x:c r="Y133" s="8"/>
      <x:c r="Z133" s="8"/>
      <x:c r="AA133" s="8"/>
      <x:c r="AB133" s="8" t="n">
        <x:v>0</x:v>
      </x:c>
      <x:c r="AC133" s="8" t="n">
        <x:v>109.899</x:v>
      </x:c>
      <x:c r="AD133" s="8" t="n">
        <x:v>0</x:v>
      </x:c>
      <x:c r="AE133" s="8" t="n">
        <x:v>109.899</x:v>
      </x:c>
      <x:c r="AF133" s="8" t="n">
        <x:v>0</x:v>
      </x:c>
      <x:c r="AG133" s="8" t="n">
        <x:v>115.863</x:v>
      </x:c>
      <x:c r="AH133" s="8"/>
      <x:c r="AI133" s="8"/>
      <x:c r="AJ133" s="8"/>
      <x:c r="AK133" s="8"/>
      <x:c r="AL133" s="8" t="n">
        <x:v>0</x:v>
      </x:c>
      <x:c r="AM133" s="8" t="n">
        <x:v>5.972</x:v>
      </x:c>
      <x:c r="AN133" s="8" t="n">
        <x:v>0</x:v>
      </x:c>
      <x:c r="AO133" s="8" t="n">
        <x:v>82.552</x:v>
      </x:c>
      <x:c r="AP133" s="8" t="n">
        <x:v>0</x:v>
      </x:c>
      <x:c r="AQ133" s="8" t="n">
        <x:v>82.552</x:v>
      </x:c>
      <x:c r="AR133" s="8"/>
      <x:c r="AS133" s="8"/>
      <x:c r="AT133" s="8"/>
      <x:c r="AU133" s="8"/>
      <x:c r="AV133" s="8" t="n">
        <x:v>9.079</x:v>
      </x:c>
      <x:c r="AW133" s="8" t="n">
        <x:v>115.909</x:v>
      </x:c>
      <x:c r="AX133" s="8" t="n">
        <x:v>8.925</x:v>
      </x:c>
      <x:c r="AY133" s="8" t="n">
        <x:v>116.204</x:v>
      </x:c>
      <x:c r="AZ133" s="8" t="n">
        <x:v>8.925</x:v>
      </x:c>
      <x:c r="BA133" s="8" t="n">
        <x:v>116.204</x:v>
      </x:c>
      <x:c r="BB133" s="8" t="n">
        <x:f>LET(m,MIN(IF(D133&gt;0,D133,1E+99),IF(F133&gt;0,F133,1E+99),IF(H133&gt;0,H133,1E+99),IF(J133&gt;0,J133,1E+99),IF(L133&gt;0,L133,1E+99),IF(N133&gt;0,N133,1E+99),IF(P133&gt;0,P133,1E+99),IF(R133&gt;0,R133,1E+99),IF(T133&gt;0,T133,1E+99),IF(V133&gt;0,V133,1E+99),IF(X133&gt;0,X133,1E+99),IF(Z133&gt;0,Z133,1E+99),IF(AB133&gt;0,AB133,1E+99),IF(AD133&gt;0,AD133,1E+99),IF(AF133&gt;0,AF133,1E+99),IF(AH133&gt;0,AH133,1E+99),IF(AJ133&gt;0,AJ133,1E+99),IF(AL133&gt;0,AL133,1E+99),IF(AN133&gt;0,AN133,1E+99),IF(AP133&gt;0,AP133,1E+99),IF(AR133&gt;0,AR133,1E+99),IF(AT133&gt;0,AT133,1E+99),IF(AV133&gt;0,AV133,1E+99),IF(AX133&gt;0,AX133,1E+99),IF(AZ133&gt;0,AZ133,1E+99)),IF(m=1E+99,"",m))</x:f>
        <x:v>8.925</x:v>
      </x:c>
      <x:c r="BC133" s="12" t="e">
        <x:f>IF(BB133="","",INDEX({"v1.4.20","v1.4.20","v1.4.21","v1.4.21","v1.4.23","v1.4.23","v1.4.26","v1.4.26","v1.4.26.1","v1.4.26.1","v1.4.27","v1.4.27","v1.4.29","v1.4.29","v1.4.30","v1.4.30","v1.4.31","v1.4.31","v1.4.33","v1.4.33","v1.4.35","v1.4.35.2","v1.5","v1.5.1","v1.5.1"},MATCH(BB133,CHOOSE({1,2,3,4,5,6,7,8,9,10,11,12,13,14,15,16,17,18,19,20,21,22,23,24,25},D133,F133,H133,J133,L133,N133,P133,R133,T133,V133,X133,Z133,AB133,AD133,AF133,AH133,AJ133,AL133,AN133,AP133,AR133,AT133,AV133,AX133,AZ133),0)))</x:f>
      </x:c>
      <x:c r="BD133" s="14" t="n">
        <x:f>LET(m,MIN(IF(E133&gt;0,E133,1E+99),IF(G133&gt;0,G133,1E+99),IF(I133&gt;0,I133,1E+99),IF(K133&gt;0,K133,1E+99),IF(M133&gt;0,M133,1E+99),IF(O133&gt;0,O133,1E+99),IF(Q133&gt;0,Q133,1E+99),IF(S133&gt;0,S133,1E+99),IF(U133&gt;0,U133,1E+99),IF(W133&gt;0,W133,1E+99),IF(Y133&gt;0,Y133,1E+99),IF(AA133&gt;0,AA133,1E+99),IF(AC133&gt;0,AC133,1E+99),IF(AE133&gt;0,AE133,1E+99),IF(AG133&gt;0,AG133,1E+99),IF(AI133&gt;0,AI133,1E+99),IF(AK133&gt;0,AK133,1E+99),IF(AM133&gt;0,AM133,1E+99),IF(AO133&gt;0,AO133,1E+99),IF(AQ133&gt;0,AQ133,1E+99),IF(AS133&gt;0,AS133,1E+99),IF(AU133&gt;0,AU133,1E+99),IF(AW133&gt;0,AW133,1E+99),IF(AY133&gt;0,AY133,1E+99),IF(BA133&gt;0,BA133,1E+99)),IF(m=1E+99,"",m))</x:f>
        <x:v>5.972</x:v>
      </x:c>
      <x:c r="BE133" s="16" t="e">
        <x:f>IF(BD133="","",INDEX({"v1.4.20","v1.4.20","v1.4.21","v1.4.21","v1.4.23","v1.4.23","v1.4.26","v1.4.26","v1.4.26.1","v1.4.26.1","v1.4.27","v1.4.27","v1.4.29","v1.4.29","v1.4.30","v1.4.30","v1.4.31","v1.4.31","v1.4.33","v1.4.33","v1.4.35","v1.4.35.2","v1.5","v1.5.1","v1.5.1"},MATCH(BD133,CHOOSE({1,2,3,4,5,6,7,8,9,10,11,12,13,14,15,16,17,18,19,20,21,22,23,24,25},E133,G133,I133,K133,M133,O133,Q133,S133,U133,W133,Y133,AA133,AC133,AE133,AG133,AI133,AK133,AM133,AO133,AQ133,AS133,AU133,AW133,AY133,BA133),0)))</x:f>
      </x:c>
      <x:c r="BF133" s="10" t="n">
        <x:f>IFERROR((AX133-BB133)/BB133,"")</x:f>
        <x:v>0</x:v>
      </x:c>
      <x:c r="BG133" s="10" t="n">
        <x:f>IFERROR((AY133-BD133)/BD133,"")</x:f>
        <x:v>18.458137977227057</x:v>
      </x:c>
    </x:row>
    <x:row r="134">
      <x:c r="A134" t="str">
        <x:v>Demo P</x:v>
      </x:c>
      <x:c r="B134" t="str">
        <x:v>Create / Refresh All Templates</x:v>
      </x:c>
      <x:c r="C134" t="str">
        <x:v>Resize sheet: Template - Demo P (2500 rows x 78 cols)</x:v>
      </x:c>
      <x:c r="D134" s="8"/>
      <x:c r="E134" s="8"/>
      <x:c r="F134" s="8"/>
      <x:c r="G134" s="8"/>
      <x:c r="H134" s="8" t="n">
        <x:v>1.109</x:v>
      </x:c>
      <x:c r="I134" s="8" t="n">
        <x:v>111.057</x:v>
      </x:c>
      <x:c r="J134" s="8"/>
      <x:c r="K134" s="8"/>
      <x:c r="L134" s="8"/>
      <x:c r="M134" s="8"/>
      <x:c r="N134" s="8" t="n">
        <x:v>9.069</x:v>
      </x:c>
      <x:c r="O134" s="8" t="n">
        <x:v>107.485</x:v>
      </x:c>
      <x:c r="P134" s="8" t="n">
        <x:v>0.837</x:v>
      </x:c>
      <x:c r="Q134" s="8" t="n">
        <x:v>66.879</x:v>
      </x:c>
      <x:c r="R134" s="8" t="n">
        <x:v>0.837</x:v>
      </x:c>
      <x:c r="S134" s="8" t="n">
        <x:v>66.879</x:v>
      </x:c>
      <x:c r="T134" s="8"/>
      <x:c r="U134" s="8"/>
      <x:c r="V134" s="8"/>
      <x:c r="W134" s="8"/>
      <x:c r="X134" s="8" t="n">
        <x:v>1.391</x:v>
      </x:c>
      <x:c r="Y134" s="8" t="n">
        <x:v>135.846</x:v>
      </x:c>
      <x:c r="Z134" s="8" t="n">
        <x:v>1.391</x:v>
      </x:c>
      <x:c r="AA134" s="8" t="n">
        <x:v>135.846</x:v>
      </x:c>
      <x:c r="AB134" s="8" t="n">
        <x:v>10.641</x:v>
      </x:c>
      <x:c r="AC134" s="8" t="n">
        <x:v>120.54</x:v>
      </x:c>
      <x:c r="AD134" s="8" t="n">
        <x:v>10.641</x:v>
      </x:c>
      <x:c r="AE134" s="8" t="n">
        <x:v>120.54</x:v>
      </x:c>
      <x:c r="AF134" s="8"/>
      <x:c r="AG134" s="8"/>
      <x:c r="AH134" s="8"/>
      <x:c r="AI134" s="8"/>
      <x:c r="AJ134" s="8"/>
      <x:c r="AK134" s="8"/>
      <x:c r="AL134" s="8"/>
      <x:c r="AM134" s="8"/>
      <x:c r="AN134" s="8"/>
      <x:c r="AO134" s="8"/>
      <x:c r="AP134" s="8"/>
      <x:c r="AQ134" s="8"/>
      <x:c r="AR134" s="8" t="n">
        <x:v>1.495</x:v>
      </x:c>
      <x:c r="AS134" s="8" t="n">
        <x:v>132.884</x:v>
      </x:c>
      <x:c r="AT134" s="8" t="n">
        <x:v>1.872</x:v>
      </x:c>
      <x:c r="AU134" s="8" t="n">
        <x:v>97.57</x:v>
      </x:c>
      <x:c r="AV134" s="8" t="n">
        <x:v>0.823</x:v>
      </x:c>
      <x:c r="AW134" s="8" t="n">
        <x:v>116.732</x:v>
      </x:c>
      <x:c r="AX134" s="8" t="n">
        <x:v>0.955</x:v>
      </x:c>
      <x:c r="AY134" s="8" t="n">
        <x:v>117.159</x:v>
      </x:c>
      <x:c r="AZ134" s="8" t="n">
        <x:v>0.955</x:v>
      </x:c>
      <x:c r="BA134" s="8" t="n">
        <x:v>117.159</x:v>
      </x:c>
      <x:c r="BB134" s="8" t="n">
        <x:f>LET(m,MIN(IF(D134&gt;0,D134,1E+99),IF(F134&gt;0,F134,1E+99),IF(H134&gt;0,H134,1E+99),IF(J134&gt;0,J134,1E+99),IF(L134&gt;0,L134,1E+99),IF(N134&gt;0,N134,1E+99),IF(P134&gt;0,P134,1E+99),IF(R134&gt;0,R134,1E+99),IF(T134&gt;0,T134,1E+99),IF(V134&gt;0,V134,1E+99),IF(X134&gt;0,X134,1E+99),IF(Z134&gt;0,Z134,1E+99),IF(AB134&gt;0,AB134,1E+99),IF(AD134&gt;0,AD134,1E+99),IF(AF134&gt;0,AF134,1E+99),IF(AH134&gt;0,AH134,1E+99),IF(AJ134&gt;0,AJ134,1E+99),IF(AL134&gt;0,AL134,1E+99),IF(AN134&gt;0,AN134,1E+99),IF(AP134&gt;0,AP134,1E+99),IF(AR134&gt;0,AR134,1E+99),IF(AT134&gt;0,AT134,1E+99),IF(AV134&gt;0,AV134,1E+99),IF(AX134&gt;0,AX134,1E+99),IF(AZ134&gt;0,AZ134,1E+99)),IF(m=1E+99,"",m))</x:f>
        <x:v>0.823</x:v>
      </x:c>
      <x:c r="BC134" s="12" t="e">
        <x:f>IF(BB134="","",INDEX({"v1.4.20","v1.4.20","v1.4.21","v1.4.21","v1.4.23","v1.4.23","v1.4.26","v1.4.26","v1.4.26.1","v1.4.26.1","v1.4.27","v1.4.27","v1.4.29","v1.4.29","v1.4.30","v1.4.30","v1.4.31","v1.4.31","v1.4.33","v1.4.33","v1.4.35","v1.4.35.2","v1.5","v1.5.1","v1.5.1"},MATCH(BB134,CHOOSE({1,2,3,4,5,6,7,8,9,10,11,12,13,14,15,16,17,18,19,20,21,22,23,24,25},D134,F134,H134,J134,L134,N134,P134,R134,T134,V134,X134,Z134,AB134,AD134,AF134,AH134,AJ134,AL134,AN134,AP134,AR134,AT134,AV134,AX134,AZ134),0)))</x:f>
      </x:c>
      <x:c r="BD134" s="14" t="n">
        <x:f>LET(m,MIN(IF(E134&gt;0,E134,1E+99),IF(G134&gt;0,G134,1E+99),IF(I134&gt;0,I134,1E+99),IF(K134&gt;0,K134,1E+99),IF(M134&gt;0,M134,1E+99),IF(O134&gt;0,O134,1E+99),IF(Q134&gt;0,Q134,1E+99),IF(S134&gt;0,S134,1E+99),IF(U134&gt;0,U134,1E+99),IF(W134&gt;0,W134,1E+99),IF(Y134&gt;0,Y134,1E+99),IF(AA134&gt;0,AA134,1E+99),IF(AC134&gt;0,AC134,1E+99),IF(AE134&gt;0,AE134,1E+99),IF(AG134&gt;0,AG134,1E+99),IF(AI134&gt;0,AI134,1E+99),IF(AK134&gt;0,AK134,1E+99),IF(AM134&gt;0,AM134,1E+99),IF(AO134&gt;0,AO134,1E+99),IF(AQ134&gt;0,AQ134,1E+99),IF(AS134&gt;0,AS134,1E+99),IF(AU134&gt;0,AU134,1E+99),IF(AW134&gt;0,AW134,1E+99),IF(AY134&gt;0,AY134,1E+99),IF(BA134&gt;0,BA134,1E+99)),IF(m=1E+99,"",m))</x:f>
        <x:v>66.879</x:v>
      </x:c>
      <x:c r="BE134" s="16" t="e">
        <x:f>IF(BD134="","",INDEX({"v1.4.20","v1.4.20","v1.4.21","v1.4.21","v1.4.23","v1.4.23","v1.4.26","v1.4.26","v1.4.26.1","v1.4.26.1","v1.4.27","v1.4.27","v1.4.29","v1.4.29","v1.4.30","v1.4.30","v1.4.31","v1.4.31","v1.4.33","v1.4.33","v1.4.35","v1.4.35.2","v1.5","v1.5.1","v1.5.1"},MATCH(BD134,CHOOSE({1,2,3,4,5,6,7,8,9,10,11,12,13,14,15,16,17,18,19,20,21,22,23,24,25},E134,G134,I134,K134,M134,O134,Q134,S134,U134,W134,Y134,AA134,AC134,AE134,AG134,AI134,AK134,AM134,AO134,AQ134,AS134,AU134,AW134,AY134,BA134),0)))</x:f>
      </x:c>
      <x:c r="BF134" s="10" t="n">
        <x:f>IFERROR((AX134-BB134)/BB134,"")</x:f>
        <x:v>0.1603888213851762</x:v>
      </x:c>
      <x:c r="BG134" s="10" t="n">
        <x:f>IFERROR((AY134-BD134)/BD134,"")</x:f>
        <x:v>0.751805499484143</x:v>
      </x:c>
    </x:row>
    <x:row r="135">
      <x:c r="A135" t="str">
        <x:v>Demo P</x:v>
      </x:c>
      <x:c r="B135" t="str">
        <x:v>Create / Refresh All Templates</x:v>
      </x:c>
      <x:c r="C135" t="str">
        <x:v>Apply title rows: Template - Demo P</x:v>
      </x:c>
      <x:c r="D135" s="8" t="n">
        <x:v>0.438</x:v>
      </x:c>
      <x:c r="E135" s="8" t="n">
        <x:v>86.755</x:v>
      </x:c>
      <x:c r="F135" s="8" t="n">
        <x:v>0.438</x:v>
      </x:c>
      <x:c r="G135" s="8" t="n">
        <x:v>86.755</x:v>
      </x:c>
      <x:c r="H135" s="8" t="n">
        <x:v>0.51</x:v>
      </x:c>
      <x:c r="I135" s="8" t="n">
        <x:v>111.567</x:v>
      </x:c>
      <x:c r="J135" s="8"/>
      <x:c r="K135" s="8"/>
      <x:c r="L135" s="8"/>
      <x:c r="M135" s="8"/>
      <x:c r="N135" s="8" t="n">
        <x:v>0.593</x:v>
      </x:c>
      <x:c r="O135" s="8" t="n">
        <x:v>108.078</x:v>
      </x:c>
      <x:c r="P135" s="8" t="n">
        <x:v>0.387</x:v>
      </x:c>
      <x:c r="Q135" s="8" t="n">
        <x:v>67.266</x:v>
      </x:c>
      <x:c r="R135" s="8" t="n">
        <x:v>0.387</x:v>
      </x:c>
      <x:c r="S135" s="8" t="n">
        <x:v>67.266</x:v>
      </x:c>
      <x:c r="T135" s="8" t="n">
        <x:v>0.536</x:v>
      </x:c>
      <x:c r="U135" s="8" t="n">
        <x:v>89.83</x:v>
      </x:c>
      <x:c r="V135" s="8" t="n">
        <x:v>0.536</x:v>
      </x:c>
      <x:c r="W135" s="8" t="n">
        <x:v>89.83</x:v>
      </x:c>
      <x:c r="X135" s="8" t="n">
        <x:v>0.725</x:v>
      </x:c>
      <x:c r="Y135" s="8" t="n">
        <x:v>136.571</x:v>
      </x:c>
      <x:c r="Z135" s="8" t="n">
        <x:v>0.725</x:v>
      </x:c>
      <x:c r="AA135" s="8" t="n">
        <x:v>136.571</x:v>
      </x:c>
      <x:c r="AB135" s="8" t="n">
        <x:v>0.695</x:v>
      </x:c>
      <x:c r="AC135" s="8" t="n">
        <x:v>121.235</x:v>
      </x:c>
      <x:c r="AD135" s="8" t="n">
        <x:v>0.695</x:v>
      </x:c>
      <x:c r="AE135" s="8" t="n">
        <x:v>121.235</x:v>
      </x:c>
      <x:c r="AF135" s="8" t="n">
        <x:v>0.789</x:v>
      </x:c>
      <x:c r="AG135" s="8" t="n">
        <x:v>128.402</x:v>
      </x:c>
      <x:c r="AH135" s="8"/>
      <x:c r="AI135" s="8"/>
      <x:c r="AJ135" s="8"/>
      <x:c r="AK135" s="8"/>
      <x:c r="AL135" s="8" t="n">
        <x:v>0.165</x:v>
      </x:c>
      <x:c r="AM135" s="8" t="n">
        <x:v>7.844</x:v>
      </x:c>
      <x:c r="AN135" s="8" t="n">
        <x:v>0.572</x:v>
      </x:c>
      <x:c r="AO135" s="8" t="n">
        <x:v>91.281</x:v>
      </x:c>
      <x:c r="AP135" s="8" t="n">
        <x:v>0.572</x:v>
      </x:c>
      <x:c r="AQ135" s="8" t="n">
        <x:v>91.281</x:v>
      </x:c>
      <x:c r="AR135" s="8" t="n">
        <x:v>0.82</x:v>
      </x:c>
      <x:c r="AS135" s="8" t="n">
        <x:v>133.704</x:v>
      </x:c>
      <x:c r="AT135" s="8" t="n">
        <x:v>0.514</x:v>
      </x:c>
      <x:c r="AU135" s="8" t="n">
        <x:v>98.084</x:v>
      </x:c>
      <x:c r="AV135" s="8" t="n">
        <x:v>0.635</x:v>
      </x:c>
      <x:c r="AW135" s="8" t="n">
        <x:v>117.367</x:v>
      </x:c>
      <x:c r="AX135" s="8" t="n">
        <x:v>0.691</x:v>
      </x:c>
      <x:c r="AY135" s="8" t="n">
        <x:v>117.85</x:v>
      </x:c>
      <x:c r="AZ135" s="8" t="n">
        <x:v>0.691</x:v>
      </x:c>
      <x:c r="BA135" s="8" t="n">
        <x:v>117.85</x:v>
      </x:c>
      <x:c r="BB135" s="8" t="n">
        <x:f>LET(m,MIN(IF(D135&gt;0,D135,1E+99),IF(F135&gt;0,F135,1E+99),IF(H135&gt;0,H135,1E+99),IF(J135&gt;0,J135,1E+99),IF(L135&gt;0,L135,1E+99),IF(N135&gt;0,N135,1E+99),IF(P135&gt;0,P135,1E+99),IF(R135&gt;0,R135,1E+99),IF(T135&gt;0,T135,1E+99),IF(V135&gt;0,V135,1E+99),IF(X135&gt;0,X135,1E+99),IF(Z135&gt;0,Z135,1E+99),IF(AB135&gt;0,AB135,1E+99),IF(AD135&gt;0,AD135,1E+99),IF(AF135&gt;0,AF135,1E+99),IF(AH135&gt;0,AH135,1E+99),IF(AJ135&gt;0,AJ135,1E+99),IF(AL135&gt;0,AL135,1E+99),IF(AN135&gt;0,AN135,1E+99),IF(AP135&gt;0,AP135,1E+99),IF(AR135&gt;0,AR135,1E+99),IF(AT135&gt;0,AT135,1E+99),IF(AV135&gt;0,AV135,1E+99),IF(AX135&gt;0,AX135,1E+99),IF(AZ135&gt;0,AZ135,1E+99)),IF(m=1E+99,"",m))</x:f>
        <x:v>0.165</x:v>
      </x:c>
      <x:c r="BC135" s="12" t="e">
        <x:f>IF(BB135="","",INDEX({"v1.4.20","v1.4.20","v1.4.21","v1.4.21","v1.4.23","v1.4.23","v1.4.26","v1.4.26","v1.4.26.1","v1.4.26.1","v1.4.27","v1.4.27","v1.4.29","v1.4.29","v1.4.30","v1.4.30","v1.4.31","v1.4.31","v1.4.33","v1.4.33","v1.4.35","v1.4.35.2","v1.5","v1.5.1","v1.5.1"},MATCH(BB135,CHOOSE({1,2,3,4,5,6,7,8,9,10,11,12,13,14,15,16,17,18,19,20,21,22,23,24,25},D135,F135,H135,J135,L135,N135,P135,R135,T135,V135,X135,Z135,AB135,AD135,AF135,AH135,AJ135,AL135,AN135,AP135,AR135,AT135,AV135,AX135,AZ135),0)))</x:f>
      </x:c>
      <x:c r="BD135" s="14" t="n">
        <x:f>LET(m,MIN(IF(E135&gt;0,E135,1E+99),IF(G135&gt;0,G135,1E+99),IF(I135&gt;0,I135,1E+99),IF(K135&gt;0,K135,1E+99),IF(M135&gt;0,M135,1E+99),IF(O135&gt;0,O135,1E+99),IF(Q135&gt;0,Q135,1E+99),IF(S135&gt;0,S135,1E+99),IF(U135&gt;0,U135,1E+99),IF(W135&gt;0,W135,1E+99),IF(Y135&gt;0,Y135,1E+99),IF(AA135&gt;0,AA135,1E+99),IF(AC135&gt;0,AC135,1E+99),IF(AE135&gt;0,AE135,1E+99),IF(AG135&gt;0,AG135,1E+99),IF(AI135&gt;0,AI135,1E+99),IF(AK135&gt;0,AK135,1E+99),IF(AM135&gt;0,AM135,1E+99),IF(AO135&gt;0,AO135,1E+99),IF(AQ135&gt;0,AQ135,1E+99),IF(AS135&gt;0,AS135,1E+99),IF(AU135&gt;0,AU135,1E+99),IF(AW135&gt;0,AW135,1E+99),IF(AY135&gt;0,AY135,1E+99),IF(BA135&gt;0,BA135,1E+99)),IF(m=1E+99,"",m))</x:f>
        <x:v>7.844</x:v>
      </x:c>
      <x:c r="BE135" s="16" t="e">
        <x:f>IF(BD135="","",INDEX({"v1.4.20","v1.4.20","v1.4.21","v1.4.21","v1.4.23","v1.4.23","v1.4.26","v1.4.26","v1.4.26.1","v1.4.26.1","v1.4.27","v1.4.27","v1.4.29","v1.4.29","v1.4.30","v1.4.30","v1.4.31","v1.4.31","v1.4.33","v1.4.33","v1.4.35","v1.4.35.2","v1.5","v1.5.1","v1.5.1"},MATCH(BD135,CHOOSE({1,2,3,4,5,6,7,8,9,10,11,12,13,14,15,16,17,18,19,20,21,22,23,24,25},E135,G135,I135,K135,M135,O135,Q135,S135,U135,W135,Y135,AA135,AC135,AE135,AG135,AI135,AK135,AM135,AO135,AQ135,AS135,AU135,AW135,AY135,BA135),0)))</x:f>
      </x:c>
      <x:c r="BF135" s="10" t="n">
        <x:f>IFERROR((AX135-BB135)/BB135,"")</x:f>
        <x:v>3.187878787878787</x:v>
      </x:c>
      <x:c r="BG135" s="10" t="n">
        <x:f>IFERROR((AY135-BD135)/BD135,"")</x:f>
        <x:v>14.02422233554309</x:v>
      </x:c>
    </x:row>
    <x:row r="136">
      <x:c r="A136" t="str">
        <x:v>Demo P</x:v>
      </x:c>
      <x:c r="B136" t="str">
        <x:v>Create / Refresh All Templates</x:v>
      </x:c>
      <x:c r="C136" t="str">
        <x:v>Apply header row: Template - Demo P</x:v>
      </x:c>
      <x:c r="D136" s="8" t="n">
        <x:v>0.215</x:v>
      </x:c>
      <x:c r="E136" s="8" t="n">
        <x:v>86.97</x:v>
      </x:c>
      <x:c r="F136" s="8" t="n">
        <x:v>0.215</x:v>
      </x:c>
      <x:c r="G136" s="8" t="n">
        <x:v>86.97</x:v>
      </x:c>
      <x:c r="H136" s="8" t="n">
        <x:v>0.292</x:v>
      </x:c>
      <x:c r="I136" s="8" t="n">
        <x:v>111.859</x:v>
      </x:c>
      <x:c r="J136" s="8"/>
      <x:c r="K136" s="8"/>
      <x:c r="L136" s="8"/>
      <x:c r="M136" s="8"/>
      <x:c r="N136" s="8" t="n">
        <x:v>0.363</x:v>
      </x:c>
      <x:c r="O136" s="8" t="n">
        <x:v>108.441</x:v>
      </x:c>
      <x:c r="P136" s="8" t="n">
        <x:v>0.347</x:v>
      </x:c>
      <x:c r="Q136" s="8" t="n">
        <x:v>67.613</x:v>
      </x:c>
      <x:c r="R136" s="8" t="n">
        <x:v>0.347</x:v>
      </x:c>
      <x:c r="S136" s="8" t="n">
        <x:v>67.613</x:v>
      </x:c>
      <x:c r="T136" s="8" t="n">
        <x:v>0.386</x:v>
      </x:c>
      <x:c r="U136" s="8" t="n">
        <x:v>90.216</x:v>
      </x:c>
      <x:c r="V136" s="8" t="n">
        <x:v>0.386</x:v>
      </x:c>
      <x:c r="W136" s="8" t="n">
        <x:v>90.216</x:v>
      </x:c>
      <x:c r="X136" s="8" t="n">
        <x:v>0.327</x:v>
      </x:c>
      <x:c r="Y136" s="8" t="n">
        <x:v>136.898</x:v>
      </x:c>
      <x:c r="Z136" s="8" t="n">
        <x:v>0.327</x:v>
      </x:c>
      <x:c r="AA136" s="8" t="n">
        <x:v>136.898</x:v>
      </x:c>
      <x:c r="AB136" s="8" t="n">
        <x:v>0.362</x:v>
      </x:c>
      <x:c r="AC136" s="8" t="n">
        <x:v>121.597</x:v>
      </x:c>
      <x:c r="AD136" s="8" t="n">
        <x:v>0.362</x:v>
      </x:c>
      <x:c r="AE136" s="8" t="n">
        <x:v>121.597</x:v>
      </x:c>
      <x:c r="AF136" s="8" t="n">
        <x:v>0.331</x:v>
      </x:c>
      <x:c r="AG136" s="8" t="n">
        <x:v>128.733</x:v>
      </x:c>
      <x:c r="AH136" s="8"/>
      <x:c r="AI136" s="8"/>
      <x:c r="AJ136" s="8"/>
      <x:c r="AK136" s="8"/>
      <x:c r="AL136" s="8" t="n">
        <x:v>0.478</x:v>
      </x:c>
      <x:c r="AM136" s="8" t="n">
        <x:v>8.322</x:v>
      </x:c>
      <x:c r="AN136" s="8" t="n">
        <x:v>0.387</x:v>
      </x:c>
      <x:c r="AO136" s="8" t="n">
        <x:v>91.668</x:v>
      </x:c>
      <x:c r="AP136" s="8" t="n">
        <x:v>0.387</x:v>
      </x:c>
      <x:c r="AQ136" s="8" t="n">
        <x:v>91.668</x:v>
      </x:c>
      <x:c r="AR136" s="8" t="n">
        <x:v>0.49</x:v>
      </x:c>
      <x:c r="AS136" s="8" t="n">
        <x:v>134.194</x:v>
      </x:c>
      <x:c r="AT136" s="8" t="n">
        <x:v>0.463</x:v>
      </x:c>
      <x:c r="AU136" s="8" t="n">
        <x:v>98.547</x:v>
      </x:c>
      <x:c r="AV136" s="8" t="n">
        <x:v>0.162</x:v>
      </x:c>
      <x:c r="AW136" s="8" t="n">
        <x:v>117.529</x:v>
      </x:c>
      <x:c r="AX136" s="8" t="n">
        <x:v>0.275</x:v>
      </x:c>
      <x:c r="AY136" s="8" t="n">
        <x:v>118.125</x:v>
      </x:c>
      <x:c r="AZ136" s="8" t="n">
        <x:v>0.275</x:v>
      </x:c>
      <x:c r="BA136" s="8" t="n">
        <x:v>118.125</x:v>
      </x:c>
      <x:c r="BB136" s="8" t="n">
        <x:f>LET(m,MIN(IF(D136&gt;0,D136,1E+99),IF(F136&gt;0,F136,1E+99),IF(H136&gt;0,H136,1E+99),IF(J136&gt;0,J136,1E+99),IF(L136&gt;0,L136,1E+99),IF(N136&gt;0,N136,1E+99),IF(P136&gt;0,P136,1E+99),IF(R136&gt;0,R136,1E+99),IF(T136&gt;0,T136,1E+99),IF(V136&gt;0,V136,1E+99),IF(X136&gt;0,X136,1E+99),IF(Z136&gt;0,Z136,1E+99),IF(AB136&gt;0,AB136,1E+99),IF(AD136&gt;0,AD136,1E+99),IF(AF136&gt;0,AF136,1E+99),IF(AH136&gt;0,AH136,1E+99),IF(AJ136&gt;0,AJ136,1E+99),IF(AL136&gt;0,AL136,1E+99),IF(AN136&gt;0,AN136,1E+99),IF(AP136&gt;0,AP136,1E+99),IF(AR136&gt;0,AR136,1E+99),IF(AT136&gt;0,AT136,1E+99),IF(AV136&gt;0,AV136,1E+99),IF(AX136&gt;0,AX136,1E+99),IF(AZ136&gt;0,AZ136,1E+99)),IF(m=1E+99,"",m))</x:f>
        <x:v>0.162</x:v>
      </x:c>
      <x:c r="BC136" s="12" t="e">
        <x:f>IF(BB136="","",INDEX({"v1.4.20","v1.4.20","v1.4.21","v1.4.21","v1.4.23","v1.4.23","v1.4.26","v1.4.26","v1.4.26.1","v1.4.26.1","v1.4.27","v1.4.27","v1.4.29","v1.4.29","v1.4.30","v1.4.30","v1.4.31","v1.4.31","v1.4.33","v1.4.33","v1.4.35","v1.4.35.2","v1.5","v1.5.1","v1.5.1"},MATCH(BB136,CHOOSE({1,2,3,4,5,6,7,8,9,10,11,12,13,14,15,16,17,18,19,20,21,22,23,24,25},D136,F136,H136,J136,L136,N136,P136,R136,T136,V136,X136,Z136,AB136,AD136,AF136,AH136,AJ136,AL136,AN136,AP136,AR136,AT136,AV136,AX136,AZ136),0)))</x:f>
      </x:c>
      <x:c r="BD136" s="14" t="n">
        <x:f>LET(m,MIN(IF(E136&gt;0,E136,1E+99),IF(G136&gt;0,G136,1E+99),IF(I136&gt;0,I136,1E+99),IF(K136&gt;0,K136,1E+99),IF(M136&gt;0,M136,1E+99),IF(O136&gt;0,O136,1E+99),IF(Q136&gt;0,Q136,1E+99),IF(S136&gt;0,S136,1E+99),IF(U136&gt;0,U136,1E+99),IF(W136&gt;0,W136,1E+99),IF(Y136&gt;0,Y136,1E+99),IF(AA136&gt;0,AA136,1E+99),IF(AC136&gt;0,AC136,1E+99),IF(AE136&gt;0,AE136,1E+99),IF(AG136&gt;0,AG136,1E+99),IF(AI136&gt;0,AI136,1E+99),IF(AK136&gt;0,AK136,1E+99),IF(AM136&gt;0,AM136,1E+99),IF(AO136&gt;0,AO136,1E+99),IF(AQ136&gt;0,AQ136,1E+99),IF(AS136&gt;0,AS136,1E+99),IF(AU136&gt;0,AU136,1E+99),IF(AW136&gt;0,AW136,1E+99),IF(AY136&gt;0,AY136,1E+99),IF(BA136&gt;0,BA136,1E+99)),IF(m=1E+99,"",m))</x:f>
        <x:v>8.322</x:v>
      </x:c>
      <x:c r="BE136" s="16" t="e">
        <x:f>IF(BD136="","",INDEX({"v1.4.20","v1.4.20","v1.4.21","v1.4.21","v1.4.23","v1.4.23","v1.4.26","v1.4.26","v1.4.26.1","v1.4.26.1","v1.4.27","v1.4.27","v1.4.29","v1.4.29","v1.4.30","v1.4.30","v1.4.31","v1.4.31","v1.4.33","v1.4.33","v1.4.35","v1.4.35.2","v1.5","v1.5.1","v1.5.1"},MATCH(BD136,CHOOSE({1,2,3,4,5,6,7,8,9,10,11,12,13,14,15,16,17,18,19,20,21,22,23,24,25},E136,G136,I136,K136,M136,O136,Q136,S136,U136,W136,Y136,AA136,AC136,AE136,AG136,AI136,AK136,AM136,AO136,AQ136,AS136,AU136,AW136,AY136,BA136),0)))</x:f>
      </x:c>
      <x:c r="BF136" s="10" t="n">
        <x:f>IFERROR((AX136-BB136)/BB136,"")</x:f>
        <x:v>0.697530864197531</x:v>
      </x:c>
      <x:c r="BG136" s="10" t="n">
        <x:f>IFERROR((AY136-BD136)/BD136,"")</x:f>
        <x:v>13.194304253785148</x:v>
      </x:c>
    </x:row>
    <x:row r="137">
      <x:c r="A137" t="str">
        <x:v>Demo P</x:v>
      </x:c>
      <x:c r="B137" t="str">
        <x:v>Create / Refresh All Templates</x:v>
      </x:c>
      <x:c r="C137" t="str">
        <x:v>Apply alternating color rules: Template - Demo P</x:v>
      </x:c>
      <x:c r="D137" s="8" t="n">
        <x:v>1.409</x:v>
      </x:c>
      <x:c r="E137" s="8" t="n">
        <x:v>88.379</x:v>
      </x:c>
      <x:c r="F137" s="8" t="n">
        <x:v>1.409</x:v>
      </x:c>
      <x:c r="G137" s="8" t="n">
        <x:v>88.379</x:v>
      </x:c>
      <x:c r="H137" s="8" t="n">
        <x:v>2.695</x:v>
      </x:c>
      <x:c r="I137" s="8" t="n">
        <x:v>114.554</x:v>
      </x:c>
      <x:c r="J137" s="8"/>
      <x:c r="K137" s="8"/>
      <x:c r="L137" s="8"/>
      <x:c r="M137" s="8"/>
      <x:c r="N137" s="8" t="n">
        <x:v>1.691</x:v>
      </x:c>
      <x:c r="O137" s="8" t="n">
        <x:v>110.132</x:v>
      </x:c>
      <x:c r="P137" s="8" t="n">
        <x:v>1.195</x:v>
      </x:c>
      <x:c r="Q137" s="8" t="n">
        <x:v>68.808</x:v>
      </x:c>
      <x:c r="R137" s="8" t="n">
        <x:v>1.195</x:v>
      </x:c>
      <x:c r="S137" s="8" t="n">
        <x:v>68.808</x:v>
      </x:c>
      <x:c r="T137" s="8" t="n">
        <x:v>2.401</x:v>
      </x:c>
      <x:c r="U137" s="8" t="n">
        <x:v>92.617</x:v>
      </x:c>
      <x:c r="V137" s="8" t="n">
        <x:v>2.401</x:v>
      </x:c>
      <x:c r="W137" s="8" t="n">
        <x:v>92.617</x:v>
      </x:c>
      <x:c r="X137" s="8" t="n">
        <x:v>2.034</x:v>
      </x:c>
      <x:c r="Y137" s="8" t="n">
        <x:v>138.932</x:v>
      </x:c>
      <x:c r="Z137" s="8" t="n">
        <x:v>2.034</x:v>
      </x:c>
      <x:c r="AA137" s="8" t="n">
        <x:v>138.932</x:v>
      </x:c>
      <x:c r="AB137" s="8" t="n">
        <x:v>2.17</x:v>
      </x:c>
      <x:c r="AC137" s="8" t="n">
        <x:v>123.767</x:v>
      </x:c>
      <x:c r="AD137" s="8" t="n">
        <x:v>2.17</x:v>
      </x:c>
      <x:c r="AE137" s="8" t="n">
        <x:v>123.767</x:v>
      </x:c>
      <x:c r="AF137" s="8" t="n">
        <x:v>2.277</x:v>
      </x:c>
      <x:c r="AG137" s="8" t="n">
        <x:v>131.01</x:v>
      </x:c>
      <x:c r="AH137" s="8"/>
      <x:c r="AI137" s="8"/>
      <x:c r="AJ137" s="8"/>
      <x:c r="AK137" s="8"/>
      <x:c r="AL137" s="8" t="n">
        <x:v>0.473</x:v>
      </x:c>
      <x:c r="AM137" s="8" t="n">
        <x:v>8.795</x:v>
      </x:c>
      <x:c r="AN137" s="8" t="n">
        <x:v>1.441</x:v>
      </x:c>
      <x:c r="AO137" s="8" t="n">
        <x:v>93.109</x:v>
      </x:c>
      <x:c r="AP137" s="8" t="n">
        <x:v>1.441</x:v>
      </x:c>
      <x:c r="AQ137" s="8" t="n">
        <x:v>93.109</x:v>
      </x:c>
      <x:c r="AR137" s="8" t="n">
        <x:v>2.177</x:v>
      </x:c>
      <x:c r="AS137" s="8" t="n">
        <x:v>136.371</x:v>
      </x:c>
      <x:c r="AT137" s="8" t="n">
        <x:v>1.516</x:v>
      </x:c>
      <x:c r="AU137" s="8" t="n">
        <x:v>100.063</x:v>
      </x:c>
      <x:c r="AV137" s="8" t="n">
        <x:v>2.151</x:v>
      </x:c>
      <x:c r="AW137" s="8" t="n">
        <x:v>119.68</x:v>
      </x:c>
      <x:c r="AX137" s="8" t="n">
        <x:v>2.3</x:v>
      </x:c>
      <x:c r="AY137" s="8" t="n">
        <x:v>120.425</x:v>
      </x:c>
      <x:c r="AZ137" s="8" t="n">
        <x:v>2.3</x:v>
      </x:c>
      <x:c r="BA137" s="8" t="n">
        <x:v>120.425</x:v>
      </x:c>
      <x:c r="BB137" s="8" t="n">
        <x:f>LET(m,MIN(IF(D137&gt;0,D137,1E+99),IF(F137&gt;0,F137,1E+99),IF(H137&gt;0,H137,1E+99),IF(J137&gt;0,J137,1E+99),IF(L137&gt;0,L137,1E+99),IF(N137&gt;0,N137,1E+99),IF(P137&gt;0,P137,1E+99),IF(R137&gt;0,R137,1E+99),IF(T137&gt;0,T137,1E+99),IF(V137&gt;0,V137,1E+99),IF(X137&gt;0,X137,1E+99),IF(Z137&gt;0,Z137,1E+99),IF(AB137&gt;0,AB137,1E+99),IF(AD137&gt;0,AD137,1E+99),IF(AF137&gt;0,AF137,1E+99),IF(AH137&gt;0,AH137,1E+99),IF(AJ137&gt;0,AJ137,1E+99),IF(AL137&gt;0,AL137,1E+99),IF(AN137&gt;0,AN137,1E+99),IF(AP137&gt;0,AP137,1E+99),IF(AR137&gt;0,AR137,1E+99),IF(AT137&gt;0,AT137,1E+99),IF(AV137&gt;0,AV137,1E+99),IF(AX137&gt;0,AX137,1E+99),IF(AZ137&gt;0,AZ137,1E+99)),IF(m=1E+99,"",m))</x:f>
        <x:v>0.473</x:v>
      </x:c>
      <x:c r="BC137" s="12" t="e">
        <x:f>IF(BB137="","",INDEX({"v1.4.20","v1.4.20","v1.4.21","v1.4.21","v1.4.23","v1.4.23","v1.4.26","v1.4.26","v1.4.26.1","v1.4.26.1","v1.4.27","v1.4.27","v1.4.29","v1.4.29","v1.4.30","v1.4.30","v1.4.31","v1.4.31","v1.4.33","v1.4.33","v1.4.35","v1.4.35.2","v1.5","v1.5.1","v1.5.1"},MATCH(BB137,CHOOSE({1,2,3,4,5,6,7,8,9,10,11,12,13,14,15,16,17,18,19,20,21,22,23,24,25},D137,F137,H137,J137,L137,N137,P137,R137,T137,V137,X137,Z137,AB137,AD137,AF137,AH137,AJ137,AL137,AN137,AP137,AR137,AT137,AV137,AX137,AZ137),0)))</x:f>
      </x:c>
      <x:c r="BD137" s="14" t="n">
        <x:f>LET(m,MIN(IF(E137&gt;0,E137,1E+99),IF(G137&gt;0,G137,1E+99),IF(I137&gt;0,I137,1E+99),IF(K137&gt;0,K137,1E+99),IF(M137&gt;0,M137,1E+99),IF(O137&gt;0,O137,1E+99),IF(Q137&gt;0,Q137,1E+99),IF(S137&gt;0,S137,1E+99),IF(U137&gt;0,U137,1E+99),IF(W137&gt;0,W137,1E+99),IF(Y137&gt;0,Y137,1E+99),IF(AA137&gt;0,AA137,1E+99),IF(AC137&gt;0,AC137,1E+99),IF(AE137&gt;0,AE137,1E+99),IF(AG137&gt;0,AG137,1E+99),IF(AI137&gt;0,AI137,1E+99),IF(AK137&gt;0,AK137,1E+99),IF(AM137&gt;0,AM137,1E+99),IF(AO137&gt;0,AO137,1E+99),IF(AQ137&gt;0,AQ137,1E+99),IF(AS137&gt;0,AS137,1E+99),IF(AU137&gt;0,AU137,1E+99),IF(AW137&gt;0,AW137,1E+99),IF(AY137&gt;0,AY137,1E+99),IF(BA137&gt;0,BA137,1E+99)),IF(m=1E+99,"",m))</x:f>
        <x:v>8.795</x:v>
      </x:c>
      <x:c r="BE137" s="16" t="e">
        <x:f>IF(BD137="","",INDEX({"v1.4.20","v1.4.20","v1.4.21","v1.4.21","v1.4.23","v1.4.23","v1.4.26","v1.4.26","v1.4.26.1","v1.4.26.1","v1.4.27","v1.4.27","v1.4.29","v1.4.29","v1.4.30","v1.4.30","v1.4.31","v1.4.31","v1.4.33","v1.4.33","v1.4.35","v1.4.35.2","v1.5","v1.5.1","v1.5.1"},MATCH(BD137,CHOOSE({1,2,3,4,5,6,7,8,9,10,11,12,13,14,15,16,17,18,19,20,21,22,23,24,25},E137,G137,I137,K137,M137,O137,Q137,S137,U137,W137,Y137,AA137,AC137,AE137,AG137,AI137,AK137,AM137,AO137,AQ137,AS137,AU137,AW137,AY137,BA137),0)))</x:f>
      </x:c>
      <x:c r="BF137" s="10" t="n">
        <x:f>IFERROR((AX137-BB137)/BB137,"")</x:f>
        <x:v>3.8625792811839323</x:v>
      </x:c>
      <x:c r="BG137" s="10" t="n">
        <x:f>IFERROR((AY137-BD137)/BD137,"")</x:f>
        <x:v>12.692438885730528</x:v>
      </x:c>
    </x:row>
    <x:row r="138">
      <x:c r="A138" t="str">
        <x:v>Demo P</x:v>
      </x:c>
      <x:c r="B138" t="str">
        <x:v>Create / Refresh All Templates</x:v>
      </x:c>
      <x:c r="C138" t="str">
        <x:v>Apply data row base style: Template - Demo P</x:v>
      </x:c>
      <x:c r="D138" s="8" t="n">
        <x:v>0</x:v>
      </x:c>
      <x:c r="E138" s="8" t="n">
        <x:v>88.379</x:v>
      </x:c>
      <x:c r="F138" s="8" t="n">
        <x:v>0</x:v>
      </x:c>
      <x:c r="G138" s="8" t="n">
        <x:v>88.379</x:v>
      </x:c>
      <x:c r="H138" s="8" t="n">
        <x:v>0</x:v>
      </x:c>
      <x:c r="I138" s="8" t="n">
        <x:v>114.554</x:v>
      </x:c>
      <x:c r="J138" s="8"/>
      <x:c r="K138" s="8"/>
      <x:c r="L138" s="8"/>
      <x:c r="M138" s="8"/>
      <x:c r="N138" s="8" t="n">
        <x:v>0</x:v>
      </x:c>
      <x:c r="O138" s="8" t="n">
        <x:v>110.132</x:v>
      </x:c>
      <x:c r="P138" s="8" t="n">
        <x:v>0</x:v>
      </x:c>
      <x:c r="Q138" s="8" t="n">
        <x:v>68.808</x:v>
      </x:c>
      <x:c r="R138" s="8" t="n">
        <x:v>0</x:v>
      </x:c>
      <x:c r="S138" s="8" t="n">
        <x:v>68.808</x:v>
      </x:c>
      <x:c r="T138" s="8" t="n">
        <x:v>0</x:v>
      </x:c>
      <x:c r="U138" s="8" t="n">
        <x:v>92.617</x:v>
      </x:c>
      <x:c r="V138" s="8" t="n">
        <x:v>0</x:v>
      </x:c>
      <x:c r="W138" s="8" t="n">
        <x:v>92.617</x:v>
      </x:c>
      <x:c r="X138" s="8" t="n">
        <x:v>0</x:v>
      </x:c>
      <x:c r="Y138" s="8" t="n">
        <x:v>138.932</x:v>
      </x:c>
      <x:c r="Z138" s="8" t="n">
        <x:v>0</x:v>
      </x:c>
      <x:c r="AA138" s="8" t="n">
        <x:v>138.932</x:v>
      </x:c>
      <x:c r="AB138" s="8" t="n">
        <x:v>0</x:v>
      </x:c>
      <x:c r="AC138" s="8" t="n">
        <x:v>123.767</x:v>
      </x:c>
      <x:c r="AD138" s="8" t="n">
        <x:v>0</x:v>
      </x:c>
      <x:c r="AE138" s="8" t="n">
        <x:v>123.767</x:v>
      </x:c>
      <x:c r="AF138" s="8" t="n">
        <x:v>0</x:v>
      </x:c>
      <x:c r="AG138" s="8" t="n">
        <x:v>131.01</x:v>
      </x:c>
      <x:c r="AH138" s="8"/>
      <x:c r="AI138" s="8"/>
      <x:c r="AJ138" s="8"/>
      <x:c r="AK138" s="8"/>
      <x:c r="AL138" s="8" t="n">
        <x:v>0</x:v>
      </x:c>
      <x:c r="AM138" s="8" t="n">
        <x:v>8.795</x:v>
      </x:c>
      <x:c r="AN138" s="8" t="n">
        <x:v>0</x:v>
      </x:c>
      <x:c r="AO138" s="8" t="n">
        <x:v>93.109</x:v>
      </x:c>
      <x:c r="AP138" s="8" t="n">
        <x:v>0</x:v>
      </x:c>
      <x:c r="AQ138" s="8" t="n">
        <x:v>93.109</x:v>
      </x:c>
      <x:c r="AR138" s="8" t="n">
        <x:v>0</x:v>
      </x:c>
      <x:c r="AS138" s="8" t="n">
        <x:v>136.371</x:v>
      </x:c>
      <x:c r="AT138" s="8" t="n">
        <x:v>0</x:v>
      </x:c>
      <x:c r="AU138" s="8" t="n">
        <x:v>100.063</x:v>
      </x:c>
      <x:c r="AV138" s="8" t="n">
        <x:v>0</x:v>
      </x:c>
      <x:c r="AW138" s="8" t="n">
        <x:v>119.68</x:v>
      </x:c>
      <x:c r="AX138" s="8" t="n">
        <x:v>0</x:v>
      </x:c>
      <x:c r="AY138" s="8" t="n">
        <x:v>120.425</x:v>
      </x:c>
      <x:c r="AZ138" s="8" t="n">
        <x:v>0</x:v>
      </x:c>
      <x:c r="BA138" s="8" t="n">
        <x:v>120.425</x:v>
      </x:c>
      <x:c r="BB138" s="8" t="str">
        <x:f>LET(m,MIN(IF(D138&gt;0,D138,1E+99),IF(F138&gt;0,F138,1E+99),IF(H138&gt;0,H138,1E+99),IF(J138&gt;0,J138,1E+99),IF(L138&gt;0,L138,1E+99),IF(N138&gt;0,N138,1E+99),IF(P138&gt;0,P138,1E+99),IF(R138&gt;0,R138,1E+99),IF(T138&gt;0,T138,1E+99),IF(V138&gt;0,V138,1E+99),IF(X138&gt;0,X138,1E+99),IF(Z138&gt;0,Z138,1E+99),IF(AB138&gt;0,AB138,1E+99),IF(AD138&gt;0,AD138,1E+99),IF(AF138&gt;0,AF138,1E+99),IF(AH138&gt;0,AH138,1E+99),IF(AJ138&gt;0,AJ138,1E+99),IF(AL138&gt;0,AL138,1E+99),IF(AN138&gt;0,AN138,1E+99),IF(AP138&gt;0,AP138,1E+99),IF(AR138&gt;0,AR138,1E+99),IF(AT138&gt;0,AT138,1E+99),IF(AV138&gt;0,AV138,1E+99),IF(AX138&gt;0,AX138,1E+99),IF(AZ138&gt;0,AZ138,1E+99)),IF(m=1E+99,"",m))</x:f>
      </x:c>
      <x:c r="BC138" s="12" t="str">
        <x:f>IF(BB138="","",INDEX({"v1.4.20","v1.4.20","v1.4.21","v1.4.21","v1.4.23","v1.4.23","v1.4.26","v1.4.26","v1.4.26.1","v1.4.26.1","v1.4.27","v1.4.27","v1.4.29","v1.4.29","v1.4.30","v1.4.30","v1.4.31","v1.4.31","v1.4.33","v1.4.33","v1.4.35","v1.4.35.2","v1.5","v1.5.1","v1.5.1"},MATCH(BB138,CHOOSE({1,2,3,4,5,6,7,8,9,10,11,12,13,14,15,16,17,18,19,20,21,22,23,24,25},D138,F138,H138,J138,L138,N138,P138,R138,T138,V138,X138,Z138,AB138,AD138,AF138,AH138,AJ138,AL138,AN138,AP138,AR138,AT138,AV138,AX138,AZ138),0)))</x:f>
      </x:c>
      <x:c r="BD138" s="14" t="n">
        <x:f>LET(m,MIN(IF(E138&gt;0,E138,1E+99),IF(G138&gt;0,G138,1E+99),IF(I138&gt;0,I138,1E+99),IF(K138&gt;0,K138,1E+99),IF(M138&gt;0,M138,1E+99),IF(O138&gt;0,O138,1E+99),IF(Q138&gt;0,Q138,1E+99),IF(S138&gt;0,S138,1E+99),IF(U138&gt;0,U138,1E+99),IF(W138&gt;0,W138,1E+99),IF(Y138&gt;0,Y138,1E+99),IF(AA138&gt;0,AA138,1E+99),IF(AC138&gt;0,AC138,1E+99),IF(AE138&gt;0,AE138,1E+99),IF(AG138&gt;0,AG138,1E+99),IF(AI138&gt;0,AI138,1E+99),IF(AK138&gt;0,AK138,1E+99),IF(AM138&gt;0,AM138,1E+99),IF(AO138&gt;0,AO138,1E+99),IF(AQ138&gt;0,AQ138,1E+99),IF(AS138&gt;0,AS138,1E+99),IF(AU138&gt;0,AU138,1E+99),IF(AW138&gt;0,AW138,1E+99),IF(AY138&gt;0,AY138,1E+99),IF(BA138&gt;0,BA138,1E+99)),IF(m=1E+99,"",m))</x:f>
        <x:v>8.795</x:v>
      </x:c>
      <x:c r="BE138" s="16" t="e">
        <x:f>IF(BD138="","",INDEX({"v1.4.20","v1.4.20","v1.4.21","v1.4.21","v1.4.23","v1.4.23","v1.4.26","v1.4.26","v1.4.26.1","v1.4.26.1","v1.4.27","v1.4.27","v1.4.29","v1.4.29","v1.4.30","v1.4.30","v1.4.31","v1.4.31","v1.4.33","v1.4.33","v1.4.35","v1.4.35.2","v1.5","v1.5.1","v1.5.1"},MATCH(BD138,CHOOSE({1,2,3,4,5,6,7,8,9,10,11,12,13,14,15,16,17,18,19,20,21,22,23,24,25},E138,G138,I138,K138,M138,O138,Q138,S138,U138,W138,Y138,AA138,AC138,AE138,AG138,AI138,AK138,AM138,AO138,AQ138,AS138,AU138,AW138,AY138,BA138),0)))</x:f>
      </x:c>
      <x:c r="BF138" s="10" t="str">
        <x:f>IFERROR((AX138-BB138)/BB138,"")</x:f>
      </x:c>
      <x:c r="BG138" s="10" t="n">
        <x:f>IFERROR((AY138-BD138)/BD138,"")</x:f>
        <x:v>12.692438885730528</x:v>
      </x:c>
    </x:row>
    <x:row r="139">
      <x:c r="A139" t="str">
        <x:v>Demo P</x:v>
      </x:c>
      <x:c r="B139" t="str">
        <x:v>Create / Refresh All Templates</x:v>
      </x:c>
      <x:c r="C139" t="str">
        <x:v>Apply column widths: Template - Demo P</x:v>
      </x:c>
      <x:c r="D139" s="8" t="n">
        <x:v>2.825</x:v>
      </x:c>
      <x:c r="E139" s="8" t="n">
        <x:v>91.204</x:v>
      </x:c>
      <x:c r="F139" s="8" t="n">
        <x:v>2.825</x:v>
      </x:c>
      <x:c r="G139" s="8" t="n">
        <x:v>91.204</x:v>
      </x:c>
      <x:c r="H139" s="8" t="n">
        <x:v>2.573</x:v>
      </x:c>
      <x:c r="I139" s="8" t="n">
        <x:v>117.127</x:v>
      </x:c>
      <x:c r="J139" s="8"/>
      <x:c r="K139" s="8"/>
      <x:c r="L139" s="8"/>
      <x:c r="M139" s="8"/>
      <x:c r="N139" s="8" t="n">
        <x:v>2.908</x:v>
      </x:c>
      <x:c r="O139" s="8" t="n">
        <x:v>113.04</x:v>
      </x:c>
      <x:c r="P139" s="8" t="n">
        <x:v>1.644</x:v>
      </x:c>
      <x:c r="Q139" s="8" t="n">
        <x:v>70.452</x:v>
      </x:c>
      <x:c r="R139" s="8" t="n">
        <x:v>1.644</x:v>
      </x:c>
      <x:c r="S139" s="8" t="n">
        <x:v>70.452</x:v>
      </x:c>
      <x:c r="T139" s="8" t="n">
        <x:v>2.246</x:v>
      </x:c>
      <x:c r="U139" s="8" t="n">
        <x:v>94.863</x:v>
      </x:c>
      <x:c r="V139" s="8" t="n">
        <x:v>2.246</x:v>
      </x:c>
      <x:c r="W139" s="8" t="n">
        <x:v>94.863</x:v>
      </x:c>
      <x:c r="X139" s="8" t="n">
        <x:v>3.146</x:v>
      </x:c>
      <x:c r="Y139" s="8" t="n">
        <x:v>142.078</x:v>
      </x:c>
      <x:c r="Z139" s="8" t="n">
        <x:v>3.146</x:v>
      </x:c>
      <x:c r="AA139" s="8" t="n">
        <x:v>142.078</x:v>
      </x:c>
      <x:c r="AB139" s="8" t="n">
        <x:v>3.142</x:v>
      </x:c>
      <x:c r="AC139" s="8" t="n">
        <x:v>126.909</x:v>
      </x:c>
      <x:c r="AD139" s="8" t="n">
        <x:v>3.142</x:v>
      </x:c>
      <x:c r="AE139" s="8" t="n">
        <x:v>126.909</x:v>
      </x:c>
      <x:c r="AF139" s="8" t="n">
        <x:v>3.581</x:v>
      </x:c>
      <x:c r="AG139" s="8" t="n">
        <x:v>134.591</x:v>
      </x:c>
      <x:c r="AH139" s="8"/>
      <x:c r="AI139" s="8"/>
      <x:c r="AJ139" s="8"/>
      <x:c r="AK139" s="8"/>
      <x:c r="AL139" s="8" t="n">
        <x:v>3.312</x:v>
      </x:c>
      <x:c r="AM139" s="8" t="n">
        <x:v>12.107</x:v>
      </x:c>
      <x:c r="AN139" s="8" t="n">
        <x:v>2.037</x:v>
      </x:c>
      <x:c r="AO139" s="8" t="n">
        <x:v>95.146</x:v>
      </x:c>
      <x:c r="AP139" s="8" t="n">
        <x:v>2.037</x:v>
      </x:c>
      <x:c r="AQ139" s="8" t="n">
        <x:v>95.146</x:v>
      </x:c>
      <x:c r="AR139" s="8" t="n">
        <x:v>3.528</x:v>
      </x:c>
      <x:c r="AS139" s="8" t="n">
        <x:v>139.899</x:v>
      </x:c>
      <x:c r="AT139" s="8" t="n">
        <x:v>2.447</x:v>
      </x:c>
      <x:c r="AU139" s="8" t="n">
        <x:v>102.51</x:v>
      </x:c>
      <x:c r="AV139" s="8" t="n">
        <x:v>2.755</x:v>
      </x:c>
      <x:c r="AW139" s="8" t="n">
        <x:v>122.435</x:v>
      </x:c>
      <x:c r="AX139" s="8" t="n">
        <x:v>3.317</x:v>
      </x:c>
      <x:c r="AY139" s="8" t="n">
        <x:v>123.742</x:v>
      </x:c>
      <x:c r="AZ139" s="8" t="n">
        <x:v>3.317</x:v>
      </x:c>
      <x:c r="BA139" s="8" t="n">
        <x:v>123.742</x:v>
      </x:c>
      <x:c r="BB139" s="8" t="n">
        <x:f>LET(m,MIN(IF(D139&gt;0,D139,1E+99),IF(F139&gt;0,F139,1E+99),IF(H139&gt;0,H139,1E+99),IF(J139&gt;0,J139,1E+99),IF(L139&gt;0,L139,1E+99),IF(N139&gt;0,N139,1E+99),IF(P139&gt;0,P139,1E+99),IF(R139&gt;0,R139,1E+99),IF(T139&gt;0,T139,1E+99),IF(V139&gt;0,V139,1E+99),IF(X139&gt;0,X139,1E+99),IF(Z139&gt;0,Z139,1E+99),IF(AB139&gt;0,AB139,1E+99),IF(AD139&gt;0,AD139,1E+99),IF(AF139&gt;0,AF139,1E+99),IF(AH139&gt;0,AH139,1E+99),IF(AJ139&gt;0,AJ139,1E+99),IF(AL139&gt;0,AL139,1E+99),IF(AN139&gt;0,AN139,1E+99),IF(AP139&gt;0,AP139,1E+99),IF(AR139&gt;0,AR139,1E+99),IF(AT139&gt;0,AT139,1E+99),IF(AV139&gt;0,AV139,1E+99),IF(AX139&gt;0,AX139,1E+99),IF(AZ139&gt;0,AZ139,1E+99)),IF(m=1E+99,"",m))</x:f>
        <x:v>1.644</x:v>
      </x:c>
      <x:c r="BC139" s="12" t="e">
        <x:f>IF(BB139="","",INDEX({"v1.4.20","v1.4.20","v1.4.21","v1.4.21","v1.4.23","v1.4.23","v1.4.26","v1.4.26","v1.4.26.1","v1.4.26.1","v1.4.27","v1.4.27","v1.4.29","v1.4.29","v1.4.30","v1.4.30","v1.4.31","v1.4.31","v1.4.33","v1.4.33","v1.4.35","v1.4.35.2","v1.5","v1.5.1","v1.5.1"},MATCH(BB139,CHOOSE({1,2,3,4,5,6,7,8,9,10,11,12,13,14,15,16,17,18,19,20,21,22,23,24,25},D139,F139,H139,J139,L139,N139,P139,R139,T139,V139,X139,Z139,AB139,AD139,AF139,AH139,AJ139,AL139,AN139,AP139,AR139,AT139,AV139,AX139,AZ139),0)))</x:f>
      </x:c>
      <x:c r="BD139" s="14" t="n">
        <x:f>LET(m,MIN(IF(E139&gt;0,E139,1E+99),IF(G139&gt;0,G139,1E+99),IF(I139&gt;0,I139,1E+99),IF(K139&gt;0,K139,1E+99),IF(M139&gt;0,M139,1E+99),IF(O139&gt;0,O139,1E+99),IF(Q139&gt;0,Q139,1E+99),IF(S139&gt;0,S139,1E+99),IF(U139&gt;0,U139,1E+99),IF(W139&gt;0,W139,1E+99),IF(Y139&gt;0,Y139,1E+99),IF(AA139&gt;0,AA139,1E+99),IF(AC139&gt;0,AC139,1E+99),IF(AE139&gt;0,AE139,1E+99),IF(AG139&gt;0,AG139,1E+99),IF(AI139&gt;0,AI139,1E+99),IF(AK139&gt;0,AK139,1E+99),IF(AM139&gt;0,AM139,1E+99),IF(AO139&gt;0,AO139,1E+99),IF(AQ139&gt;0,AQ139,1E+99),IF(AS139&gt;0,AS139,1E+99),IF(AU139&gt;0,AU139,1E+99),IF(AW139&gt;0,AW139,1E+99),IF(AY139&gt;0,AY139,1E+99),IF(BA139&gt;0,BA139,1E+99)),IF(m=1E+99,"",m))</x:f>
        <x:v>12.107</x:v>
      </x:c>
      <x:c r="BE139" s="16" t="e">
        <x:f>IF(BD139="","",INDEX({"v1.4.20","v1.4.20","v1.4.21","v1.4.21","v1.4.23","v1.4.23","v1.4.26","v1.4.26","v1.4.26.1","v1.4.26.1","v1.4.27","v1.4.27","v1.4.29","v1.4.29","v1.4.30","v1.4.30","v1.4.31","v1.4.31","v1.4.33","v1.4.33","v1.4.35","v1.4.35.2","v1.5","v1.5.1","v1.5.1"},MATCH(BD139,CHOOSE({1,2,3,4,5,6,7,8,9,10,11,12,13,14,15,16,17,18,19,20,21,22,23,24,25},E139,G139,I139,K139,M139,O139,Q139,S139,U139,W139,Y139,AA139,AC139,AE139,AG139,AI139,AK139,AM139,AO139,AQ139,AS139,AU139,AW139,AY139,BA139),0)))</x:f>
      </x:c>
      <x:c r="BF139" s="10" t="n">
        <x:f>IFERROR((AX139-BB139)/BB139,"")</x:f>
        <x:v>1.0176399026763991</x:v>
      </x:c>
      <x:c r="BG139" s="10" t="n">
        <x:f>IFERROR((AY139-BD139)/BD139,"")</x:f>
        <x:v>9.220698769307013</x:v>
      </x:c>
    </x:row>
    <x:row r="140">
      <x:c r="A140" t="str">
        <x:v>Demo P</x:v>
      </x:c>
      <x:c r="B140" t="str">
        <x:v>Create / Refresh All Templates</x:v>
      </x:c>
      <x:c r="C140" t="str">
        <x:v>Apply date/number formats: Template - Demo P</x:v>
      </x:c>
      <x:c r="D140" s="8" t="n">
        <x:v>0.076</x:v>
      </x:c>
      <x:c r="E140" s="8" t="n">
        <x:v>91.28</x:v>
      </x:c>
      <x:c r="F140" s="8" t="n">
        <x:v>0.076</x:v>
      </x:c>
      <x:c r="G140" s="8" t="n">
        <x:v>91.28</x:v>
      </x:c>
      <x:c r="H140" s="8" t="n">
        <x:v>0.052</x:v>
      </x:c>
      <x:c r="I140" s="8" t="n">
        <x:v>117.179</x:v>
      </x:c>
      <x:c r="J140" s="8"/>
      <x:c r="K140" s="8"/>
      <x:c r="L140" s="8"/>
      <x:c r="M140" s="8"/>
      <x:c r="N140" s="8" t="n">
        <x:v>0.133</x:v>
      </x:c>
      <x:c r="O140" s="8" t="n">
        <x:v>113.173</x:v>
      </x:c>
      <x:c r="P140" s="8" t="n">
        <x:v>0.071</x:v>
      </x:c>
      <x:c r="Q140" s="8" t="n">
        <x:v>70.523</x:v>
      </x:c>
      <x:c r="R140" s="8" t="n">
        <x:v>0.071</x:v>
      </x:c>
      <x:c r="S140" s="8" t="n">
        <x:v>70.523</x:v>
      </x:c>
      <x:c r="T140" s="8" t="n">
        <x:v>0.106</x:v>
      </x:c>
      <x:c r="U140" s="8" t="n">
        <x:v>94.969</x:v>
      </x:c>
      <x:c r="V140" s="8" t="n">
        <x:v>0.106</x:v>
      </x:c>
      <x:c r="W140" s="8" t="n">
        <x:v>94.969</x:v>
      </x:c>
      <x:c r="X140" s="8" t="n">
        <x:v>0.07</x:v>
      </x:c>
      <x:c r="Y140" s="8" t="n">
        <x:v>142.148</x:v>
      </x:c>
      <x:c r="Z140" s="8" t="n">
        <x:v>0.07</x:v>
      </x:c>
      <x:c r="AA140" s="8" t="n">
        <x:v>142.148</x:v>
      </x:c>
      <x:c r="AB140" s="8" t="n">
        <x:v>0.107</x:v>
      </x:c>
      <x:c r="AC140" s="8" t="n">
        <x:v>127.016</x:v>
      </x:c>
      <x:c r="AD140" s="8" t="n">
        <x:v>0.107</x:v>
      </x:c>
      <x:c r="AE140" s="8" t="n">
        <x:v>127.016</x:v>
      </x:c>
      <x:c r="AF140" s="8" t="n">
        <x:v>0.098</x:v>
      </x:c>
      <x:c r="AG140" s="8" t="n">
        <x:v>134.689</x:v>
      </x:c>
      <x:c r="AH140" s="8"/>
      <x:c r="AI140" s="8"/>
      <x:c r="AJ140" s="8"/>
      <x:c r="AK140" s="8"/>
      <x:c r="AL140" s="8" t="n">
        <x:v>0.154</x:v>
      </x:c>
      <x:c r="AM140" s="8" t="n">
        <x:v>12.261</x:v>
      </x:c>
      <x:c r="AN140" s="8" t="n">
        <x:v>0.114</x:v>
      </x:c>
      <x:c r="AO140" s="8" t="n">
        <x:v>95.26</x:v>
      </x:c>
      <x:c r="AP140" s="8" t="n">
        <x:v>0.114</x:v>
      </x:c>
      <x:c r="AQ140" s="8" t="n">
        <x:v>95.26</x:v>
      </x:c>
      <x:c r="AR140" s="8" t="n">
        <x:v>0.127</x:v>
      </x:c>
      <x:c r="AS140" s="8" t="n">
        <x:v>140.026</x:v>
      </x:c>
      <x:c r="AT140" s="8" t="n">
        <x:v>0.121</x:v>
      </x:c>
      <x:c r="AU140" s="8" t="n">
        <x:v>102.631</x:v>
      </x:c>
      <x:c r="AV140" s="8" t="n">
        <x:v>0.073</x:v>
      </x:c>
      <x:c r="AW140" s="8" t="n">
        <x:v>122.508</x:v>
      </x:c>
      <x:c r="AX140" s="8" t="n">
        <x:v>0.163</x:v>
      </x:c>
      <x:c r="AY140" s="8" t="n">
        <x:v>123.905</x:v>
      </x:c>
      <x:c r="AZ140" s="8" t="n">
        <x:v>0.163</x:v>
      </x:c>
      <x:c r="BA140" s="8" t="n">
        <x:v>123.905</x:v>
      </x:c>
      <x:c r="BB140" s="8" t="n">
        <x:f>LET(m,MIN(IF(D140&gt;0,D140,1E+99),IF(F140&gt;0,F140,1E+99),IF(H140&gt;0,H140,1E+99),IF(J140&gt;0,J140,1E+99),IF(L140&gt;0,L140,1E+99),IF(N140&gt;0,N140,1E+99),IF(P140&gt;0,P140,1E+99),IF(R140&gt;0,R140,1E+99),IF(T140&gt;0,T140,1E+99),IF(V140&gt;0,V140,1E+99),IF(X140&gt;0,X140,1E+99),IF(Z140&gt;0,Z140,1E+99),IF(AB140&gt;0,AB140,1E+99),IF(AD140&gt;0,AD140,1E+99),IF(AF140&gt;0,AF140,1E+99),IF(AH140&gt;0,AH140,1E+99),IF(AJ140&gt;0,AJ140,1E+99),IF(AL140&gt;0,AL140,1E+99),IF(AN140&gt;0,AN140,1E+99),IF(AP140&gt;0,AP140,1E+99),IF(AR140&gt;0,AR140,1E+99),IF(AT140&gt;0,AT140,1E+99),IF(AV140&gt;0,AV140,1E+99),IF(AX140&gt;0,AX140,1E+99),IF(AZ140&gt;0,AZ140,1E+99)),IF(m=1E+99,"",m))</x:f>
        <x:v>0.052</x:v>
      </x:c>
      <x:c r="BC140" s="12" t="e">
        <x:f>IF(BB140="","",INDEX({"v1.4.20","v1.4.20","v1.4.21","v1.4.21","v1.4.23","v1.4.23","v1.4.26","v1.4.26","v1.4.26.1","v1.4.26.1","v1.4.27","v1.4.27","v1.4.29","v1.4.29","v1.4.30","v1.4.30","v1.4.31","v1.4.31","v1.4.33","v1.4.33","v1.4.35","v1.4.35.2","v1.5","v1.5.1","v1.5.1"},MATCH(BB140,CHOOSE({1,2,3,4,5,6,7,8,9,10,11,12,13,14,15,16,17,18,19,20,21,22,23,24,25},D140,F140,H140,J140,L140,N140,P140,R140,T140,V140,X140,Z140,AB140,AD140,AF140,AH140,AJ140,AL140,AN140,AP140,AR140,AT140,AV140,AX140,AZ140),0)))</x:f>
      </x:c>
      <x:c r="BD140" s="14" t="n">
        <x:f>LET(m,MIN(IF(E140&gt;0,E140,1E+99),IF(G140&gt;0,G140,1E+99),IF(I140&gt;0,I140,1E+99),IF(K140&gt;0,K140,1E+99),IF(M140&gt;0,M140,1E+99),IF(O140&gt;0,O140,1E+99),IF(Q140&gt;0,Q140,1E+99),IF(S140&gt;0,S140,1E+99),IF(U140&gt;0,U140,1E+99),IF(W140&gt;0,W140,1E+99),IF(Y140&gt;0,Y140,1E+99),IF(AA140&gt;0,AA140,1E+99),IF(AC140&gt;0,AC140,1E+99),IF(AE140&gt;0,AE140,1E+99),IF(AG140&gt;0,AG140,1E+99),IF(AI140&gt;0,AI140,1E+99),IF(AK140&gt;0,AK140,1E+99),IF(AM140&gt;0,AM140,1E+99),IF(AO140&gt;0,AO140,1E+99),IF(AQ140&gt;0,AQ140,1E+99),IF(AS140&gt;0,AS140,1E+99),IF(AU140&gt;0,AU140,1E+99),IF(AW140&gt;0,AW140,1E+99),IF(AY140&gt;0,AY140,1E+99),IF(BA140&gt;0,BA140,1E+99)),IF(m=1E+99,"",m))</x:f>
        <x:v>12.261</x:v>
      </x:c>
      <x:c r="BE140" s="16" t="e">
        <x:f>IF(BD140="","",INDEX({"v1.4.20","v1.4.20","v1.4.21","v1.4.21","v1.4.23","v1.4.23","v1.4.26","v1.4.26","v1.4.26.1","v1.4.26.1","v1.4.27","v1.4.27","v1.4.29","v1.4.29","v1.4.30","v1.4.30","v1.4.31","v1.4.31","v1.4.33","v1.4.33","v1.4.35","v1.4.35.2","v1.5","v1.5.1","v1.5.1"},MATCH(BD140,CHOOSE({1,2,3,4,5,6,7,8,9,10,11,12,13,14,15,16,17,18,19,20,21,22,23,24,25},E140,G140,I140,K140,M140,O140,Q140,S140,U140,W140,Y140,AA140,AC140,AE140,AG140,AI140,AK140,AM140,AO140,AQ140,AS140,AU140,AW140,AY140,BA140),0)))</x:f>
      </x:c>
      <x:c r="BF140" s="10" t="n">
        <x:f>IFERROR((AX140-BB140)/BB140,"")</x:f>
        <x:v>2.134615384615385</x:v>
      </x:c>
      <x:c r="BG140" s="10" t="n">
        <x:f>IFERROR((AY140-BD140)/BD140,"")</x:f>
        <x:v>9.105619443764784</x:v>
      </x:c>
    </x:row>
    <x:row r="141">
      <x:c r="A141" t="str">
        <x:v>Demo P</x:v>
      </x:c>
      <x:c r="B141" t="str">
        <x:v>Create / Refresh All Templates</x:v>
      </x:c>
      <x:c r="C141" t="str">
        <x:v>Apply hidden/show column settings: Template - Demo P</x:v>
      </x:c>
      <x:c r="D141" s="8" t="n">
        <x:v>0.012</x:v>
      </x:c>
      <x:c r="E141" s="8" t="n">
        <x:v>91.292</x:v>
      </x:c>
      <x:c r="F141" s="8" t="n">
        <x:v>0.012</x:v>
      </x:c>
      <x:c r="G141" s="8" t="n">
        <x:v>91.292</x:v>
      </x:c>
      <x:c r="H141" s="8" t="n">
        <x:v>0.007</x:v>
      </x:c>
      <x:c r="I141" s="8" t="n">
        <x:v>117.186</x:v>
      </x:c>
      <x:c r="J141" s="8"/>
      <x:c r="K141" s="8"/>
      <x:c r="L141" s="8"/>
      <x:c r="M141" s="8"/>
      <x:c r="N141" s="8" t="n">
        <x:v>0.016</x:v>
      </x:c>
      <x:c r="O141" s="8" t="n">
        <x:v>113.189</x:v>
      </x:c>
      <x:c r="P141" s="8" t="n">
        <x:v>0.012</x:v>
      </x:c>
      <x:c r="Q141" s="8" t="n">
        <x:v>70.535</x:v>
      </x:c>
      <x:c r="R141" s="8" t="n">
        <x:v>0.012</x:v>
      </x:c>
      <x:c r="S141" s="8" t="n">
        <x:v>70.535</x:v>
      </x:c>
      <x:c r="T141" s="8" t="n">
        <x:v>0.01</x:v>
      </x:c>
      <x:c r="U141" s="8" t="n">
        <x:v>94.979</x:v>
      </x:c>
      <x:c r="V141" s="8" t="n">
        <x:v>0.01</x:v>
      </x:c>
      <x:c r="W141" s="8" t="n">
        <x:v>94.979</x:v>
      </x:c>
      <x:c r="X141" s="8" t="n">
        <x:v>0.012</x:v>
      </x:c>
      <x:c r="Y141" s="8" t="n">
        <x:v>142.16</x:v>
      </x:c>
      <x:c r="Z141" s="8" t="n">
        <x:v>0.012</x:v>
      </x:c>
      <x:c r="AA141" s="8" t="n">
        <x:v>142.16</x:v>
      </x:c>
      <x:c r="AB141" s="8" t="n">
        <x:v>0.017</x:v>
      </x:c>
      <x:c r="AC141" s="8" t="n">
        <x:v>127.033</x:v>
      </x:c>
      <x:c r="AD141" s="8" t="n">
        <x:v>0.017</x:v>
      </x:c>
      <x:c r="AE141" s="8" t="n">
        <x:v>127.033</x:v>
      </x:c>
      <x:c r="AF141" s="8" t="n">
        <x:v>0.011</x:v>
      </x:c>
      <x:c r="AG141" s="8" t="n">
        <x:v>134.7</x:v>
      </x:c>
      <x:c r="AH141" s="8"/>
      <x:c r="AI141" s="8"/>
      <x:c r="AJ141" s="8"/>
      <x:c r="AK141" s="8"/>
      <x:c r="AL141" s="8" t="n">
        <x:v>0.024</x:v>
      </x:c>
      <x:c r="AM141" s="8" t="n">
        <x:v>12.285</x:v>
      </x:c>
      <x:c r="AN141" s="8" t="n">
        <x:v>0.018</x:v>
      </x:c>
      <x:c r="AO141" s="8" t="n">
        <x:v>95.278</x:v>
      </x:c>
      <x:c r="AP141" s="8" t="n">
        <x:v>0.018</x:v>
      </x:c>
      <x:c r="AQ141" s="8" t="n">
        <x:v>95.278</x:v>
      </x:c>
      <x:c r="AR141" s="8" t="n">
        <x:v>0.016</x:v>
      </x:c>
      <x:c r="AS141" s="8" t="n">
        <x:v>140.042</x:v>
      </x:c>
      <x:c r="AT141" s="8" t="n">
        <x:v>0.015</x:v>
      </x:c>
      <x:c r="AU141" s="8" t="n">
        <x:v>102.646</x:v>
      </x:c>
      <x:c r="AV141" s="8" t="n">
        <x:v>0.007</x:v>
      </x:c>
      <x:c r="AW141" s="8" t="n">
        <x:v>122.515</x:v>
      </x:c>
      <x:c r="AX141" s="8" t="n">
        <x:v>0.015</x:v>
      </x:c>
      <x:c r="AY141" s="8" t="n">
        <x:v>123.92</x:v>
      </x:c>
      <x:c r="AZ141" s="8" t="n">
        <x:v>0.015</x:v>
      </x:c>
      <x:c r="BA141" s="8" t="n">
        <x:v>123.92</x:v>
      </x:c>
      <x:c r="BB141" s="8" t="n">
        <x:f>LET(m,MIN(IF(D141&gt;0,D141,1E+99),IF(F141&gt;0,F141,1E+99),IF(H141&gt;0,H141,1E+99),IF(J141&gt;0,J141,1E+99),IF(L141&gt;0,L141,1E+99),IF(N141&gt;0,N141,1E+99),IF(P141&gt;0,P141,1E+99),IF(R141&gt;0,R141,1E+99),IF(T141&gt;0,T141,1E+99),IF(V141&gt;0,V141,1E+99),IF(X141&gt;0,X141,1E+99),IF(Z141&gt;0,Z141,1E+99),IF(AB141&gt;0,AB141,1E+99),IF(AD141&gt;0,AD141,1E+99),IF(AF141&gt;0,AF141,1E+99),IF(AH141&gt;0,AH141,1E+99),IF(AJ141&gt;0,AJ141,1E+99),IF(AL141&gt;0,AL141,1E+99),IF(AN141&gt;0,AN141,1E+99),IF(AP141&gt;0,AP141,1E+99),IF(AR141&gt;0,AR141,1E+99),IF(AT141&gt;0,AT141,1E+99),IF(AV141&gt;0,AV141,1E+99),IF(AX141&gt;0,AX141,1E+99),IF(AZ141&gt;0,AZ141,1E+99)),IF(m=1E+99,"",m))</x:f>
        <x:v>0.007</x:v>
      </x:c>
      <x:c r="BC141" s="12" t="e">
        <x:f>IF(BB141="","",INDEX({"v1.4.20","v1.4.20","v1.4.21","v1.4.21","v1.4.23","v1.4.23","v1.4.26","v1.4.26","v1.4.26.1","v1.4.26.1","v1.4.27","v1.4.27","v1.4.29","v1.4.29","v1.4.30","v1.4.30","v1.4.31","v1.4.31","v1.4.33","v1.4.33","v1.4.35","v1.4.35.2","v1.5","v1.5.1","v1.5.1"},MATCH(BB141,CHOOSE({1,2,3,4,5,6,7,8,9,10,11,12,13,14,15,16,17,18,19,20,21,22,23,24,25},D141,F141,H141,J141,L141,N141,P141,R141,T141,V141,X141,Z141,AB141,AD141,AF141,AH141,AJ141,AL141,AN141,AP141,AR141,AT141,AV141,AX141,AZ141),0)))</x:f>
      </x:c>
      <x:c r="BD141" s="14" t="n">
        <x:f>LET(m,MIN(IF(E141&gt;0,E141,1E+99),IF(G141&gt;0,G141,1E+99),IF(I141&gt;0,I141,1E+99),IF(K141&gt;0,K141,1E+99),IF(M141&gt;0,M141,1E+99),IF(O141&gt;0,O141,1E+99),IF(Q141&gt;0,Q141,1E+99),IF(S141&gt;0,S141,1E+99),IF(U141&gt;0,U141,1E+99),IF(W141&gt;0,W141,1E+99),IF(Y141&gt;0,Y141,1E+99),IF(AA141&gt;0,AA141,1E+99),IF(AC141&gt;0,AC141,1E+99),IF(AE141&gt;0,AE141,1E+99),IF(AG141&gt;0,AG141,1E+99),IF(AI141&gt;0,AI141,1E+99),IF(AK141&gt;0,AK141,1E+99),IF(AM141&gt;0,AM141,1E+99),IF(AO141&gt;0,AO141,1E+99),IF(AQ141&gt;0,AQ141,1E+99),IF(AS141&gt;0,AS141,1E+99),IF(AU141&gt;0,AU141,1E+99),IF(AW141&gt;0,AW141,1E+99),IF(AY141&gt;0,AY141,1E+99),IF(BA141&gt;0,BA141,1E+99)),IF(m=1E+99,"",m))</x:f>
        <x:v>12.285</x:v>
      </x:c>
      <x:c r="BE141" s="16" t="e">
        <x:f>IF(BD141="","",INDEX({"v1.4.20","v1.4.20","v1.4.21","v1.4.21","v1.4.23","v1.4.23","v1.4.26","v1.4.26","v1.4.26.1","v1.4.26.1","v1.4.27","v1.4.27","v1.4.29","v1.4.29","v1.4.30","v1.4.30","v1.4.31","v1.4.31","v1.4.33","v1.4.33","v1.4.35","v1.4.35.2","v1.5","v1.5.1","v1.5.1"},MATCH(BD141,CHOOSE({1,2,3,4,5,6,7,8,9,10,11,12,13,14,15,16,17,18,19,20,21,22,23,24,25},E141,G141,I141,K141,M141,O141,Q141,S141,U141,W141,Y141,AA141,AC141,AE141,AG141,AI141,AK141,AM141,AO141,AQ141,AS141,AU141,AW141,AY141,BA141),0)))</x:f>
      </x:c>
      <x:c r="BF141" s="10" t="n">
        <x:f>IFERROR((AX141-BB141)/BB141,"")</x:f>
        <x:v>1.1428571428571428</x:v>
      </x:c>
      <x:c r="BG141" s="10" t="n">
        <x:f>IFERROR((AY141-BD141)/BD141,"")</x:f>
        <x:v>9.087098087098088</x:v>
      </x:c>
    </x:row>
    <x:row r="142">
      <x:c r="A142" t="str">
        <x:v>Demo P</x:v>
      </x:c>
      <x:c r="B142" t="str">
        <x:v>Create / Refresh All Templates</x:v>
      </x:c>
      <x:c r="C142" t="str">
        <x:v>No existing filter to remove: Template - Demo P</x:v>
      </x:c>
      <x:c r="D142" s="8" t="n">
        <x:v>0.652</x:v>
      </x:c>
      <x:c r="E142" s="8" t="n">
        <x:v>91.944</x:v>
      </x:c>
      <x:c r="F142" s="8" t="n">
        <x:v>0.652</x:v>
      </x:c>
      <x:c r="G142" s="8" t="n">
        <x:v>91.944</x:v>
      </x:c>
      <x:c r="H142" s="8" t="n">
        <x:v>0.155</x:v>
      </x:c>
      <x:c r="I142" s="8" t="n">
        <x:v>117.341</x:v>
      </x:c>
      <x:c r="J142" s="8"/>
      <x:c r="K142" s="8"/>
      <x:c r="L142" s="8"/>
      <x:c r="M142" s="8"/>
      <x:c r="N142" s="8"/>
      <x:c r="O142" s="8"/>
      <x:c r="P142" s="8" t="n">
        <x:v>0.17</x:v>
      </x:c>
      <x:c r="Q142" s="8" t="n">
        <x:v>70.705</x:v>
      </x:c>
      <x:c r="R142" s="8" t="n">
        <x:v>0.17</x:v>
      </x:c>
      <x:c r="S142" s="8" t="n">
        <x:v>70.705</x:v>
      </x:c>
      <x:c r="T142" s="8" t="n">
        <x:v>0.253</x:v>
      </x:c>
      <x:c r="U142" s="8" t="n">
        <x:v>95.232</x:v>
      </x:c>
      <x:c r="V142" s="8" t="n">
        <x:v>0.253</x:v>
      </x:c>
      <x:c r="W142" s="8" t="n">
        <x:v>95.232</x:v>
      </x:c>
      <x:c r="X142" s="8" t="n">
        <x:v>0.241</x:v>
      </x:c>
      <x:c r="Y142" s="8" t="n">
        <x:v>142.401</x:v>
      </x:c>
      <x:c r="Z142" s="8" t="n">
        <x:v>0.241</x:v>
      </x:c>
      <x:c r="AA142" s="8" t="n">
        <x:v>142.401</x:v>
      </x:c>
      <x:c r="AB142" s="8" t="n">
        <x:v>0.184</x:v>
      </x:c>
      <x:c r="AC142" s="8" t="n">
        <x:v>127.217</x:v>
      </x:c>
      <x:c r="AD142" s="8" t="n">
        <x:v>0.184</x:v>
      </x:c>
      <x:c r="AE142" s="8" t="n">
        <x:v>127.217</x:v>
      </x:c>
      <x:c r="AF142" s="8" t="n">
        <x:v>0.165</x:v>
      </x:c>
      <x:c r="AG142" s="8" t="n">
        <x:v>134.865</x:v>
      </x:c>
      <x:c r="AH142" s="8"/>
      <x:c r="AI142" s="8"/>
      <x:c r="AJ142" s="8"/>
      <x:c r="AK142" s="8"/>
      <x:c r="AL142" s="8" t="n">
        <x:v>0.305</x:v>
      </x:c>
      <x:c r="AM142" s="8" t="n">
        <x:v>12.59</x:v>
      </x:c>
      <x:c r="AN142" s="8" t="n">
        <x:v>1.194</x:v>
      </x:c>
      <x:c r="AO142" s="8" t="n">
        <x:v>96.472</x:v>
      </x:c>
      <x:c r="AP142" s="8" t="n">
        <x:v>1.194</x:v>
      </x:c>
      <x:c r="AQ142" s="8" t="n">
        <x:v>96.472</x:v>
      </x:c>
      <x:c r="AR142" s="8" t="n">
        <x:v>0.192</x:v>
      </x:c>
      <x:c r="AS142" s="8" t="n">
        <x:v>140.234</x:v>
      </x:c>
      <x:c r="AT142" s="8" t="n">
        <x:v>0.157</x:v>
      </x:c>
      <x:c r="AU142" s="8" t="n">
        <x:v>102.803</x:v>
      </x:c>
      <x:c r="AV142" s="8" t="n">
        <x:v>0.323</x:v>
      </x:c>
      <x:c r="AW142" s="8" t="n">
        <x:v>122.838</x:v>
      </x:c>
      <x:c r="AX142" s="8" t="n">
        <x:v>1.14</x:v>
      </x:c>
      <x:c r="AY142" s="8" t="n">
        <x:v>125.06</x:v>
      </x:c>
      <x:c r="AZ142" s="8" t="n">
        <x:v>1.14</x:v>
      </x:c>
      <x:c r="BA142" s="8" t="n">
        <x:v>125.06</x:v>
      </x:c>
      <x:c r="BB142" s="8" t="n">
        <x:f>LET(m,MIN(IF(D142&gt;0,D142,1E+99),IF(F142&gt;0,F142,1E+99),IF(H142&gt;0,H142,1E+99),IF(J142&gt;0,J142,1E+99),IF(L142&gt;0,L142,1E+99),IF(N142&gt;0,N142,1E+99),IF(P142&gt;0,P142,1E+99),IF(R142&gt;0,R142,1E+99),IF(T142&gt;0,T142,1E+99),IF(V142&gt;0,V142,1E+99),IF(X142&gt;0,X142,1E+99),IF(Z142&gt;0,Z142,1E+99),IF(AB142&gt;0,AB142,1E+99),IF(AD142&gt;0,AD142,1E+99),IF(AF142&gt;0,AF142,1E+99),IF(AH142&gt;0,AH142,1E+99),IF(AJ142&gt;0,AJ142,1E+99),IF(AL142&gt;0,AL142,1E+99),IF(AN142&gt;0,AN142,1E+99),IF(AP142&gt;0,AP142,1E+99),IF(AR142&gt;0,AR142,1E+99),IF(AT142&gt;0,AT142,1E+99),IF(AV142&gt;0,AV142,1E+99),IF(AX142&gt;0,AX142,1E+99),IF(AZ142&gt;0,AZ142,1E+99)),IF(m=1E+99,"",m))</x:f>
        <x:v>0.155</x:v>
      </x:c>
      <x:c r="BC142" s="12" t="e">
        <x:f>IF(BB142="","",INDEX({"v1.4.20","v1.4.20","v1.4.21","v1.4.21","v1.4.23","v1.4.23","v1.4.26","v1.4.26","v1.4.26.1","v1.4.26.1","v1.4.27","v1.4.27","v1.4.29","v1.4.29","v1.4.30","v1.4.30","v1.4.31","v1.4.31","v1.4.33","v1.4.33","v1.4.35","v1.4.35.2","v1.5","v1.5.1","v1.5.1"},MATCH(BB142,CHOOSE({1,2,3,4,5,6,7,8,9,10,11,12,13,14,15,16,17,18,19,20,21,22,23,24,25},D142,F142,H142,J142,L142,N142,P142,R142,T142,V142,X142,Z142,AB142,AD142,AF142,AH142,AJ142,AL142,AN142,AP142,AR142,AT142,AV142,AX142,AZ142),0)))</x:f>
      </x:c>
      <x:c r="BD142" s="14" t="n">
        <x:f>LET(m,MIN(IF(E142&gt;0,E142,1E+99),IF(G142&gt;0,G142,1E+99),IF(I142&gt;0,I142,1E+99),IF(K142&gt;0,K142,1E+99),IF(M142&gt;0,M142,1E+99),IF(O142&gt;0,O142,1E+99),IF(Q142&gt;0,Q142,1E+99),IF(S142&gt;0,S142,1E+99),IF(U142&gt;0,U142,1E+99),IF(W142&gt;0,W142,1E+99),IF(Y142&gt;0,Y142,1E+99),IF(AA142&gt;0,AA142,1E+99),IF(AC142&gt;0,AC142,1E+99),IF(AE142&gt;0,AE142,1E+99),IF(AG142&gt;0,AG142,1E+99),IF(AI142&gt;0,AI142,1E+99),IF(AK142&gt;0,AK142,1E+99),IF(AM142&gt;0,AM142,1E+99),IF(AO142&gt;0,AO142,1E+99),IF(AQ142&gt;0,AQ142,1E+99),IF(AS142&gt;0,AS142,1E+99),IF(AU142&gt;0,AU142,1E+99),IF(AW142&gt;0,AW142,1E+99),IF(AY142&gt;0,AY142,1E+99),IF(BA142&gt;0,BA142,1E+99)),IF(m=1E+99,"",m))</x:f>
        <x:v>12.59</x:v>
      </x:c>
      <x:c r="BE142" s="16" t="e">
        <x:f>IF(BD142="","",INDEX({"v1.4.20","v1.4.20","v1.4.21","v1.4.21","v1.4.23","v1.4.23","v1.4.26","v1.4.26","v1.4.26.1","v1.4.26.1","v1.4.27","v1.4.27","v1.4.29","v1.4.29","v1.4.30","v1.4.30","v1.4.31","v1.4.31","v1.4.33","v1.4.33","v1.4.35","v1.4.35.2","v1.5","v1.5.1","v1.5.1"},MATCH(BD142,CHOOSE({1,2,3,4,5,6,7,8,9,10,11,12,13,14,15,16,17,18,19,20,21,22,23,24,25},E142,G142,I142,K142,M142,O142,Q142,S142,U142,W142,Y142,AA142,AC142,AE142,AG142,AI142,AK142,AM142,AO142,AQ142,AS142,AU142,AW142,AY142,BA142),0)))</x:f>
      </x:c>
      <x:c r="BF142" s="10" t="n">
        <x:f>IFERROR((AX142-BB142)/BB142,"")</x:f>
        <x:v>6.354838709677419</x:v>
      </x:c>
      <x:c r="BG142" s="10" t="n">
        <x:f>IFERROR((AY142-BD142)/BD142,"")</x:f>
        <x:v>8.933280381254963</x:v>
      </x:c>
    </x:row>
    <x:row r="143">
      <x:c r="A143" t="str">
        <x:v>Demo P</x:v>
      </x:c>
      <x:c r="B143" t="str">
        <x:v>Create / Refresh All Templates</x:v>
      </x:c>
      <x:c r="C143" t="str">
        <x:v>Create filter: Template - Demo P</x:v>
      </x:c>
      <x:c r="D143" s="8" t="n">
        <x:v>1.634</x:v>
      </x:c>
      <x:c r="E143" s="8" t="n">
        <x:v>93.578</x:v>
      </x:c>
      <x:c r="F143" s="8" t="n">
        <x:v>1.634</x:v>
      </x:c>
      <x:c r="G143" s="8" t="n">
        <x:v>93.578</x:v>
      </x:c>
      <x:c r="H143" s="8" t="n">
        <x:v>3.125</x:v>
      </x:c>
      <x:c r="I143" s="8" t="n">
        <x:v>120.466</x:v>
      </x:c>
      <x:c r="J143" s="8"/>
      <x:c r="K143" s="8"/>
      <x:c r="L143" s="8"/>
      <x:c r="M143" s="8"/>
      <x:c r="N143" s="8" t="n">
        <x:v>2.772</x:v>
      </x:c>
      <x:c r="O143" s="8" t="n">
        <x:v>115.961</x:v>
      </x:c>
      <x:c r="P143" s="8" t="n">
        <x:v>1.497</x:v>
      </x:c>
      <x:c r="Q143" s="8" t="n">
        <x:v>72.202</x:v>
      </x:c>
      <x:c r="R143" s="8" t="n">
        <x:v>1.497</x:v>
      </x:c>
      <x:c r="S143" s="8" t="n">
        <x:v>72.202</x:v>
      </x:c>
      <x:c r="T143" s="8" t="n">
        <x:v>2.383</x:v>
      </x:c>
      <x:c r="U143" s="8" t="n">
        <x:v>97.615</x:v>
      </x:c>
      <x:c r="V143" s="8" t="n">
        <x:v>2.383</x:v>
      </x:c>
      <x:c r="W143" s="8" t="n">
        <x:v>97.615</x:v>
      </x:c>
      <x:c r="X143" s="8" t="n">
        <x:v>3.984</x:v>
      </x:c>
      <x:c r="Y143" s="8" t="n">
        <x:v>146.385</x:v>
      </x:c>
      <x:c r="Z143" s="8" t="n">
        <x:v>3.984</x:v>
      </x:c>
      <x:c r="AA143" s="8" t="n">
        <x:v>146.385</x:v>
      </x:c>
      <x:c r="AB143" s="8" t="n">
        <x:v>3.73</x:v>
      </x:c>
      <x:c r="AC143" s="8" t="n">
        <x:v>130.947</x:v>
      </x:c>
      <x:c r="AD143" s="8" t="n">
        <x:v>3.73</x:v>
      </x:c>
      <x:c r="AE143" s="8" t="n">
        <x:v>130.947</x:v>
      </x:c>
      <x:c r="AF143" s="8" t="n">
        <x:v>3.171</x:v>
      </x:c>
      <x:c r="AG143" s="8" t="n">
        <x:v>138.036</x:v>
      </x:c>
      <x:c r="AH143" s="8"/>
      <x:c r="AI143" s="8"/>
      <x:c r="AJ143" s="8"/>
      <x:c r="AK143" s="8"/>
      <x:c r="AL143" s="8" t="n">
        <x:v>1.172</x:v>
      </x:c>
      <x:c r="AM143" s="8" t="n">
        <x:v>13.762</x:v>
      </x:c>
      <x:c r="AN143" s="8" t="n">
        <x:v>1.532</x:v>
      </x:c>
      <x:c r="AO143" s="8" t="n">
        <x:v>98.004</x:v>
      </x:c>
      <x:c r="AP143" s="8" t="n">
        <x:v>1.532</x:v>
      </x:c>
      <x:c r="AQ143" s="8" t="n">
        <x:v>98.004</x:v>
      </x:c>
      <x:c r="AR143" s="8" t="n">
        <x:v>3.042</x:v>
      </x:c>
      <x:c r="AS143" s="8" t="n">
        <x:v>143.276</x:v>
      </x:c>
      <x:c r="AT143" s="8" t="n">
        <x:v>2.058</x:v>
      </x:c>
      <x:c r="AU143" s="8" t="n">
        <x:v>104.861</x:v>
      </x:c>
      <x:c r="AV143" s="8" t="n">
        <x:v>3.275</x:v>
      </x:c>
      <x:c r="AW143" s="8" t="n">
        <x:v>126.113</x:v>
      </x:c>
      <x:c r="AX143" s="8" t="n">
        <x:v>2.467</x:v>
      </x:c>
      <x:c r="AY143" s="8" t="n">
        <x:v>127.527</x:v>
      </x:c>
      <x:c r="AZ143" s="8" t="n">
        <x:v>2.467</x:v>
      </x:c>
      <x:c r="BA143" s="8" t="n">
        <x:v>127.527</x:v>
      </x:c>
      <x:c r="BB143" s="8" t="n">
        <x:f>LET(m,MIN(IF(D143&gt;0,D143,1E+99),IF(F143&gt;0,F143,1E+99),IF(H143&gt;0,H143,1E+99),IF(J143&gt;0,J143,1E+99),IF(L143&gt;0,L143,1E+99),IF(N143&gt;0,N143,1E+99),IF(P143&gt;0,P143,1E+99),IF(R143&gt;0,R143,1E+99),IF(T143&gt;0,T143,1E+99),IF(V143&gt;0,V143,1E+99),IF(X143&gt;0,X143,1E+99),IF(Z143&gt;0,Z143,1E+99),IF(AB143&gt;0,AB143,1E+99),IF(AD143&gt;0,AD143,1E+99),IF(AF143&gt;0,AF143,1E+99),IF(AH143&gt;0,AH143,1E+99),IF(AJ143&gt;0,AJ143,1E+99),IF(AL143&gt;0,AL143,1E+99),IF(AN143&gt;0,AN143,1E+99),IF(AP143&gt;0,AP143,1E+99),IF(AR143&gt;0,AR143,1E+99),IF(AT143&gt;0,AT143,1E+99),IF(AV143&gt;0,AV143,1E+99),IF(AX143&gt;0,AX143,1E+99),IF(AZ143&gt;0,AZ143,1E+99)),IF(m=1E+99,"",m))</x:f>
        <x:v>1.172</x:v>
      </x:c>
      <x:c r="BC143" s="12" t="e">
        <x:f>IF(BB143="","",INDEX({"v1.4.20","v1.4.20","v1.4.21","v1.4.21","v1.4.23","v1.4.23","v1.4.26","v1.4.26","v1.4.26.1","v1.4.26.1","v1.4.27","v1.4.27","v1.4.29","v1.4.29","v1.4.30","v1.4.30","v1.4.31","v1.4.31","v1.4.33","v1.4.33","v1.4.35","v1.4.35.2","v1.5","v1.5.1","v1.5.1"},MATCH(BB143,CHOOSE({1,2,3,4,5,6,7,8,9,10,11,12,13,14,15,16,17,18,19,20,21,22,23,24,25},D143,F143,H143,J143,L143,N143,P143,R143,T143,V143,X143,Z143,AB143,AD143,AF143,AH143,AJ143,AL143,AN143,AP143,AR143,AT143,AV143,AX143,AZ143),0)))</x:f>
      </x:c>
      <x:c r="BD143" s="14" t="n">
        <x:f>LET(m,MIN(IF(E143&gt;0,E143,1E+99),IF(G143&gt;0,G143,1E+99),IF(I143&gt;0,I143,1E+99),IF(K143&gt;0,K143,1E+99),IF(M143&gt;0,M143,1E+99),IF(O143&gt;0,O143,1E+99),IF(Q143&gt;0,Q143,1E+99),IF(S143&gt;0,S143,1E+99),IF(U143&gt;0,U143,1E+99),IF(W143&gt;0,W143,1E+99),IF(Y143&gt;0,Y143,1E+99),IF(AA143&gt;0,AA143,1E+99),IF(AC143&gt;0,AC143,1E+99),IF(AE143&gt;0,AE143,1E+99),IF(AG143&gt;0,AG143,1E+99),IF(AI143&gt;0,AI143,1E+99),IF(AK143&gt;0,AK143,1E+99),IF(AM143&gt;0,AM143,1E+99),IF(AO143&gt;0,AO143,1E+99),IF(AQ143&gt;0,AQ143,1E+99),IF(AS143&gt;0,AS143,1E+99),IF(AU143&gt;0,AU143,1E+99),IF(AW143&gt;0,AW143,1E+99),IF(AY143&gt;0,AY143,1E+99),IF(BA143&gt;0,BA143,1E+99)),IF(m=1E+99,"",m))</x:f>
        <x:v>13.762</x:v>
      </x:c>
      <x:c r="BE143" s="16" t="e">
        <x:f>IF(BD143="","",INDEX({"v1.4.20","v1.4.20","v1.4.21","v1.4.21","v1.4.23","v1.4.23","v1.4.26","v1.4.26","v1.4.26.1","v1.4.26.1","v1.4.27","v1.4.27","v1.4.29","v1.4.29","v1.4.30","v1.4.30","v1.4.31","v1.4.31","v1.4.33","v1.4.33","v1.4.35","v1.4.35.2","v1.5","v1.5.1","v1.5.1"},MATCH(BD143,CHOOSE({1,2,3,4,5,6,7,8,9,10,11,12,13,14,15,16,17,18,19,20,21,22,23,24,25},E143,G143,I143,K143,M143,O143,Q143,S143,U143,W143,Y143,AA143,AC143,AE143,AG143,AI143,AK143,AM143,AO143,AQ143,AS143,AU143,AW143,AY143,BA143),0)))</x:f>
      </x:c>
      <x:c r="BF143" s="10" t="n">
        <x:f>IFERROR((AX143-BB143)/BB143,"")</x:f>
        <x:v>1.104948805460751</x:v>
      </x:c>
      <x:c r="BG143" s="10" t="n">
        <x:f>IFERROR((AY143-BD143)/BD143,"")</x:f>
        <x:v>8.266603691323935</x:v>
      </x:c>
    </x:row>
    <x:row r="144">
      <x:c r="A144" t="str">
        <x:v>Demo P</x:v>
      </x:c>
      <x:c r="B144" t="str">
        <x:v>Create / Refresh All Templates</x:v>
      </x:c>
      <x:c r="C144" t="str">
        <x:v>Apply row heights skipped for template: Template - Demo P</x:v>
      </x:c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  <x:c r="AA144" s="8"/>
      <x:c r="AB144" s="8"/>
      <x:c r="AC144" s="8"/>
      <x:c r="AD144" s="8"/>
      <x:c r="AE144" s="8"/>
      <x:c r="AF144" s="8"/>
      <x:c r="AG144" s="8"/>
      <x:c r="AH144" s="8"/>
      <x:c r="AI144" s="8"/>
      <x:c r="AJ144" s="8"/>
      <x:c r="AK144" s="8"/>
      <x:c r="AL144" s="8"/>
      <x:c r="AM144" s="8"/>
      <x:c r="AN144" s="8"/>
      <x:c r="AO144" s="8"/>
      <x:c r="AP144" s="8"/>
      <x:c r="AQ144" s="8"/>
      <x:c r="AR144" s="8"/>
      <x:c r="AS144" s="8"/>
      <x:c r="AT144" s="8"/>
      <x:c r="AU144" s="8"/>
      <x:c r="AV144" s="8" t="n">
        <x:v>0</x:v>
      </x:c>
      <x:c r="AW144" s="8" t="n">
        <x:v>126.113</x:v>
      </x:c>
      <x:c r="AX144" s="8" t="n">
        <x:v>0</x:v>
      </x:c>
      <x:c r="AY144" s="8" t="n">
        <x:v>127.527</x:v>
      </x:c>
      <x:c r="AZ144" s="8" t="n">
        <x:v>0</x:v>
      </x:c>
      <x:c r="BA144" s="8" t="n">
        <x:v>127.527</x:v>
      </x:c>
      <x:c r="BB144" s="8" t="str">
        <x:f>LET(m,MIN(IF(D144&gt;0,D144,1E+99),IF(F144&gt;0,F144,1E+99),IF(H144&gt;0,H144,1E+99),IF(J144&gt;0,J144,1E+99),IF(L144&gt;0,L144,1E+99),IF(N144&gt;0,N144,1E+99),IF(P144&gt;0,P144,1E+99),IF(R144&gt;0,R144,1E+99),IF(T144&gt;0,T144,1E+99),IF(V144&gt;0,V144,1E+99),IF(X144&gt;0,X144,1E+99),IF(Z144&gt;0,Z144,1E+99),IF(AB144&gt;0,AB144,1E+99),IF(AD144&gt;0,AD144,1E+99),IF(AF144&gt;0,AF144,1E+99),IF(AH144&gt;0,AH144,1E+99),IF(AJ144&gt;0,AJ144,1E+99),IF(AL144&gt;0,AL144,1E+99),IF(AN144&gt;0,AN144,1E+99),IF(AP144&gt;0,AP144,1E+99),IF(AR144&gt;0,AR144,1E+99),IF(AT144&gt;0,AT144,1E+99),IF(AV144&gt;0,AV144,1E+99),IF(AX144&gt;0,AX144,1E+99),IF(AZ144&gt;0,AZ144,1E+99)),IF(m=1E+99,"",m))</x:f>
      </x:c>
      <x:c r="BC144" s="12" t="str">
        <x:f>IF(BB144="","",INDEX({"v1.4.20","v1.4.20","v1.4.21","v1.4.21","v1.4.23","v1.4.23","v1.4.26","v1.4.26","v1.4.26.1","v1.4.26.1","v1.4.27","v1.4.27","v1.4.29","v1.4.29","v1.4.30","v1.4.30","v1.4.31","v1.4.31","v1.4.33","v1.4.33","v1.4.35","v1.4.35.2","v1.5","v1.5.1","v1.5.1"},MATCH(BB144,CHOOSE({1,2,3,4,5,6,7,8,9,10,11,12,13,14,15,16,17,18,19,20,21,22,23,24,25},D144,F144,H144,J144,L144,N144,P144,R144,T144,V144,X144,Z144,AB144,AD144,AF144,AH144,AJ144,AL144,AN144,AP144,AR144,AT144,AV144,AX144,AZ144),0)))</x:f>
      </x:c>
      <x:c r="BD144" s="14" t="n">
        <x:f>LET(m,MIN(IF(E144&gt;0,E144,1E+99),IF(G144&gt;0,G144,1E+99),IF(I144&gt;0,I144,1E+99),IF(K144&gt;0,K144,1E+99),IF(M144&gt;0,M144,1E+99),IF(O144&gt;0,O144,1E+99),IF(Q144&gt;0,Q144,1E+99),IF(S144&gt;0,S144,1E+99),IF(U144&gt;0,U144,1E+99),IF(W144&gt;0,W144,1E+99),IF(Y144&gt;0,Y144,1E+99),IF(AA144&gt;0,AA144,1E+99),IF(AC144&gt;0,AC144,1E+99),IF(AE144&gt;0,AE144,1E+99),IF(AG144&gt;0,AG144,1E+99),IF(AI144&gt;0,AI144,1E+99),IF(AK144&gt;0,AK144,1E+99),IF(AM144&gt;0,AM144,1E+99),IF(AO144&gt;0,AO144,1E+99),IF(AQ144&gt;0,AQ144,1E+99),IF(AS144&gt;0,AS144,1E+99),IF(AU144&gt;0,AU144,1E+99),IF(AW144&gt;0,AW144,1E+99),IF(AY144&gt;0,AY144,1E+99),IF(BA144&gt;0,BA144,1E+99)),IF(m=1E+99,"",m))</x:f>
        <x:v>126.113</x:v>
      </x:c>
      <x:c r="BE144" s="16" t="e">
        <x:f>IF(BD144="","",INDEX({"v1.4.20","v1.4.20","v1.4.21","v1.4.21","v1.4.23","v1.4.23","v1.4.26","v1.4.26","v1.4.26.1","v1.4.26.1","v1.4.27","v1.4.27","v1.4.29","v1.4.29","v1.4.30","v1.4.30","v1.4.31","v1.4.31","v1.4.33","v1.4.33","v1.4.35","v1.4.35.2","v1.5","v1.5.1","v1.5.1"},MATCH(BD144,CHOOSE({1,2,3,4,5,6,7,8,9,10,11,12,13,14,15,16,17,18,19,20,21,22,23,24,25},E144,G144,I144,K144,M144,O144,Q144,S144,U144,W144,Y144,AA144,AC144,AE144,AG144,AI144,AK144,AM144,AO144,AQ144,AS144,AU144,AW144,AY144,BA144),0)))</x:f>
      </x:c>
      <x:c r="BF144" s="10" t="str">
        <x:f>IFERROR((AX144-BB144)/BB144,"")</x:f>
      </x:c>
      <x:c r="BG144" s="10" t="n">
        <x:f>IFERROR((AY144-BD144)/BD144,"")</x:f>
        <x:v>0.01121216686622316</x:v>
      </x:c>
    </x:row>
    <x:row r="145">
      <x:c r="A145" t="str">
        <x:v>Demo P</x:v>
      </x:c>
      <x:c r="B145" t="str">
        <x:v>Create / Refresh All Templates</x:v>
      </x:c>
      <x:c r="C145" t="str">
        <x:v>Apply full template formatting: Template - Demo P</x:v>
      </x:c>
      <x:c r="D145" s="8" t="n">
        <x:v>0</x:v>
      </x:c>
      <x:c r="E145" s="8" t="n">
        <x:v>93.588</x:v>
      </x:c>
      <x:c r="F145" s="8" t="n">
        <x:v>0</x:v>
      </x:c>
      <x:c r="G145" s="8" t="n">
        <x:v>93.588</x:v>
      </x:c>
      <x:c r="H145" s="8" t="n">
        <x:v>0</x:v>
      </x:c>
      <x:c r="I145" s="8" t="n">
        <x:v>120.483</x:v>
      </x:c>
      <x:c r="J145" s="8"/>
      <x:c r="K145" s="8"/>
      <x:c r="L145" s="8"/>
      <x:c r="M145" s="8"/>
      <x:c r="N145" s="8"/>
      <x:c r="O145" s="8"/>
      <x:c r="P145" s="8" t="n">
        <x:v>0</x:v>
      </x:c>
      <x:c r="Q145" s="8" t="n">
        <x:v>72.212</x:v>
      </x:c>
      <x:c r="R145" s="8" t="n">
        <x:v>0</x:v>
      </x:c>
      <x:c r="S145" s="8" t="n">
        <x:v>72.212</x:v>
      </x:c>
      <x:c r="T145" s="8" t="n">
        <x:v>0</x:v>
      </x:c>
      <x:c r="U145" s="8" t="n">
        <x:v>100.433</x:v>
      </x:c>
      <x:c r="V145" s="8" t="n">
        <x:v>0</x:v>
      </x:c>
      <x:c r="W145" s="8" t="n">
        <x:v>100.433</x:v>
      </x:c>
      <x:c r="X145" s="8" t="n">
        <x:v>0</x:v>
      </x:c>
      <x:c r="Y145" s="8" t="n">
        <x:v>146.393</x:v>
      </x:c>
      <x:c r="Z145" s="8" t="n">
        <x:v>0</x:v>
      </x:c>
      <x:c r="AA145" s="8" t="n">
        <x:v>146.393</x:v>
      </x:c>
      <x:c r="AB145" s="8" t="n">
        <x:v>0</x:v>
      </x:c>
      <x:c r="AC145" s="8" t="n">
        <x:v>135.373</x:v>
      </x:c>
      <x:c r="AD145" s="8" t="n">
        <x:v>0</x:v>
      </x:c>
      <x:c r="AE145" s="8" t="n">
        <x:v>135.373</x:v>
      </x:c>
      <x:c r="AF145" s="8" t="n">
        <x:v>0</x:v>
      </x:c>
      <x:c r="AG145" s="8" t="n">
        <x:v>142.203</x:v>
      </x:c>
      <x:c r="AH145" s="8"/>
      <x:c r="AI145" s="8"/>
      <x:c r="AJ145" s="8"/>
      <x:c r="AK145" s="8"/>
      <x:c r="AL145" s="8" t="n">
        <x:v>0</x:v>
      </x:c>
      <x:c r="AM145" s="8" t="n">
        <x:v>16.401</x:v>
      </x:c>
      <x:c r="AN145" s="8" t="n">
        <x:v>0</x:v>
      </x:c>
      <x:c r="AO145" s="8" t="n">
        <x:v>100.586</x:v>
      </x:c>
      <x:c r="AP145" s="8" t="n">
        <x:v>0</x:v>
      </x:c>
      <x:c r="AQ145" s="8" t="n">
        <x:v>100.586</x:v>
      </x:c>
      <x:c r="AR145" s="8" t="n">
        <x:v>0</x:v>
      </x:c>
      <x:c r="AS145" s="8" t="n">
        <x:v>143.295</x:v>
      </x:c>
      <x:c r="AT145" s="8" t="n">
        <x:v>0</x:v>
      </x:c>
      <x:c r="AU145" s="8" t="n">
        <x:v>104.875</x:v>
      </x:c>
      <x:c r="AV145" s="8" t="n">
        <x:v>0</x:v>
      </x:c>
      <x:c r="AW145" s="8" t="n">
        <x:v>126.113</x:v>
      </x:c>
      <x:c r="AX145" s="8" t="n">
        <x:v>0</x:v>
      </x:c>
      <x:c r="AY145" s="8" t="n">
        <x:v>127.527</x:v>
      </x:c>
      <x:c r="AZ145" s="8" t="n">
        <x:v>0</x:v>
      </x:c>
      <x:c r="BA145" s="8" t="n">
        <x:v>127.527</x:v>
      </x:c>
      <x:c r="BB145" s="8" t="str">
        <x:f>LET(m,MIN(IF(D145&gt;0,D145,1E+99),IF(F145&gt;0,F145,1E+99),IF(H145&gt;0,H145,1E+99),IF(J145&gt;0,J145,1E+99),IF(L145&gt;0,L145,1E+99),IF(N145&gt;0,N145,1E+99),IF(P145&gt;0,P145,1E+99),IF(R145&gt;0,R145,1E+99),IF(T145&gt;0,T145,1E+99),IF(V145&gt;0,V145,1E+99),IF(X145&gt;0,X145,1E+99),IF(Z145&gt;0,Z145,1E+99),IF(AB145&gt;0,AB145,1E+99),IF(AD145&gt;0,AD145,1E+99),IF(AF145&gt;0,AF145,1E+99),IF(AH145&gt;0,AH145,1E+99),IF(AJ145&gt;0,AJ145,1E+99),IF(AL145&gt;0,AL145,1E+99),IF(AN145&gt;0,AN145,1E+99),IF(AP145&gt;0,AP145,1E+99),IF(AR145&gt;0,AR145,1E+99),IF(AT145&gt;0,AT145,1E+99),IF(AV145&gt;0,AV145,1E+99),IF(AX145&gt;0,AX145,1E+99),IF(AZ145&gt;0,AZ145,1E+99)),IF(m=1E+99,"",m))</x:f>
      </x:c>
      <x:c r="BC145" s="12" t="str">
        <x:f>IF(BB145="","",INDEX({"v1.4.20","v1.4.20","v1.4.21","v1.4.21","v1.4.23","v1.4.23","v1.4.26","v1.4.26","v1.4.26.1","v1.4.26.1","v1.4.27","v1.4.27","v1.4.29","v1.4.29","v1.4.30","v1.4.30","v1.4.31","v1.4.31","v1.4.33","v1.4.33","v1.4.35","v1.4.35.2","v1.5","v1.5.1","v1.5.1"},MATCH(BB145,CHOOSE({1,2,3,4,5,6,7,8,9,10,11,12,13,14,15,16,17,18,19,20,21,22,23,24,25},D145,F145,H145,J145,L145,N145,P145,R145,T145,V145,X145,Z145,AB145,AD145,AF145,AH145,AJ145,AL145,AN145,AP145,AR145,AT145,AV145,AX145,AZ145),0)))</x:f>
      </x:c>
      <x:c r="BD145" s="14" t="n">
        <x:f>LET(m,MIN(IF(E145&gt;0,E145,1E+99),IF(G145&gt;0,G145,1E+99),IF(I145&gt;0,I145,1E+99),IF(K145&gt;0,K145,1E+99),IF(M145&gt;0,M145,1E+99),IF(O145&gt;0,O145,1E+99),IF(Q145&gt;0,Q145,1E+99),IF(S145&gt;0,S145,1E+99),IF(U145&gt;0,U145,1E+99),IF(W145&gt;0,W145,1E+99),IF(Y145&gt;0,Y145,1E+99),IF(AA145&gt;0,AA145,1E+99),IF(AC145&gt;0,AC145,1E+99),IF(AE145&gt;0,AE145,1E+99),IF(AG145&gt;0,AG145,1E+99),IF(AI145&gt;0,AI145,1E+99),IF(AK145&gt;0,AK145,1E+99),IF(AM145&gt;0,AM145,1E+99),IF(AO145&gt;0,AO145,1E+99),IF(AQ145&gt;0,AQ145,1E+99),IF(AS145&gt;0,AS145,1E+99),IF(AU145&gt;0,AU145,1E+99),IF(AW145&gt;0,AW145,1E+99),IF(AY145&gt;0,AY145,1E+99),IF(BA145&gt;0,BA145,1E+99)),IF(m=1E+99,"",m))</x:f>
        <x:v>16.401</x:v>
      </x:c>
      <x:c r="BE145" s="16" t="e">
        <x:f>IF(BD145="","",INDEX({"v1.4.20","v1.4.20","v1.4.21","v1.4.21","v1.4.23","v1.4.23","v1.4.26","v1.4.26","v1.4.26.1","v1.4.26.1","v1.4.27","v1.4.27","v1.4.29","v1.4.29","v1.4.30","v1.4.30","v1.4.31","v1.4.31","v1.4.33","v1.4.33","v1.4.35","v1.4.35.2","v1.5","v1.5.1","v1.5.1"},MATCH(BD145,CHOOSE({1,2,3,4,5,6,7,8,9,10,11,12,13,14,15,16,17,18,19,20,21,22,23,24,25},E145,G145,I145,K145,M145,O145,Q145,S145,U145,W145,Y145,AA145,AC145,AE145,AG145,AI145,AK145,AM145,AO145,AQ145,AS145,AU145,AW145,AY145,BA145),0)))</x:f>
      </x:c>
      <x:c r="BF145" s="10" t="str">
        <x:f>IFERROR((AX145-BB145)/BB145,"")</x:f>
      </x:c>
      <x:c r="BG145" s="10" t="n">
        <x:f>IFERROR((AY145-BD145)/BD145,"")</x:f>
        <x:v>6.775562465703311</x:v>
      </x:c>
    </x:row>
    <x:row r="146">
      <x:c r="A146" t="str">
        <x:v>Demo P</x:v>
      </x:c>
      <x:c r="B146" t="str">
        <x:v>Create / Refresh All Templates</x:v>
      </x:c>
      <x:c r="C146" t="str">
        <x:v>Write metadata/signature: Template - Demo P</x:v>
      </x:c>
      <x:c r="D146" s="8" t="n">
        <x:v>0.176</x:v>
      </x:c>
      <x:c r="E146" s="8" t="n">
        <x:v>93.764</x:v>
      </x:c>
      <x:c r="F146" s="8" t="n">
        <x:v>0.176</x:v>
      </x:c>
      <x:c r="G146" s="8" t="n">
        <x:v>93.764</x:v>
      </x:c>
      <x:c r="H146" s="8" t="n">
        <x:v>0.072</x:v>
      </x:c>
      <x:c r="I146" s="8" t="n">
        <x:v>120.555</x:v>
      </x:c>
      <x:c r="J146" s="8"/>
      <x:c r="K146" s="8"/>
      <x:c r="L146" s="8"/>
      <x:c r="M146" s="8"/>
      <x:c r="N146" s="8" t="n">
        <x:v>0.057</x:v>
      </x:c>
      <x:c r="O146" s="8" t="n">
        <x:v>116.03</x:v>
      </x:c>
      <x:c r="P146" s="8" t="n">
        <x:v>0.062</x:v>
      </x:c>
      <x:c r="Q146" s="8" t="n">
        <x:v>72.274</x:v>
      </x:c>
      <x:c r="R146" s="8" t="n">
        <x:v>0.062</x:v>
      </x:c>
      <x:c r="S146" s="8" t="n">
        <x:v>72.274</x:v>
      </x:c>
      <x:c r="T146" s="8" t="n">
        <x:v>0.104</x:v>
      </x:c>
      <x:c r="U146" s="8" t="n">
        <x:v>100.537</x:v>
      </x:c>
      <x:c r="V146" s="8" t="n">
        <x:v>0.104</x:v>
      </x:c>
      <x:c r="W146" s="8" t="n">
        <x:v>100.537</x:v>
      </x:c>
      <x:c r="X146" s="8" t="n">
        <x:v>0.176</x:v>
      </x:c>
      <x:c r="Y146" s="8" t="n">
        <x:v>146.569</x:v>
      </x:c>
      <x:c r="Z146" s="8" t="n">
        <x:v>0.176</x:v>
      </x:c>
      <x:c r="AA146" s="8" t="n">
        <x:v>146.569</x:v>
      </x:c>
      <x:c r="AB146" s="8" t="n">
        <x:v>0.077</x:v>
      </x:c>
      <x:c r="AC146" s="8" t="n">
        <x:v>135.45</x:v>
      </x:c>
      <x:c r="AD146" s="8" t="n">
        <x:v>0.077</x:v>
      </x:c>
      <x:c r="AE146" s="8" t="n">
        <x:v>135.45</x:v>
      </x:c>
      <x:c r="AF146" s="8" t="n">
        <x:v>0.126</x:v>
      </x:c>
      <x:c r="AG146" s="8" t="n">
        <x:v>142.329</x:v>
      </x:c>
      <x:c r="AH146" s="8"/>
      <x:c r="AI146" s="8"/>
      <x:c r="AJ146" s="8"/>
      <x:c r="AK146" s="8"/>
      <x:c r="AL146" s="8" t="n">
        <x:v>1.321</x:v>
      </x:c>
      <x:c r="AM146" s="8" t="n">
        <x:v>17.722</x:v>
      </x:c>
      <x:c r="AN146" s="8" t="n">
        <x:v>0.146</x:v>
      </x:c>
      <x:c r="AO146" s="8" t="n">
        <x:v>100.732</x:v>
      </x:c>
      <x:c r="AP146" s="8" t="n">
        <x:v>0.146</x:v>
      </x:c>
      <x:c r="AQ146" s="8" t="n">
        <x:v>100.732</x:v>
      </x:c>
      <x:c r="AR146" s="8" t="n">
        <x:v>0.154</x:v>
      </x:c>
      <x:c r="AS146" s="8" t="n">
        <x:v>143.449</x:v>
      </x:c>
      <x:c r="AT146" s="8" t="n">
        <x:v>0.074</x:v>
      </x:c>
      <x:c r="AU146" s="8" t="n">
        <x:v>104.949</x:v>
      </x:c>
      <x:c r="AV146" s="8" t="n">
        <x:v>0.14</x:v>
      </x:c>
      <x:c r="AW146" s="8" t="n">
        <x:v>126.253</x:v>
      </x:c>
      <x:c r="AX146" s="8" t="n">
        <x:v>0.065</x:v>
      </x:c>
      <x:c r="AY146" s="8" t="n">
        <x:v>127.592</x:v>
      </x:c>
      <x:c r="AZ146" s="8" t="n">
        <x:v>0.065</x:v>
      </x:c>
      <x:c r="BA146" s="8" t="n">
        <x:v>127.592</x:v>
      </x:c>
      <x:c r="BB146" s="8" t="n">
        <x:f>LET(m,MIN(IF(D146&gt;0,D146,1E+99),IF(F146&gt;0,F146,1E+99),IF(H146&gt;0,H146,1E+99),IF(J146&gt;0,J146,1E+99),IF(L146&gt;0,L146,1E+99),IF(N146&gt;0,N146,1E+99),IF(P146&gt;0,P146,1E+99),IF(R146&gt;0,R146,1E+99),IF(T146&gt;0,T146,1E+99),IF(V146&gt;0,V146,1E+99),IF(X146&gt;0,X146,1E+99),IF(Z146&gt;0,Z146,1E+99),IF(AB146&gt;0,AB146,1E+99),IF(AD146&gt;0,AD146,1E+99),IF(AF146&gt;0,AF146,1E+99),IF(AH146&gt;0,AH146,1E+99),IF(AJ146&gt;0,AJ146,1E+99),IF(AL146&gt;0,AL146,1E+99),IF(AN146&gt;0,AN146,1E+99),IF(AP146&gt;0,AP146,1E+99),IF(AR146&gt;0,AR146,1E+99),IF(AT146&gt;0,AT146,1E+99),IF(AV146&gt;0,AV146,1E+99),IF(AX146&gt;0,AX146,1E+99),IF(AZ146&gt;0,AZ146,1E+99)),IF(m=1E+99,"",m))</x:f>
        <x:v>0.057</x:v>
      </x:c>
      <x:c r="BC146" s="12" t="e">
        <x:f>IF(BB146="","",INDEX({"v1.4.20","v1.4.20","v1.4.21","v1.4.21","v1.4.23","v1.4.23","v1.4.26","v1.4.26","v1.4.26.1","v1.4.26.1","v1.4.27","v1.4.27","v1.4.29","v1.4.29","v1.4.30","v1.4.30","v1.4.31","v1.4.31","v1.4.33","v1.4.33","v1.4.35","v1.4.35.2","v1.5","v1.5.1","v1.5.1"},MATCH(BB146,CHOOSE({1,2,3,4,5,6,7,8,9,10,11,12,13,14,15,16,17,18,19,20,21,22,23,24,25},D146,F146,H146,J146,L146,N146,P146,R146,T146,V146,X146,Z146,AB146,AD146,AF146,AH146,AJ146,AL146,AN146,AP146,AR146,AT146,AV146,AX146,AZ146),0)))</x:f>
      </x:c>
      <x:c r="BD146" s="14" t="n">
        <x:f>LET(m,MIN(IF(E146&gt;0,E146,1E+99),IF(G146&gt;0,G146,1E+99),IF(I146&gt;0,I146,1E+99),IF(K146&gt;0,K146,1E+99),IF(M146&gt;0,M146,1E+99),IF(O146&gt;0,O146,1E+99),IF(Q146&gt;0,Q146,1E+99),IF(S146&gt;0,S146,1E+99),IF(U146&gt;0,U146,1E+99),IF(W146&gt;0,W146,1E+99),IF(Y146&gt;0,Y146,1E+99),IF(AA146&gt;0,AA146,1E+99),IF(AC146&gt;0,AC146,1E+99),IF(AE146&gt;0,AE146,1E+99),IF(AG146&gt;0,AG146,1E+99),IF(AI146&gt;0,AI146,1E+99),IF(AK146&gt;0,AK146,1E+99),IF(AM146&gt;0,AM146,1E+99),IF(AO146&gt;0,AO146,1E+99),IF(AQ146&gt;0,AQ146,1E+99),IF(AS146&gt;0,AS146,1E+99),IF(AU146&gt;0,AU146,1E+99),IF(AW146&gt;0,AW146,1E+99),IF(AY146&gt;0,AY146,1E+99),IF(BA146&gt;0,BA146,1E+99)),IF(m=1E+99,"",m))</x:f>
        <x:v>17.722</x:v>
      </x:c>
      <x:c r="BE146" s="16" t="e">
        <x:f>IF(BD146="","",INDEX({"v1.4.20","v1.4.20","v1.4.21","v1.4.21","v1.4.23","v1.4.23","v1.4.26","v1.4.26","v1.4.26.1","v1.4.26.1","v1.4.27","v1.4.27","v1.4.29","v1.4.29","v1.4.30","v1.4.30","v1.4.31","v1.4.31","v1.4.33","v1.4.33","v1.4.35","v1.4.35.2","v1.5","v1.5.1","v1.5.1"},MATCH(BD146,CHOOSE({1,2,3,4,5,6,7,8,9,10,11,12,13,14,15,16,17,18,19,20,21,22,23,24,25},E146,G146,I146,K146,M146,O146,Q146,S146,U146,W146,Y146,AA146,AC146,AE146,AG146,AI146,AK146,AM146,AO146,AQ146,AS146,AU146,AW146,AY146,BA146),0)))</x:f>
      </x:c>
      <x:c r="BF146" s="10" t="n">
        <x:f>IFERROR((AX146-BB146)/BB146,"")</x:f>
        <x:v>0.14035087719298245</x:v>
      </x:c>
      <x:c r="BG146" s="10" t="n">
        <x:f>IFERROR((AY146-BD146)/BD146,"")</x:f>
        <x:v>6.1996388669450395</x:v>
      </x:c>
    </x:row>
    <x:row r="147">
      <x:c r="A147" t="str">
        <x:v>Demo P</x:v>
      </x:c>
      <x:c r="B147" t="str">
        <x:v>Create / Refresh All Templates</x:v>
      </x:c>
      <x:c r="C147" t="str">
        <x:v>Ensure frozen rows: Template - Demo P</x:v>
      </x:c>
      <x:c r="D147" s="8" t="n">
        <x:v>2.354</x:v>
      </x:c>
      <x:c r="E147" s="8" t="n">
        <x:v>96.118</x:v>
      </x:c>
      <x:c r="F147" s="8" t="n">
        <x:v>2.354</x:v>
      </x:c>
      <x:c r="G147" s="8" t="n">
        <x:v>96.118</x:v>
      </x:c>
      <x:c r="H147" s="8" t="n">
        <x:v>4.631</x:v>
      </x:c>
      <x:c r="I147" s="8" t="n">
        <x:v>125.186</x:v>
      </x:c>
      <x:c r="J147" s="8"/>
      <x:c r="K147" s="8"/>
      <x:c r="L147" s="8" t="n">
        <x:v>3.261</x:v>
      </x:c>
      <x:c r="M147" s="8" t="n">
        <x:v>119.291</x:v>
      </x:c>
      <x:c r="N147" s="8" t="n">
        <x:v>3.261</x:v>
      </x:c>
      <x:c r="O147" s="8" t="n">
        <x:v>119.291</x:v>
      </x:c>
      <x:c r="P147" s="8" t="n">
        <x:v>1.69</x:v>
      </x:c>
      <x:c r="Q147" s="8" t="n">
        <x:v>73.964</x:v>
      </x:c>
      <x:c r="R147" s="8" t="n">
        <x:v>1.69</x:v>
      </x:c>
      <x:c r="S147" s="8" t="n">
        <x:v>73.964</x:v>
      </x:c>
      <x:c r="T147" s="8" t="n">
        <x:v>0.145</x:v>
      </x:c>
      <x:c r="U147" s="8" t="n">
        <x:v>100.682</x:v>
      </x:c>
      <x:c r="V147" s="8" t="n">
        <x:v>0.145</x:v>
      </x:c>
      <x:c r="W147" s="8" t="n">
        <x:v>100.682</x:v>
      </x:c>
      <x:c r="X147" s="8" t="n">
        <x:v>3.564</x:v>
      </x:c>
      <x:c r="Y147" s="8" t="n">
        <x:v>150.133</x:v>
      </x:c>
      <x:c r="Z147" s="8" t="n">
        <x:v>3.564</x:v>
      </x:c>
      <x:c r="AA147" s="8" t="n">
        <x:v>150.133</x:v>
      </x:c>
      <x:c r="AB147" s="8" t="n">
        <x:v>0.098</x:v>
      </x:c>
      <x:c r="AC147" s="8" t="n">
        <x:v>135.548</x:v>
      </x:c>
      <x:c r="AD147" s="8" t="n">
        <x:v>0.098</x:v>
      </x:c>
      <x:c r="AE147" s="8" t="n">
        <x:v>135.548</x:v>
      </x:c>
      <x:c r="AF147" s="8" t="n">
        <x:v>0.062</x:v>
      </x:c>
      <x:c r="AG147" s="8" t="n">
        <x:v>142.391</x:v>
      </x:c>
      <x:c r="AH147" s="8"/>
      <x:c r="AI147" s="8"/>
      <x:c r="AJ147" s="8"/>
      <x:c r="AK147" s="8"/>
      <x:c r="AL147" s="8" t="n">
        <x:v>0.125</x:v>
      </x:c>
      <x:c r="AM147" s="8" t="n">
        <x:v>17.847</x:v>
      </x:c>
      <x:c r="AN147" s="8" t="n">
        <x:v>0.147</x:v>
      </x:c>
      <x:c r="AO147" s="8" t="n">
        <x:v>100.879</x:v>
      </x:c>
      <x:c r="AP147" s="8" t="n">
        <x:v>0.147</x:v>
      </x:c>
      <x:c r="AQ147" s="8" t="n">
        <x:v>100.879</x:v>
      </x:c>
      <x:c r="AR147" s="8" t="n">
        <x:v>4.595</x:v>
      </x:c>
      <x:c r="AS147" s="8" t="n">
        <x:v>148.044</x:v>
      </x:c>
      <x:c r="AT147" s="8" t="n">
        <x:v>2.867</x:v>
      </x:c>
      <x:c r="AU147" s="8" t="n">
        <x:v>107.816</x:v>
      </x:c>
      <x:c r="AV147" s="8" t="n">
        <x:v>3.063</x:v>
      </x:c>
      <x:c r="AW147" s="8" t="n">
        <x:v>129.316</x:v>
      </x:c>
      <x:c r="AX147" s="8" t="n">
        <x:v>3.194</x:v>
      </x:c>
      <x:c r="AY147" s="8" t="n">
        <x:v>130.786</x:v>
      </x:c>
      <x:c r="AZ147" s="8" t="n">
        <x:v>3.194</x:v>
      </x:c>
      <x:c r="BA147" s="8" t="n">
        <x:v>130.786</x:v>
      </x:c>
      <x:c r="BB147" s="8" t="n">
        <x:f>LET(m,MIN(IF(D147&gt;0,D147,1E+99),IF(F147&gt;0,F147,1E+99),IF(H147&gt;0,H147,1E+99),IF(J147&gt;0,J147,1E+99),IF(L147&gt;0,L147,1E+99),IF(N147&gt;0,N147,1E+99),IF(P147&gt;0,P147,1E+99),IF(R147&gt;0,R147,1E+99),IF(T147&gt;0,T147,1E+99),IF(V147&gt;0,V147,1E+99),IF(X147&gt;0,X147,1E+99),IF(Z147&gt;0,Z147,1E+99),IF(AB147&gt;0,AB147,1E+99),IF(AD147&gt;0,AD147,1E+99),IF(AF147&gt;0,AF147,1E+99),IF(AH147&gt;0,AH147,1E+99),IF(AJ147&gt;0,AJ147,1E+99),IF(AL147&gt;0,AL147,1E+99),IF(AN147&gt;0,AN147,1E+99),IF(AP147&gt;0,AP147,1E+99),IF(AR147&gt;0,AR147,1E+99),IF(AT147&gt;0,AT147,1E+99),IF(AV147&gt;0,AV147,1E+99),IF(AX147&gt;0,AX147,1E+99),IF(AZ147&gt;0,AZ147,1E+99)),IF(m=1E+99,"",m))</x:f>
        <x:v>0.062</x:v>
      </x:c>
      <x:c r="BC147" s="12" t="e">
        <x:f>IF(BB147="","",INDEX({"v1.4.20","v1.4.20","v1.4.21","v1.4.21","v1.4.23","v1.4.23","v1.4.26","v1.4.26","v1.4.26.1","v1.4.26.1","v1.4.27","v1.4.27","v1.4.29","v1.4.29","v1.4.30","v1.4.30","v1.4.31","v1.4.31","v1.4.33","v1.4.33","v1.4.35","v1.4.35.2","v1.5","v1.5.1","v1.5.1"},MATCH(BB147,CHOOSE({1,2,3,4,5,6,7,8,9,10,11,12,13,14,15,16,17,18,19,20,21,22,23,24,25},D147,F147,H147,J147,L147,N147,P147,R147,T147,V147,X147,Z147,AB147,AD147,AF147,AH147,AJ147,AL147,AN147,AP147,AR147,AT147,AV147,AX147,AZ147),0)))</x:f>
      </x:c>
      <x:c r="BD147" s="14" t="n">
        <x:f>LET(m,MIN(IF(E147&gt;0,E147,1E+99),IF(G147&gt;0,G147,1E+99),IF(I147&gt;0,I147,1E+99),IF(K147&gt;0,K147,1E+99),IF(M147&gt;0,M147,1E+99),IF(O147&gt;0,O147,1E+99),IF(Q147&gt;0,Q147,1E+99),IF(S147&gt;0,S147,1E+99),IF(U147&gt;0,U147,1E+99),IF(W147&gt;0,W147,1E+99),IF(Y147&gt;0,Y147,1E+99),IF(AA147&gt;0,AA147,1E+99),IF(AC147&gt;0,AC147,1E+99),IF(AE147&gt;0,AE147,1E+99),IF(AG147&gt;0,AG147,1E+99),IF(AI147&gt;0,AI147,1E+99),IF(AK147&gt;0,AK147,1E+99),IF(AM147&gt;0,AM147,1E+99),IF(AO147&gt;0,AO147,1E+99),IF(AQ147&gt;0,AQ147,1E+99),IF(AS147&gt;0,AS147,1E+99),IF(AU147&gt;0,AU147,1E+99),IF(AW147&gt;0,AW147,1E+99),IF(AY147&gt;0,AY147,1E+99),IF(BA147&gt;0,BA147,1E+99)),IF(m=1E+99,"",m))</x:f>
        <x:v>17.847</x:v>
      </x:c>
      <x:c r="BE147" s="16" t="e">
        <x:f>IF(BD147="","",INDEX({"v1.4.20","v1.4.20","v1.4.21","v1.4.21","v1.4.23","v1.4.23","v1.4.26","v1.4.26","v1.4.26.1","v1.4.26.1","v1.4.27","v1.4.27","v1.4.29","v1.4.29","v1.4.30","v1.4.30","v1.4.31","v1.4.31","v1.4.33","v1.4.33","v1.4.35","v1.4.35.2","v1.5","v1.5.1","v1.5.1"},MATCH(BD147,CHOOSE({1,2,3,4,5,6,7,8,9,10,11,12,13,14,15,16,17,18,19,20,21,22,23,24,25},E147,G147,I147,K147,M147,O147,Q147,S147,U147,W147,Y147,AA147,AC147,AE147,AG147,AI147,AK147,AM147,AO147,AQ147,AS147,AU147,AW147,AY147,BA147),0)))</x:f>
      </x:c>
      <x:c r="BF147" s="10" t="n">
        <x:f>IFERROR((AX147-BB147)/BB147,"")</x:f>
        <x:v>50.516129032258064</x:v>
      </x:c>
      <x:c r="BG147" s="10" t="n">
        <x:f>IFERROR((AY147-BD147)/BD147,"")</x:f>
        <x:v>6.328178405334229</x:v>
      </x:c>
    </x:row>
    <x:row r="148">
      <x:c r="A148" t="str">
        <x:v>Demo P</x:v>
      </x:c>
      <x:c r="B148" t="str">
        <x:v>Create / Refresh All Templates</x:v>
      </x:c>
      <x:c r="C148" t="str">
        <x:v>Ensure frozen columns: Template - Demo P</x:v>
      </x:c>
      <x:c r="D148" s="8" t="n">
        <x:v>0.658</x:v>
      </x:c>
      <x:c r="E148" s="8" t="n">
        <x:v>96.776</x:v>
      </x:c>
      <x:c r="F148" s="8" t="n">
        <x:v>0.658</x:v>
      </x:c>
      <x:c r="G148" s="8" t="n">
        <x:v>96.776</x:v>
      </x:c>
      <x:c r="H148" s="8" t="n">
        <x:v>0.219</x:v>
      </x:c>
      <x:c r="I148" s="8" t="n">
        <x:v>125.405</x:v>
      </x:c>
      <x:c r="J148" s="8"/>
      <x:c r="K148" s="8"/>
      <x:c r="L148" s="8" t="n">
        <x:v>0.695</x:v>
      </x:c>
      <x:c r="M148" s="8" t="n">
        <x:v>119.986</x:v>
      </x:c>
      <x:c r="N148" s="8" t="n">
        <x:v>0.695</x:v>
      </x:c>
      <x:c r="O148" s="8" t="n">
        <x:v>119.986</x:v>
      </x:c>
      <x:c r="P148" s="8" t="n">
        <x:v>0.489</x:v>
      </x:c>
      <x:c r="Q148" s="8" t="n">
        <x:v>74.453</x:v>
      </x:c>
      <x:c r="R148" s="8" t="n">
        <x:v>0.489</x:v>
      </x:c>
      <x:c r="S148" s="8" t="n">
        <x:v>74.453</x:v>
      </x:c>
      <x:c r="T148" s="8" t="n">
        <x:v>0.651</x:v>
      </x:c>
      <x:c r="U148" s="8" t="n">
        <x:v>101.333</x:v>
      </x:c>
      <x:c r="V148" s="8" t="n">
        <x:v>0.651</x:v>
      </x:c>
      <x:c r="W148" s="8" t="n">
        <x:v>101.333</x:v>
      </x:c>
      <x:c r="X148" s="8" t="n">
        <x:v>0.843</x:v>
      </x:c>
      <x:c r="Y148" s="8" t="n">
        <x:v>150.976</x:v>
      </x:c>
      <x:c r="Z148" s="8" t="n">
        <x:v>0.843</x:v>
      </x:c>
      <x:c r="AA148" s="8" t="n">
        <x:v>150.976</x:v>
      </x:c>
      <x:c r="AB148" s="8" t="n">
        <x:v>0.806</x:v>
      </x:c>
      <x:c r="AC148" s="8" t="n">
        <x:v>136.354</x:v>
      </x:c>
      <x:c r="AD148" s="8" t="n">
        <x:v>0.806</x:v>
      </x:c>
      <x:c r="AE148" s="8" t="n">
        <x:v>136.354</x:v>
      </x:c>
      <x:c r="AF148" s="8" t="n">
        <x:v>0.87</x:v>
      </x:c>
      <x:c r="AG148" s="8" t="n">
        <x:v>143.261</x:v>
      </x:c>
      <x:c r="AH148" s="8"/>
      <x:c r="AI148" s="8"/>
      <x:c r="AJ148" s="8"/>
      <x:c r="AK148" s="8"/>
      <x:c r="AL148" s="8" t="n">
        <x:v>0.3</x:v>
      </x:c>
      <x:c r="AM148" s="8" t="n">
        <x:v>18.147</x:v>
      </x:c>
      <x:c r="AN148" s="8" t="n">
        <x:v>0.633</x:v>
      </x:c>
      <x:c r="AO148" s="8" t="n">
        <x:v>101.512</x:v>
      </x:c>
      <x:c r="AP148" s="8" t="n">
        <x:v>0.633</x:v>
      </x:c>
      <x:c r="AQ148" s="8" t="n">
        <x:v>101.512</x:v>
      </x:c>
      <x:c r="AR148" s="8" t="n">
        <x:v>0.919</x:v>
      </x:c>
      <x:c r="AS148" s="8" t="n">
        <x:v>148.963</x:v>
      </x:c>
      <x:c r="AT148" s="8" t="n">
        <x:v>0.607</x:v>
      </x:c>
      <x:c r="AU148" s="8" t="n">
        <x:v>108.423</x:v>
      </x:c>
      <x:c r="AV148" s="8" t="n">
        <x:v>0.882</x:v>
      </x:c>
      <x:c r="AW148" s="8" t="n">
        <x:v>130.198</x:v>
      </x:c>
      <x:c r="AX148" s="8" t="n">
        <x:v>0.858</x:v>
      </x:c>
      <x:c r="AY148" s="8" t="n">
        <x:v>131.644</x:v>
      </x:c>
      <x:c r="AZ148" s="8" t="n">
        <x:v>0.858</x:v>
      </x:c>
      <x:c r="BA148" s="8" t="n">
        <x:v>131.644</x:v>
      </x:c>
      <x:c r="BB148" s="8" t="n">
        <x:f>LET(m,MIN(IF(D148&gt;0,D148,1E+99),IF(F148&gt;0,F148,1E+99),IF(H148&gt;0,H148,1E+99),IF(J148&gt;0,J148,1E+99),IF(L148&gt;0,L148,1E+99),IF(N148&gt;0,N148,1E+99),IF(P148&gt;0,P148,1E+99),IF(R148&gt;0,R148,1E+99),IF(T148&gt;0,T148,1E+99),IF(V148&gt;0,V148,1E+99),IF(X148&gt;0,X148,1E+99),IF(Z148&gt;0,Z148,1E+99),IF(AB148&gt;0,AB148,1E+99),IF(AD148&gt;0,AD148,1E+99),IF(AF148&gt;0,AF148,1E+99),IF(AH148&gt;0,AH148,1E+99),IF(AJ148&gt;0,AJ148,1E+99),IF(AL148&gt;0,AL148,1E+99),IF(AN148&gt;0,AN148,1E+99),IF(AP148&gt;0,AP148,1E+99),IF(AR148&gt;0,AR148,1E+99),IF(AT148&gt;0,AT148,1E+99),IF(AV148&gt;0,AV148,1E+99),IF(AX148&gt;0,AX148,1E+99),IF(AZ148&gt;0,AZ148,1E+99)),IF(m=1E+99,"",m))</x:f>
        <x:v>0.219</x:v>
      </x:c>
      <x:c r="BC148" s="12" t="e">
        <x:f>IF(BB148="","",INDEX({"v1.4.20","v1.4.20","v1.4.21","v1.4.21","v1.4.23","v1.4.23","v1.4.26","v1.4.26","v1.4.26.1","v1.4.26.1","v1.4.27","v1.4.27","v1.4.29","v1.4.29","v1.4.30","v1.4.30","v1.4.31","v1.4.31","v1.4.33","v1.4.33","v1.4.35","v1.4.35.2","v1.5","v1.5.1","v1.5.1"},MATCH(BB148,CHOOSE({1,2,3,4,5,6,7,8,9,10,11,12,13,14,15,16,17,18,19,20,21,22,23,24,25},D148,F148,H148,J148,L148,N148,P148,R148,T148,V148,X148,Z148,AB148,AD148,AF148,AH148,AJ148,AL148,AN148,AP148,AR148,AT148,AV148,AX148,AZ148),0)))</x:f>
      </x:c>
      <x:c r="BD148" s="14" t="n">
        <x:f>LET(m,MIN(IF(E148&gt;0,E148,1E+99),IF(G148&gt;0,G148,1E+99),IF(I148&gt;0,I148,1E+99),IF(K148&gt;0,K148,1E+99),IF(M148&gt;0,M148,1E+99),IF(O148&gt;0,O148,1E+99),IF(Q148&gt;0,Q148,1E+99),IF(S148&gt;0,S148,1E+99),IF(U148&gt;0,U148,1E+99),IF(W148&gt;0,W148,1E+99),IF(Y148&gt;0,Y148,1E+99),IF(AA148&gt;0,AA148,1E+99),IF(AC148&gt;0,AC148,1E+99),IF(AE148&gt;0,AE148,1E+99),IF(AG148&gt;0,AG148,1E+99),IF(AI148&gt;0,AI148,1E+99),IF(AK148&gt;0,AK148,1E+99),IF(AM148&gt;0,AM148,1E+99),IF(AO148&gt;0,AO148,1E+99),IF(AQ148&gt;0,AQ148,1E+99),IF(AS148&gt;0,AS148,1E+99),IF(AU148&gt;0,AU148,1E+99),IF(AW148&gt;0,AW148,1E+99),IF(AY148&gt;0,AY148,1E+99),IF(BA148&gt;0,BA148,1E+99)),IF(m=1E+99,"",m))</x:f>
        <x:v>18.147</x:v>
      </x:c>
      <x:c r="BE148" s="16" t="e">
        <x:f>IF(BD148="","",INDEX({"v1.4.20","v1.4.20","v1.4.21","v1.4.21","v1.4.23","v1.4.23","v1.4.26","v1.4.26","v1.4.26.1","v1.4.26.1","v1.4.27","v1.4.27","v1.4.29","v1.4.29","v1.4.30","v1.4.30","v1.4.31","v1.4.31","v1.4.33","v1.4.33","v1.4.35","v1.4.35.2","v1.5","v1.5.1","v1.5.1"},MATCH(BD148,CHOOSE({1,2,3,4,5,6,7,8,9,10,11,12,13,14,15,16,17,18,19,20,21,22,23,24,25},E148,G148,I148,K148,M148,O148,Q148,S148,U148,W148,Y148,AA148,AC148,AE148,AG148,AI148,AK148,AM148,AO148,AQ148,AS148,AU148,AW148,AY148,BA148),0)))</x:f>
      </x:c>
      <x:c r="BF148" s="10" t="n">
        <x:f>IFERROR((AX148-BB148)/BB148,"")</x:f>
        <x:v>2.9178082191780823</x:v>
      </x:c>
      <x:c r="BG148" s="10" t="n">
        <x:f>IFERROR((AY148-BD148)/BD148,"")</x:f>
        <x:v>6.254312007494353</x:v>
      </x:c>
    </x:row>
    <x:row r="149">
      <x:c r="A149" t="str">
        <x:v>Demo P</x:v>
      </x:c>
      <x:c r="B149" t="str">
        <x:v>Create / Refresh All Templates</x:v>
      </x:c>
      <x:c r="C149" t="str">
        <x:v>Ensure tab color: Template - Demo P</x:v>
      </x:c>
      <x:c r="D149" s="8" t="n">
        <x:v>0.894</x:v>
      </x:c>
      <x:c r="E149" s="8" t="n">
        <x:v>97.67</x:v>
      </x:c>
      <x:c r="F149" s="8" t="n">
        <x:v>0.894</x:v>
      </x:c>
      <x:c r="G149" s="8" t="n">
        <x:v>97.67</x:v>
      </x:c>
      <x:c r="H149" s="8" t="n">
        <x:v>0.665</x:v>
      </x:c>
      <x:c r="I149" s="8" t="n">
        <x:v>126.07</x:v>
      </x:c>
      <x:c r="J149" s="8"/>
      <x:c r="K149" s="8"/>
      <x:c r="L149" s="8" t="n">
        <x:v>0.805</x:v>
      </x:c>
      <x:c r="M149" s="8" t="n">
        <x:v>120.791</x:v>
      </x:c>
      <x:c r="N149" s="8" t="n">
        <x:v>0.805</x:v>
      </x:c>
      <x:c r="O149" s="8" t="n">
        <x:v>120.791</x:v>
      </x:c>
      <x:c r="P149" s="8" t="n">
        <x:v>0.562</x:v>
      </x:c>
      <x:c r="Q149" s="8" t="n">
        <x:v>75.015</x:v>
      </x:c>
      <x:c r="R149" s="8" t="n">
        <x:v>0.562</x:v>
      </x:c>
      <x:c r="S149" s="8" t="n">
        <x:v>75.015</x:v>
      </x:c>
      <x:c r="T149" s="8" t="n">
        <x:v>0.583</x:v>
      </x:c>
      <x:c r="U149" s="8" t="n">
        <x:v>101.916</x:v>
      </x:c>
      <x:c r="V149" s="8" t="n">
        <x:v>0.583</x:v>
      </x:c>
      <x:c r="W149" s="8" t="n">
        <x:v>101.916</x:v>
      </x:c>
      <x:c r="X149" s="8" t="n">
        <x:v>0.893</x:v>
      </x:c>
      <x:c r="Y149" s="8" t="n">
        <x:v>151.869</x:v>
      </x:c>
      <x:c r="Z149" s="8" t="n">
        <x:v>0.893</x:v>
      </x:c>
      <x:c r="AA149" s="8" t="n">
        <x:v>151.869</x:v>
      </x:c>
      <x:c r="AB149" s="8" t="n">
        <x:v>0.874</x:v>
      </x:c>
      <x:c r="AC149" s="8" t="n">
        <x:v>137.228</x:v>
      </x:c>
      <x:c r="AD149" s="8" t="n">
        <x:v>0.874</x:v>
      </x:c>
      <x:c r="AE149" s="8" t="n">
        <x:v>137.228</x:v>
      </x:c>
      <x:c r="AF149" s="8" t="n">
        <x:v>0.832</x:v>
      </x:c>
      <x:c r="AG149" s="8" t="n">
        <x:v>144.093</x:v>
      </x:c>
      <x:c r="AH149" s="8"/>
      <x:c r="AI149" s="8"/>
      <x:c r="AJ149" s="8"/>
      <x:c r="AK149" s="8"/>
      <x:c r="AL149" s="8" t="n">
        <x:v>0.314</x:v>
      </x:c>
      <x:c r="AM149" s="8" t="n">
        <x:v>18.461</x:v>
      </x:c>
      <x:c r="AN149" s="8" t="n">
        <x:v>0.629</x:v>
      </x:c>
      <x:c r="AO149" s="8" t="n">
        <x:v>102.141</x:v>
      </x:c>
      <x:c r="AP149" s="8" t="n">
        <x:v>0.629</x:v>
      </x:c>
      <x:c r="AQ149" s="8" t="n">
        <x:v>102.141</x:v>
      </x:c>
      <x:c r="AR149" s="8" t="n">
        <x:v>0.967</x:v>
      </x:c>
      <x:c r="AS149" s="8" t="n">
        <x:v>149.93</x:v>
      </x:c>
      <x:c r="AT149" s="8" t="n">
        <x:v>0.742</x:v>
      </x:c>
      <x:c r="AU149" s="8" t="n">
        <x:v>109.165</x:v>
      </x:c>
      <x:c r="AV149" s="8" t="n">
        <x:v>0.839</x:v>
      </x:c>
      <x:c r="AW149" s="8" t="n">
        <x:v>131.037</x:v>
      </x:c>
      <x:c r="AX149" s="8" t="n">
        <x:v>0.909</x:v>
      </x:c>
      <x:c r="AY149" s="8" t="n">
        <x:v>132.553</x:v>
      </x:c>
      <x:c r="AZ149" s="8" t="n">
        <x:v>0.909</x:v>
      </x:c>
      <x:c r="BA149" s="8" t="n">
        <x:v>132.553</x:v>
      </x:c>
      <x:c r="BB149" s="8" t="n">
        <x:f>LET(m,MIN(IF(D149&gt;0,D149,1E+99),IF(F149&gt;0,F149,1E+99),IF(H149&gt;0,H149,1E+99),IF(J149&gt;0,J149,1E+99),IF(L149&gt;0,L149,1E+99),IF(N149&gt;0,N149,1E+99),IF(P149&gt;0,P149,1E+99),IF(R149&gt;0,R149,1E+99),IF(T149&gt;0,T149,1E+99),IF(V149&gt;0,V149,1E+99),IF(X149&gt;0,X149,1E+99),IF(Z149&gt;0,Z149,1E+99),IF(AB149&gt;0,AB149,1E+99),IF(AD149&gt;0,AD149,1E+99),IF(AF149&gt;0,AF149,1E+99),IF(AH149&gt;0,AH149,1E+99),IF(AJ149&gt;0,AJ149,1E+99),IF(AL149&gt;0,AL149,1E+99),IF(AN149&gt;0,AN149,1E+99),IF(AP149&gt;0,AP149,1E+99),IF(AR149&gt;0,AR149,1E+99),IF(AT149&gt;0,AT149,1E+99),IF(AV149&gt;0,AV149,1E+99),IF(AX149&gt;0,AX149,1E+99),IF(AZ149&gt;0,AZ149,1E+99)),IF(m=1E+99,"",m))</x:f>
        <x:v>0.314</x:v>
      </x:c>
      <x:c r="BC149" s="12" t="e">
        <x:f>IF(BB149="","",INDEX({"v1.4.20","v1.4.20","v1.4.21","v1.4.21","v1.4.23","v1.4.23","v1.4.26","v1.4.26","v1.4.26.1","v1.4.26.1","v1.4.27","v1.4.27","v1.4.29","v1.4.29","v1.4.30","v1.4.30","v1.4.31","v1.4.31","v1.4.33","v1.4.33","v1.4.35","v1.4.35.2","v1.5","v1.5.1","v1.5.1"},MATCH(BB149,CHOOSE({1,2,3,4,5,6,7,8,9,10,11,12,13,14,15,16,17,18,19,20,21,22,23,24,25},D149,F149,H149,J149,L149,N149,P149,R149,T149,V149,X149,Z149,AB149,AD149,AF149,AH149,AJ149,AL149,AN149,AP149,AR149,AT149,AV149,AX149,AZ149),0)))</x:f>
      </x:c>
      <x:c r="BD149" s="14" t="n">
        <x:f>LET(m,MIN(IF(E149&gt;0,E149,1E+99),IF(G149&gt;0,G149,1E+99),IF(I149&gt;0,I149,1E+99),IF(K149&gt;0,K149,1E+99),IF(M149&gt;0,M149,1E+99),IF(O149&gt;0,O149,1E+99),IF(Q149&gt;0,Q149,1E+99),IF(S149&gt;0,S149,1E+99),IF(U149&gt;0,U149,1E+99),IF(W149&gt;0,W149,1E+99),IF(Y149&gt;0,Y149,1E+99),IF(AA149&gt;0,AA149,1E+99),IF(AC149&gt;0,AC149,1E+99),IF(AE149&gt;0,AE149,1E+99),IF(AG149&gt;0,AG149,1E+99),IF(AI149&gt;0,AI149,1E+99),IF(AK149&gt;0,AK149,1E+99),IF(AM149&gt;0,AM149,1E+99),IF(AO149&gt;0,AO149,1E+99),IF(AQ149&gt;0,AQ149,1E+99),IF(AS149&gt;0,AS149,1E+99),IF(AU149&gt;0,AU149,1E+99),IF(AW149&gt;0,AW149,1E+99),IF(AY149&gt;0,AY149,1E+99),IF(BA149&gt;0,BA149,1E+99)),IF(m=1E+99,"",m))</x:f>
        <x:v>18.461</x:v>
      </x:c>
      <x:c r="BE149" s="16" t="e">
        <x:f>IF(BD149="","",INDEX({"v1.4.20","v1.4.20","v1.4.21","v1.4.21","v1.4.23","v1.4.23","v1.4.26","v1.4.26","v1.4.26.1","v1.4.26.1","v1.4.27","v1.4.27","v1.4.29","v1.4.29","v1.4.30","v1.4.30","v1.4.31","v1.4.31","v1.4.33","v1.4.33","v1.4.35","v1.4.35.2","v1.5","v1.5.1","v1.5.1"},MATCH(BD149,CHOOSE({1,2,3,4,5,6,7,8,9,10,11,12,13,14,15,16,17,18,19,20,21,22,23,24,25},E149,G149,I149,K149,M149,O149,Q149,S149,U149,W149,Y149,AA149,AC149,AE149,AG149,AI149,AK149,AM149,AO149,AQ149,AS149,AU149,AW149,AY149,BA149),0)))</x:f>
      </x:c>
      <x:c r="BF149" s="10" t="n">
        <x:f>IFERROR((AX149-BB149)/BB149,"")</x:f>
        <x:v>1.894904458598726</x:v>
      </x:c>
      <x:c r="BG149" s="10" t="n">
        <x:f>IFERROR((AY149-BD149)/BD149,"")</x:f>
        <x:v>6.180163588104653</x:v>
      </x:c>
    </x:row>
    <x:row r="150">
      <x:c r="A150" t="str">
        <x:v>Demo P</x:v>
      </x:c>
      <x:c r="B150" t="str">
        <x:v>Create / Refresh All Templates</x:v>
      </x:c>
      <x:c r="C150" t="str">
        <x:v>Final date/number format enforcement: Template - Demo P</x:v>
      </x:c>
      <x:c r="D150" s="8" t="n">
        <x:v>0.915</x:v>
      </x:c>
      <x:c r="E150" s="8" t="n">
        <x:v>98.585</x:v>
      </x:c>
      <x:c r="F150" s="8" t="n">
        <x:v>0.915</x:v>
      </x:c>
      <x:c r="G150" s="8" t="n">
        <x:v>98.585</x:v>
      </x:c>
      <x:c r="H150" s="8" t="n">
        <x:v>0.78</x:v>
      </x:c>
      <x:c r="I150" s="8" t="n">
        <x:v>126.85</x:v>
      </x:c>
      <x:c r="J150" s="8"/>
      <x:c r="K150" s="8"/>
      <x:c r="L150" s="8" t="n">
        <x:v>0.934</x:v>
      </x:c>
      <x:c r="M150" s="8" t="n">
        <x:v>121.725</x:v>
      </x:c>
      <x:c r="N150" s="8" t="n">
        <x:v>0.934</x:v>
      </x:c>
      <x:c r="O150" s="8" t="n">
        <x:v>121.725</x:v>
      </x:c>
      <x:c r="P150" s="8" t="n">
        <x:v>1.465</x:v>
      </x:c>
      <x:c r="Q150" s="8" t="n">
        <x:v>76.48</x:v>
      </x:c>
      <x:c r="R150" s="8" t="n">
        <x:v>1.465</x:v>
      </x:c>
      <x:c r="S150" s="8" t="n">
        <x:v>76.48</x:v>
      </x:c>
      <x:c r="T150" s="8" t="n">
        <x:v>1.151</x:v>
      </x:c>
      <x:c r="U150" s="8" t="n">
        <x:v>103.067</x:v>
      </x:c>
      <x:c r="V150" s="8" t="n">
        <x:v>1.151</x:v>
      </x:c>
      <x:c r="W150" s="8" t="n">
        <x:v>103.067</x:v>
      </x:c>
      <x:c r="X150" s="8" t="n">
        <x:v>1.345</x:v>
      </x:c>
      <x:c r="Y150" s="8" t="n">
        <x:v>153.214</x:v>
      </x:c>
      <x:c r="Z150" s="8" t="n">
        <x:v>1.345</x:v>
      </x:c>
      <x:c r="AA150" s="8" t="n">
        <x:v>153.214</x:v>
      </x:c>
      <x:c r="AB150" s="8" t="n">
        <x:v>1.002</x:v>
      </x:c>
      <x:c r="AC150" s="8" t="n">
        <x:v>138.23</x:v>
      </x:c>
      <x:c r="AD150" s="8" t="n">
        <x:v>1.002</x:v>
      </x:c>
      <x:c r="AE150" s="8" t="n">
        <x:v>138.23</x:v>
      </x:c>
      <x:c r="AF150" s="8" t="n">
        <x:v>1.02</x:v>
      </x:c>
      <x:c r="AG150" s="8" t="n">
        <x:v>145.113</x:v>
      </x:c>
      <x:c r="AH150" s="8"/>
      <x:c r="AI150" s="8"/>
      <x:c r="AJ150" s="8"/>
      <x:c r="AK150" s="8"/>
      <x:c r="AL150" s="8" t="n">
        <x:v>0.507</x:v>
      </x:c>
      <x:c r="AM150" s="8" t="n">
        <x:v>18.968</x:v>
      </x:c>
      <x:c r="AN150" s="8" t="n">
        <x:v>0.797</x:v>
      </x:c>
      <x:c r="AO150" s="8" t="n">
        <x:v>102.938</x:v>
      </x:c>
      <x:c r="AP150" s="8" t="n">
        <x:v>0.797</x:v>
      </x:c>
      <x:c r="AQ150" s="8" t="n">
        <x:v>102.938</x:v>
      </x:c>
      <x:c r="AR150" s="8" t="n">
        <x:v>1.247</x:v>
      </x:c>
      <x:c r="AS150" s="8" t="n">
        <x:v>151.177</x:v>
      </x:c>
      <x:c r="AT150" s="8" t="n">
        <x:v>1.896</x:v>
      </x:c>
      <x:c r="AU150" s="8" t="n">
        <x:v>111.061</x:v>
      </x:c>
      <x:c r="AV150" s="8" t="n">
        <x:v>1.02</x:v>
      </x:c>
      <x:c r="AW150" s="8" t="n">
        <x:v>132.057</x:v>
      </x:c>
      <x:c r="AX150" s="8" t="n">
        <x:v>1.139</x:v>
      </x:c>
      <x:c r="AY150" s="8" t="n">
        <x:v>133.692</x:v>
      </x:c>
      <x:c r="AZ150" s="8" t="n">
        <x:v>1.139</x:v>
      </x:c>
      <x:c r="BA150" s="8" t="n">
        <x:v>133.692</x:v>
      </x:c>
      <x:c r="BB150" s="8" t="n">
        <x:f>LET(m,MIN(IF(D150&gt;0,D150,1E+99),IF(F150&gt;0,F150,1E+99),IF(H150&gt;0,H150,1E+99),IF(J150&gt;0,J150,1E+99),IF(L150&gt;0,L150,1E+99),IF(N150&gt;0,N150,1E+99),IF(P150&gt;0,P150,1E+99),IF(R150&gt;0,R150,1E+99),IF(T150&gt;0,T150,1E+99),IF(V150&gt;0,V150,1E+99),IF(X150&gt;0,X150,1E+99),IF(Z150&gt;0,Z150,1E+99),IF(AB150&gt;0,AB150,1E+99),IF(AD150&gt;0,AD150,1E+99),IF(AF150&gt;0,AF150,1E+99),IF(AH150&gt;0,AH150,1E+99),IF(AJ150&gt;0,AJ150,1E+99),IF(AL150&gt;0,AL150,1E+99),IF(AN150&gt;0,AN150,1E+99),IF(AP150&gt;0,AP150,1E+99),IF(AR150&gt;0,AR150,1E+99),IF(AT150&gt;0,AT150,1E+99),IF(AV150&gt;0,AV150,1E+99),IF(AX150&gt;0,AX150,1E+99),IF(AZ150&gt;0,AZ150,1E+99)),IF(m=1E+99,"",m))</x:f>
        <x:v>0.507</x:v>
      </x:c>
      <x:c r="BC150" s="12" t="e">
        <x:f>IF(BB150="","",INDEX({"v1.4.20","v1.4.20","v1.4.21","v1.4.21","v1.4.23","v1.4.23","v1.4.26","v1.4.26","v1.4.26.1","v1.4.26.1","v1.4.27","v1.4.27","v1.4.29","v1.4.29","v1.4.30","v1.4.30","v1.4.31","v1.4.31","v1.4.33","v1.4.33","v1.4.35","v1.4.35.2","v1.5","v1.5.1","v1.5.1"},MATCH(BB150,CHOOSE({1,2,3,4,5,6,7,8,9,10,11,12,13,14,15,16,17,18,19,20,21,22,23,24,25},D150,F150,H150,J150,L150,N150,P150,R150,T150,V150,X150,Z150,AB150,AD150,AF150,AH150,AJ150,AL150,AN150,AP150,AR150,AT150,AV150,AX150,AZ150),0)))</x:f>
      </x:c>
      <x:c r="BD150" s="14" t="n">
        <x:f>LET(m,MIN(IF(E150&gt;0,E150,1E+99),IF(G150&gt;0,G150,1E+99),IF(I150&gt;0,I150,1E+99),IF(K150&gt;0,K150,1E+99),IF(M150&gt;0,M150,1E+99),IF(O150&gt;0,O150,1E+99),IF(Q150&gt;0,Q150,1E+99),IF(S150&gt;0,S150,1E+99),IF(U150&gt;0,U150,1E+99),IF(W150&gt;0,W150,1E+99),IF(Y150&gt;0,Y150,1E+99),IF(AA150&gt;0,AA150,1E+99),IF(AC150&gt;0,AC150,1E+99),IF(AE150&gt;0,AE150,1E+99),IF(AG150&gt;0,AG150,1E+99),IF(AI150&gt;0,AI150,1E+99),IF(AK150&gt;0,AK150,1E+99),IF(AM150&gt;0,AM150,1E+99),IF(AO150&gt;0,AO150,1E+99),IF(AQ150&gt;0,AQ150,1E+99),IF(AS150&gt;0,AS150,1E+99),IF(AU150&gt;0,AU150,1E+99),IF(AW150&gt;0,AW150,1E+99),IF(AY150&gt;0,AY150,1E+99),IF(BA150&gt;0,BA150,1E+99)),IF(m=1E+99,"",m))</x:f>
        <x:v>18.968</x:v>
      </x:c>
      <x:c r="BE150" s="16" t="e">
        <x:f>IF(BD150="","",INDEX({"v1.4.20","v1.4.20","v1.4.21","v1.4.21","v1.4.23","v1.4.23","v1.4.26","v1.4.26","v1.4.26.1","v1.4.26.1","v1.4.27","v1.4.27","v1.4.29","v1.4.29","v1.4.30","v1.4.30","v1.4.31","v1.4.31","v1.4.33","v1.4.33","v1.4.35","v1.4.35.2","v1.5","v1.5.1","v1.5.1"},MATCH(BD150,CHOOSE({1,2,3,4,5,6,7,8,9,10,11,12,13,14,15,16,17,18,19,20,21,22,23,24,25},E150,G150,I150,K150,M150,O150,Q150,S150,U150,W150,Y150,AA150,AC150,AE150,AG150,AI150,AK150,AM150,AO150,AQ150,AS150,AU150,AW150,AY150,BA150),0)))</x:f>
      </x:c>
      <x:c r="BF150" s="10" t="n">
        <x:f>IFERROR((AX150-BB150)/BB150,"")</x:f>
        <x:v>1.2465483234714003</x:v>
      </x:c>
      <x:c r="BG150" s="10" t="n">
        <x:f>IFERROR((AY150-BD150)/BD150,"")</x:f>
        <x:v>6.048291859974694</x:v>
      </x:c>
    </x:row>
    <x:row r="151">
      <x:c r="A151" t="str">
        <x:v>Demo P</x:v>
      </x:c>
      <x:c r="B151" t="str">
        <x:v>Create / Refresh All Templates</x:v>
      </x:c>
      <x:c r="C151" t="str">
        <x:v>Hide template: Template - Demo P</x:v>
      </x:c>
      <x:c r="D151" s="8" t="n">
        <x:v>1.318</x:v>
      </x:c>
      <x:c r="E151" s="8" t="n">
        <x:v>99.903</x:v>
      </x:c>
      <x:c r="F151" s="8" t="n">
        <x:v>1.318</x:v>
      </x:c>
      <x:c r="G151" s="8" t="n">
        <x:v>99.903</x:v>
      </x:c>
      <x:c r="H151" s="8" t="n">
        <x:v>1.342</x:v>
      </x:c>
      <x:c r="I151" s="8" t="n">
        <x:v>128.192</x:v>
      </x:c>
      <x:c r="J151" s="8"/>
      <x:c r="K151" s="8"/>
      <x:c r="L151" s="8" t="n">
        <x:v>1.975</x:v>
      </x:c>
      <x:c r="M151" s="8" t="n">
        <x:v>123.7</x:v>
      </x:c>
      <x:c r="N151" s="8" t="n">
        <x:v>1.975</x:v>
      </x:c>
      <x:c r="O151" s="8" t="n">
        <x:v>123.7</x:v>
      </x:c>
      <x:c r="P151" s="8" t="n">
        <x:v>0.999</x:v>
      </x:c>
      <x:c r="Q151" s="8" t="n">
        <x:v>77.479</x:v>
      </x:c>
      <x:c r="R151" s="8" t="n">
        <x:v>0.999</x:v>
      </x:c>
      <x:c r="S151" s="8" t="n">
        <x:v>77.479</x:v>
      </x:c>
      <x:c r="T151" s="8" t="n">
        <x:v>1.32</x:v>
      </x:c>
      <x:c r="U151" s="8" t="n">
        <x:v>104.387</x:v>
      </x:c>
      <x:c r="V151" s="8" t="n">
        <x:v>1.32</x:v>
      </x:c>
      <x:c r="W151" s="8" t="n">
        <x:v>104.387</x:v>
      </x:c>
      <x:c r="X151" s="8" t="n">
        <x:v>1.767</x:v>
      </x:c>
      <x:c r="Y151" s="8" t="n">
        <x:v>154.981</x:v>
      </x:c>
      <x:c r="Z151" s="8" t="n">
        <x:v>1.767</x:v>
      </x:c>
      <x:c r="AA151" s="8" t="n">
        <x:v>154.981</x:v>
      </x:c>
      <x:c r="AB151" s="8" t="n">
        <x:v>1.728</x:v>
      </x:c>
      <x:c r="AC151" s="8" t="n">
        <x:v>139.958</x:v>
      </x:c>
      <x:c r="AD151" s="8" t="n">
        <x:v>1.728</x:v>
      </x:c>
      <x:c r="AE151" s="8" t="n">
        <x:v>139.958</x:v>
      </x:c>
      <x:c r="AF151" s="8" t="n">
        <x:v>1.583</x:v>
      </x:c>
      <x:c r="AG151" s="8" t="n">
        <x:v>146.696</x:v>
      </x:c>
      <x:c r="AH151" s="8"/>
      <x:c r="AI151" s="8"/>
      <x:c r="AJ151" s="8"/>
      <x:c r="AK151" s="8"/>
      <x:c r="AL151" s="8" t="n">
        <x:v>0.455</x:v>
      </x:c>
      <x:c r="AM151" s="8" t="n">
        <x:v>19.423</x:v>
      </x:c>
      <x:c r="AN151" s="8" t="n">
        <x:v>1.012</x:v>
      </x:c>
      <x:c r="AO151" s="8" t="n">
        <x:v>103.95</x:v>
      </x:c>
      <x:c r="AP151" s="8" t="n">
        <x:v>1.012</x:v>
      </x:c>
      <x:c r="AQ151" s="8" t="n">
        <x:v>103.95</x:v>
      </x:c>
      <x:c r="AR151" s="8" t="n">
        <x:v>1.605</x:v>
      </x:c>
      <x:c r="AS151" s="8" t="n">
        <x:v>152.782</x:v>
      </x:c>
      <x:c r="AT151" s="8" t="n">
        <x:v>1.487</x:v>
      </x:c>
      <x:c r="AU151" s="8" t="n">
        <x:v>112.548</x:v>
      </x:c>
      <x:c r="AV151" s="8" t="n">
        <x:v>1.793</x:v>
      </x:c>
      <x:c r="AW151" s="8" t="n">
        <x:v>133.85</x:v>
      </x:c>
      <x:c r="AX151" s="8" t="n">
        <x:v>2.753</x:v>
      </x:c>
      <x:c r="AY151" s="8" t="n">
        <x:v>136.445</x:v>
      </x:c>
      <x:c r="AZ151" s="8" t="n">
        <x:v>2.753</x:v>
      </x:c>
      <x:c r="BA151" s="8" t="n">
        <x:v>136.445</x:v>
      </x:c>
      <x:c r="BB151" s="8" t="n">
        <x:f>LET(m,MIN(IF(D151&gt;0,D151,1E+99),IF(F151&gt;0,F151,1E+99),IF(H151&gt;0,H151,1E+99),IF(J151&gt;0,J151,1E+99),IF(L151&gt;0,L151,1E+99),IF(N151&gt;0,N151,1E+99),IF(P151&gt;0,P151,1E+99),IF(R151&gt;0,R151,1E+99),IF(T151&gt;0,T151,1E+99),IF(V151&gt;0,V151,1E+99),IF(X151&gt;0,X151,1E+99),IF(Z151&gt;0,Z151,1E+99),IF(AB151&gt;0,AB151,1E+99),IF(AD151&gt;0,AD151,1E+99),IF(AF151&gt;0,AF151,1E+99),IF(AH151&gt;0,AH151,1E+99),IF(AJ151&gt;0,AJ151,1E+99),IF(AL151&gt;0,AL151,1E+99),IF(AN151&gt;0,AN151,1E+99),IF(AP151&gt;0,AP151,1E+99),IF(AR151&gt;0,AR151,1E+99),IF(AT151&gt;0,AT151,1E+99),IF(AV151&gt;0,AV151,1E+99),IF(AX151&gt;0,AX151,1E+99),IF(AZ151&gt;0,AZ151,1E+99)),IF(m=1E+99,"",m))</x:f>
        <x:v>0.455</x:v>
      </x:c>
      <x:c r="BC151" s="12" t="e">
        <x:f>IF(BB151="","",INDEX({"v1.4.20","v1.4.20","v1.4.21","v1.4.21","v1.4.23","v1.4.23","v1.4.26","v1.4.26","v1.4.26.1","v1.4.26.1","v1.4.27","v1.4.27","v1.4.29","v1.4.29","v1.4.30","v1.4.30","v1.4.31","v1.4.31","v1.4.33","v1.4.33","v1.4.35","v1.4.35.2","v1.5","v1.5.1","v1.5.1"},MATCH(BB151,CHOOSE({1,2,3,4,5,6,7,8,9,10,11,12,13,14,15,16,17,18,19,20,21,22,23,24,25},D151,F151,H151,J151,L151,N151,P151,R151,T151,V151,X151,Z151,AB151,AD151,AF151,AH151,AJ151,AL151,AN151,AP151,AR151,AT151,AV151,AX151,AZ151),0)))</x:f>
      </x:c>
      <x:c r="BD151" s="14" t="n">
        <x:f>LET(m,MIN(IF(E151&gt;0,E151,1E+99),IF(G151&gt;0,G151,1E+99),IF(I151&gt;0,I151,1E+99),IF(K151&gt;0,K151,1E+99),IF(M151&gt;0,M151,1E+99),IF(O151&gt;0,O151,1E+99),IF(Q151&gt;0,Q151,1E+99),IF(S151&gt;0,S151,1E+99),IF(U151&gt;0,U151,1E+99),IF(W151&gt;0,W151,1E+99),IF(Y151&gt;0,Y151,1E+99),IF(AA151&gt;0,AA151,1E+99),IF(AC151&gt;0,AC151,1E+99),IF(AE151&gt;0,AE151,1E+99),IF(AG151&gt;0,AG151,1E+99),IF(AI151&gt;0,AI151,1E+99),IF(AK151&gt;0,AK151,1E+99),IF(AM151&gt;0,AM151,1E+99),IF(AO151&gt;0,AO151,1E+99),IF(AQ151&gt;0,AQ151,1E+99),IF(AS151&gt;0,AS151,1E+99),IF(AU151&gt;0,AU151,1E+99),IF(AW151&gt;0,AW151,1E+99),IF(AY151&gt;0,AY151,1E+99),IF(BA151&gt;0,BA151,1E+99)),IF(m=1E+99,"",m))</x:f>
        <x:v>19.423</x:v>
      </x:c>
      <x:c r="BE151" s="16" t="e">
        <x:f>IF(BD151="","",INDEX({"v1.4.20","v1.4.20","v1.4.21","v1.4.21","v1.4.23","v1.4.23","v1.4.26","v1.4.26","v1.4.26.1","v1.4.26.1","v1.4.27","v1.4.27","v1.4.29","v1.4.29","v1.4.30","v1.4.30","v1.4.31","v1.4.31","v1.4.33","v1.4.33","v1.4.35","v1.4.35.2","v1.5","v1.5.1","v1.5.1"},MATCH(BD151,CHOOSE({1,2,3,4,5,6,7,8,9,10,11,12,13,14,15,16,17,18,19,20,21,22,23,24,25},E151,G151,I151,K151,M151,O151,Q151,S151,U151,W151,Y151,AA151,AC151,AE151,AG151,AI151,AK151,AM151,AO151,AQ151,AS151,AU151,AW151,AY151,BA151),0)))</x:f>
      </x:c>
      <x:c r="BF151" s="10" t="n">
        <x:f>IFERROR((AX151-BB151)/BB151,"")</x:f>
        <x:v>5.05054945054945</x:v>
      </x:c>
      <x:c r="BG151" s="10" t="n">
        <x:f>IFERROR((AY151-BD151)/BD151,"")</x:f>
        <x:v>6.0249189105699426</x:v>
      </x:c>
    </x:row>
    <x:row r="152">
      <x:c r="A152" t="str">
        <x:v>Demo P</x:v>
      </x:c>
      <x:c r="B152" t="str">
        <x:v>Create / Refresh All Templates</x:v>
      </x:c>
      <x:c r="C152" t="str">
        <x:v>Complete full template build: Template - Demo P</x:v>
      </x:c>
      <x:c r="D152" s="8" t="n">
        <x:v>0.001</x:v>
      </x:c>
      <x:c r="E152" s="8" t="n">
        <x:v>99.904</x:v>
      </x:c>
      <x:c r="F152" s="8" t="n">
        <x:v>0.001</x:v>
      </x:c>
      <x:c r="G152" s="8" t="n">
        <x:v>99.904</x:v>
      </x:c>
      <x:c r="H152" s="8" t="n">
        <x:v>0</x:v>
      </x:c>
      <x:c r="I152" s="8" t="n">
        <x:v>128.192</x:v>
      </x:c>
      <x:c r="J152" s="8"/>
      <x:c r="K152" s="8"/>
      <x:c r="L152" s="8" t="n">
        <x:v>0</x:v>
      </x:c>
      <x:c r="M152" s="8" t="n">
        <x:v>123.7</x:v>
      </x:c>
      <x:c r="N152" s="8" t="n">
        <x:v>0</x:v>
      </x:c>
      <x:c r="O152" s="8" t="n">
        <x:v>123.7</x:v>
      </x:c>
      <x:c r="P152" s="8" t="n">
        <x:v>0</x:v>
      </x:c>
      <x:c r="Q152" s="8" t="n">
        <x:v>77.479</x:v>
      </x:c>
      <x:c r="R152" s="8" t="n">
        <x:v>0</x:v>
      </x:c>
      <x:c r="S152" s="8" t="n">
        <x:v>77.479</x:v>
      </x:c>
      <x:c r="T152" s="8" t="n">
        <x:v>0</x:v>
      </x:c>
      <x:c r="U152" s="8" t="n">
        <x:v>104.387</x:v>
      </x:c>
      <x:c r="V152" s="8" t="n">
        <x:v>0</x:v>
      </x:c>
      <x:c r="W152" s="8" t="n">
        <x:v>104.387</x:v>
      </x:c>
      <x:c r="X152" s="8" t="n">
        <x:v>0</x:v>
      </x:c>
      <x:c r="Y152" s="8" t="n">
        <x:v>154.981</x:v>
      </x:c>
      <x:c r="Z152" s="8" t="n">
        <x:v>0</x:v>
      </x:c>
      <x:c r="AA152" s="8" t="n">
        <x:v>154.981</x:v>
      </x:c>
      <x:c r="AB152" s="8" t="n">
        <x:v>0</x:v>
      </x:c>
      <x:c r="AC152" s="8" t="n">
        <x:v>139.958</x:v>
      </x:c>
      <x:c r="AD152" s="8" t="n">
        <x:v>0</x:v>
      </x:c>
      <x:c r="AE152" s="8" t="n">
        <x:v>139.958</x:v>
      </x:c>
      <x:c r="AF152" s="8" t="n">
        <x:v>0</x:v>
      </x:c>
      <x:c r="AG152" s="8" t="n">
        <x:v>146.696</x:v>
      </x:c>
      <x:c r="AH152" s="8"/>
      <x:c r="AI152" s="8"/>
      <x:c r="AJ152" s="8"/>
      <x:c r="AK152" s="8"/>
      <x:c r="AL152" s="8" t="n">
        <x:v>0</x:v>
      </x:c>
      <x:c r="AM152" s="8" t="n">
        <x:v>19.423</x:v>
      </x:c>
      <x:c r="AN152" s="8" t="n">
        <x:v>0</x:v>
      </x:c>
      <x:c r="AO152" s="8" t="n">
        <x:v>103.95</x:v>
      </x:c>
      <x:c r="AP152" s="8" t="n">
        <x:v>0</x:v>
      </x:c>
      <x:c r="AQ152" s="8" t="n">
        <x:v>103.95</x:v>
      </x:c>
      <x:c r="AR152" s="8" t="n">
        <x:v>0</x:v>
      </x:c>
      <x:c r="AS152" s="8" t="n">
        <x:v>152.782</x:v>
      </x:c>
      <x:c r="AT152" s="8" t="n">
        <x:v>0</x:v>
      </x:c>
      <x:c r="AU152" s="8" t="n">
        <x:v>112.548</x:v>
      </x:c>
      <x:c r="AV152" s="8" t="n">
        <x:v>0</x:v>
      </x:c>
      <x:c r="AW152" s="8" t="n">
        <x:v>133.85</x:v>
      </x:c>
      <x:c r="AX152" s="8" t="n">
        <x:v>0</x:v>
      </x:c>
      <x:c r="AY152" s="8" t="n">
        <x:v>136.445</x:v>
      </x:c>
      <x:c r="AZ152" s="8" t="n">
        <x:v>0</x:v>
      </x:c>
      <x:c r="BA152" s="8" t="n">
        <x:v>136.445</x:v>
      </x:c>
      <x:c r="BB152" s="8" t="n">
        <x:f>LET(m,MIN(IF(D152&gt;0,D152,1E+99),IF(F152&gt;0,F152,1E+99),IF(H152&gt;0,H152,1E+99),IF(J152&gt;0,J152,1E+99),IF(L152&gt;0,L152,1E+99),IF(N152&gt;0,N152,1E+99),IF(P152&gt;0,P152,1E+99),IF(R152&gt;0,R152,1E+99),IF(T152&gt;0,T152,1E+99),IF(V152&gt;0,V152,1E+99),IF(X152&gt;0,X152,1E+99),IF(Z152&gt;0,Z152,1E+99),IF(AB152&gt;0,AB152,1E+99),IF(AD152&gt;0,AD152,1E+99),IF(AF152&gt;0,AF152,1E+99),IF(AH152&gt;0,AH152,1E+99),IF(AJ152&gt;0,AJ152,1E+99),IF(AL152&gt;0,AL152,1E+99),IF(AN152&gt;0,AN152,1E+99),IF(AP152&gt;0,AP152,1E+99),IF(AR152&gt;0,AR152,1E+99),IF(AT152&gt;0,AT152,1E+99),IF(AV152&gt;0,AV152,1E+99),IF(AX152&gt;0,AX152,1E+99),IF(AZ152&gt;0,AZ152,1E+99)),IF(m=1E+99,"",m))</x:f>
        <x:v>0.001</x:v>
      </x:c>
      <x:c r="BC152" s="12" t="str">
        <x:f>IF(BB152="","",INDEX({"v1.4.20","v1.4.20","v1.4.21","v1.4.21","v1.4.23","v1.4.23","v1.4.26","v1.4.26","v1.4.26.1","v1.4.26.1","v1.4.27","v1.4.27","v1.4.29","v1.4.29","v1.4.30","v1.4.30","v1.4.31","v1.4.31","v1.4.33","v1.4.33","v1.4.35","v1.4.35.2","v1.5","v1.5.1","v1.5.1"},MATCH(BB152,CHOOSE({1,2,3,4,5,6,7,8,9,10,11,12,13,14,15,16,17,18,19,20,21,22,23,24,25},D152,F152,H152,J152,L152,N152,P152,R152,T152,V152,X152,Z152,AB152,AD152,AF152,AH152,AJ152,AL152,AN152,AP152,AR152,AT152,AV152,AX152,AZ152),0)))</x:f>
        <x:v>v1.4.20</x:v>
      </x:c>
      <x:c r="BD152" s="14" t="n">
        <x:f>LET(m,MIN(IF(E152&gt;0,E152,1E+99),IF(G152&gt;0,G152,1E+99),IF(I152&gt;0,I152,1E+99),IF(K152&gt;0,K152,1E+99),IF(M152&gt;0,M152,1E+99),IF(O152&gt;0,O152,1E+99),IF(Q152&gt;0,Q152,1E+99),IF(S152&gt;0,S152,1E+99),IF(U152&gt;0,U152,1E+99),IF(W152&gt;0,W152,1E+99),IF(Y152&gt;0,Y152,1E+99),IF(AA152&gt;0,AA152,1E+99),IF(AC152&gt;0,AC152,1E+99),IF(AE152&gt;0,AE152,1E+99),IF(AG152&gt;0,AG152,1E+99),IF(AI152&gt;0,AI152,1E+99),IF(AK152&gt;0,AK152,1E+99),IF(AM152&gt;0,AM152,1E+99),IF(AO152&gt;0,AO152,1E+99),IF(AQ152&gt;0,AQ152,1E+99),IF(AS152&gt;0,AS152,1E+99),IF(AU152&gt;0,AU152,1E+99),IF(AW152&gt;0,AW152,1E+99),IF(AY152&gt;0,AY152,1E+99),IF(BA152&gt;0,BA152,1E+99)),IF(m=1E+99,"",m))</x:f>
        <x:v>19.423</x:v>
      </x:c>
      <x:c r="BE152" s="16" t="e">
        <x:f>IF(BD152="","",INDEX({"v1.4.20","v1.4.20","v1.4.21","v1.4.21","v1.4.23","v1.4.23","v1.4.26","v1.4.26","v1.4.26.1","v1.4.26.1","v1.4.27","v1.4.27","v1.4.29","v1.4.29","v1.4.30","v1.4.30","v1.4.31","v1.4.31","v1.4.33","v1.4.33","v1.4.35","v1.4.35.2","v1.5","v1.5.1","v1.5.1"},MATCH(BD152,CHOOSE({1,2,3,4,5,6,7,8,9,10,11,12,13,14,15,16,17,18,19,20,21,22,23,24,25},E152,G152,I152,K152,M152,O152,Q152,S152,U152,W152,Y152,AA152,AC152,AE152,AG152,AI152,AK152,AM152,AO152,AQ152,AS152,AU152,AW152,AY152,BA152),0)))</x:f>
      </x:c>
      <x:c r="BF152" s="10" t="n">
        <x:f>IFERROR((AX152-BB152)/BB152,"")</x:f>
        <x:v>-1</x:v>
      </x:c>
      <x:c r="BG152" s="10" t="n">
        <x:f>IFERROR((AY152-BD152)/BD152,"")</x:f>
        <x:v>6.0249189105699426</x:v>
      </x:c>
    </x:row>
    <x:row r="153">
      <x:c r="A153" t="str">
        <x:v>Demo P</x:v>
      </x:c>
      <x:c r="B153" t="str">
        <x:v>Create / Refresh All Templates</x:v>
      </x:c>
      <x:c r="C153" t="str">
        <x:v>Apply row heights: Template - Demo P</x:v>
      </x:c>
      <x:c r="D153" s="8" t="n">
        <x:v>0.01</x:v>
      </x:c>
      <x:c r="E153" s="8" t="n">
        <x:v>93.588</x:v>
      </x:c>
      <x:c r="F153" s="8" t="n">
        <x:v>0.01</x:v>
      </x:c>
      <x:c r="G153" s="8" t="n">
        <x:v>93.588</x:v>
      </x:c>
      <x:c r="H153" s="8" t="n">
        <x:v>0.017</x:v>
      </x:c>
      <x:c r="I153" s="8" t="n">
        <x:v>120.483</x:v>
      </x:c>
      <x:c r="J153" s="8"/>
      <x:c r="K153" s="8"/>
      <x:c r="L153" s="8"/>
      <x:c r="M153" s="8"/>
      <x:c r="N153" s="8" t="n">
        <x:v>0.012</x:v>
      </x:c>
      <x:c r="O153" s="8" t="n">
        <x:v>115.973</x:v>
      </x:c>
      <x:c r="P153" s="8" t="n">
        <x:v>0.01</x:v>
      </x:c>
      <x:c r="Q153" s="8" t="n">
        <x:v>72.212</x:v>
      </x:c>
      <x:c r="R153" s="8" t="n">
        <x:v>0.01</x:v>
      </x:c>
      <x:c r="S153" s="8" t="n">
        <x:v>72.212</x:v>
      </x:c>
      <x:c r="T153" s="8" t="n">
        <x:v>2.818</x:v>
      </x:c>
      <x:c r="U153" s="8" t="n">
        <x:v>100.433</x:v>
      </x:c>
      <x:c r="V153" s="8" t="n">
        <x:v>2.818</x:v>
      </x:c>
      <x:c r="W153" s="8" t="n">
        <x:v>100.433</x:v>
      </x:c>
      <x:c r="X153" s="8" t="n">
        <x:v>0.008</x:v>
      </x:c>
      <x:c r="Y153" s="8" t="n">
        <x:v>146.393</x:v>
      </x:c>
      <x:c r="Z153" s="8" t="n">
        <x:v>0.008</x:v>
      </x:c>
      <x:c r="AA153" s="8" t="n">
        <x:v>146.393</x:v>
      </x:c>
      <x:c r="AB153" s="8" t="n">
        <x:v>4.426</x:v>
      </x:c>
      <x:c r="AC153" s="8" t="n">
        <x:v>135.373</x:v>
      </x:c>
      <x:c r="AD153" s="8" t="n">
        <x:v>4.426</x:v>
      </x:c>
      <x:c r="AE153" s="8" t="n">
        <x:v>135.373</x:v>
      </x:c>
      <x:c r="AF153" s="8" t="n">
        <x:v>4.167</x:v>
      </x:c>
      <x:c r="AG153" s="8" t="n">
        <x:v>142.203</x:v>
      </x:c>
      <x:c r="AH153" s="8"/>
      <x:c r="AI153" s="8"/>
      <x:c r="AJ153" s="8"/>
      <x:c r="AK153" s="8"/>
      <x:c r="AL153" s="8" t="n">
        <x:v>2.639</x:v>
      </x:c>
      <x:c r="AM153" s="8" t="n">
        <x:v>16.401</x:v>
      </x:c>
      <x:c r="AN153" s="8" t="n">
        <x:v>2.582</x:v>
      </x:c>
      <x:c r="AO153" s="8" t="n">
        <x:v>100.586</x:v>
      </x:c>
      <x:c r="AP153" s="8" t="n">
        <x:v>2.582</x:v>
      </x:c>
      <x:c r="AQ153" s="8" t="n">
        <x:v>100.586</x:v>
      </x:c>
      <x:c r="AR153" s="8" t="n">
        <x:v>0.019</x:v>
      </x:c>
      <x:c r="AS153" s="8" t="n">
        <x:v>143.295</x:v>
      </x:c>
      <x:c r="AT153" s="8" t="n">
        <x:v>0.014</x:v>
      </x:c>
      <x:c r="AU153" s="8" t="n">
        <x:v>104.875</x:v>
      </x:c>
      <x:c r="AV153" s="8"/>
      <x:c r="AW153" s="8"/>
      <x:c r="AX153" s="8"/>
      <x:c r="AY153" s="8"/>
      <x:c r="AZ153" s="8"/>
      <x:c r="BA153" s="8"/>
      <x:c r="BB153" s="8" t="n">
        <x:f>LET(m,MIN(IF(D153&gt;0,D153,1E+99),IF(F153&gt;0,F153,1E+99),IF(H153&gt;0,H153,1E+99),IF(J153&gt;0,J153,1E+99),IF(L153&gt;0,L153,1E+99),IF(N153&gt;0,N153,1E+99),IF(P153&gt;0,P153,1E+99),IF(R153&gt;0,R153,1E+99),IF(T153&gt;0,T153,1E+99),IF(V153&gt;0,V153,1E+99),IF(X153&gt;0,X153,1E+99),IF(Z153&gt;0,Z153,1E+99),IF(AB153&gt;0,AB153,1E+99),IF(AD153&gt;0,AD153,1E+99),IF(AF153&gt;0,AF153,1E+99),IF(AH153&gt;0,AH153,1E+99),IF(AJ153&gt;0,AJ153,1E+99),IF(AL153&gt;0,AL153,1E+99),IF(AN153&gt;0,AN153,1E+99),IF(AP153&gt;0,AP153,1E+99),IF(AR153&gt;0,AR153,1E+99),IF(AT153&gt;0,AT153,1E+99),IF(AV153&gt;0,AV153,1E+99),IF(AX153&gt;0,AX153,1E+99),IF(AZ153&gt;0,AZ153,1E+99)),IF(m=1E+99,"",m))</x:f>
        <x:v>0.008</x:v>
      </x:c>
      <x:c r="BC153" s="12" t="e">
        <x:f>IF(BB153="","",INDEX({"v1.4.20","v1.4.20","v1.4.21","v1.4.21","v1.4.23","v1.4.23","v1.4.26","v1.4.26","v1.4.26.1","v1.4.26.1","v1.4.27","v1.4.27","v1.4.29","v1.4.29","v1.4.30","v1.4.30","v1.4.31","v1.4.31","v1.4.33","v1.4.33","v1.4.35","v1.4.35.2","v1.5","v1.5.1","v1.5.1"},MATCH(BB153,CHOOSE({1,2,3,4,5,6,7,8,9,10,11,12,13,14,15,16,17,18,19,20,21,22,23,24,25},D153,F153,H153,J153,L153,N153,P153,R153,T153,V153,X153,Z153,AB153,AD153,AF153,AH153,AJ153,AL153,AN153,AP153,AR153,AT153,AV153,AX153,AZ153),0)))</x:f>
      </x:c>
      <x:c r="BD153" s="14" t="n">
        <x:f>LET(m,MIN(IF(E153&gt;0,E153,1E+99),IF(G153&gt;0,G153,1E+99),IF(I153&gt;0,I153,1E+99),IF(K153&gt;0,K153,1E+99),IF(M153&gt;0,M153,1E+99),IF(O153&gt;0,O153,1E+99),IF(Q153&gt;0,Q153,1E+99),IF(S153&gt;0,S153,1E+99),IF(U153&gt;0,U153,1E+99),IF(W153&gt;0,W153,1E+99),IF(Y153&gt;0,Y153,1E+99),IF(AA153&gt;0,AA153,1E+99),IF(AC153&gt;0,AC153,1E+99),IF(AE153&gt;0,AE153,1E+99),IF(AG153&gt;0,AG153,1E+99),IF(AI153&gt;0,AI153,1E+99),IF(AK153&gt;0,AK153,1E+99),IF(AM153&gt;0,AM153,1E+99),IF(AO153&gt;0,AO153,1E+99),IF(AQ153&gt;0,AQ153,1E+99),IF(AS153&gt;0,AS153,1E+99),IF(AU153&gt;0,AU153,1E+99),IF(AW153&gt;0,AW153,1E+99),IF(AY153&gt;0,AY153,1E+99),IF(BA153&gt;0,BA153,1E+99)),IF(m=1E+99,"",m))</x:f>
        <x:v>16.401</x:v>
      </x:c>
      <x:c r="BE153" s="16" t="e">
        <x:f>IF(BD153="","",INDEX({"v1.4.20","v1.4.20","v1.4.21","v1.4.21","v1.4.23","v1.4.23","v1.4.26","v1.4.26","v1.4.26.1","v1.4.26.1","v1.4.27","v1.4.27","v1.4.29","v1.4.29","v1.4.30","v1.4.30","v1.4.31","v1.4.31","v1.4.33","v1.4.33","v1.4.35","v1.4.35.2","v1.5","v1.5.1","v1.5.1"},MATCH(BD153,CHOOSE({1,2,3,4,5,6,7,8,9,10,11,12,13,14,15,16,17,18,19,20,21,22,23,24,25},E153,G153,I153,K153,M153,O153,Q153,S153,U153,W153,Y153,AA153,AC153,AE153,AG153,AI153,AK153,AM153,AO153,AQ153,AS153,AU153,AW153,AY153,BA153),0)))</x:f>
      </x:c>
      <x:c r="BF153" s="10" t="n">
        <x:f>IFERROR((AX153-BB153)/BB153,"")</x:f>
        <x:v>-1</x:v>
      </x:c>
      <x:c r="BG153" s="10" t="n">
        <x:f>IFERROR((AY153-BD153)/BD153,"")</x:f>
        <x:v>-1</x:v>
      </x:c>
    </x:row>
    <x:row r="154">
      <x:c r="A154" t="str">
        <x:v>Demo P</x:v>
      </x:c>
      <x:c r="B154" t="str">
        <x:v>Create / Refresh All Templates</x:v>
      </x:c>
      <x:c r="C154" t="str">
        <x:v>Clear sheet/formats for full build: Template - Demo P</x:v>
      </x:c>
      <x:c r="D154" s="8" t="n">
        <x:v>7.062</x:v>
      </x:c>
      <x:c r="E154" s="8" t="n">
        <x:v>85.183</x:v>
      </x:c>
      <x:c r="F154" s="8" t="n">
        <x:v>7.062</x:v>
      </x:c>
      <x:c r="G154" s="8" t="n">
        <x:v>85.183</x:v>
      </x:c>
      <x:c r="H154" s="8" t="n">
        <x:v>7.604</x:v>
      </x:c>
      <x:c r="I154" s="8" t="n">
        <x:v>109.948</x:v>
      </x:c>
      <x:c r="J154" s="8"/>
      <x:c r="K154" s="8"/>
      <x:c r="L154" s="8"/>
      <x:c r="M154" s="8"/>
      <x:c r="N154" s="8"/>
      <x:c r="O154" s="8"/>
      <x:c r="P154" s="8" t="n">
        <x:v>4.582</x:v>
      </x:c>
      <x:c r="Q154" s="8" t="n">
        <x:v>66.042</x:v>
      </x:c>
      <x:c r="R154" s="8" t="n">
        <x:v>4.582</x:v>
      </x:c>
      <x:c r="S154" s="8" t="n">
        <x:v>66.042</x:v>
      </x:c>
      <x:c r="T154" s="8"/>
      <x:c r="U154" s="8"/>
      <x:c r="V154" s="8"/>
      <x:c r="W154" s="8"/>
      <x:c r="X154" s="8" t="n">
        <x:v>12.698</x:v>
      </x:c>
      <x:c r="Y154" s="8" t="n">
        <x:v>134.455</x:v>
      </x:c>
      <x:c r="Z154" s="8" t="n">
        <x:v>12.698</x:v>
      </x:c>
      <x:c r="AA154" s="8" t="n">
        <x:v>134.455</x:v>
      </x:c>
      <x:c r="AB154" s="8"/>
      <x:c r="AC154" s="8"/>
      <x:c r="AD154" s="8"/>
      <x:c r="AE154" s="8"/>
      <x:c r="AF154" s="8"/>
      <x:c r="AG154" s="8"/>
      <x:c r="AH154" s="8"/>
      <x:c r="AI154" s="8"/>
      <x:c r="AJ154" s="8"/>
      <x:c r="AK154" s="8"/>
      <x:c r="AL154" s="8"/>
      <x:c r="AM154" s="8"/>
      <x:c r="AN154" s="8"/>
      <x:c r="AO154" s="8"/>
      <x:c r="AP154" s="8"/>
      <x:c r="AQ154" s="8"/>
      <x:c r="AR154" s="8" t="n">
        <x:v>11.001</x:v>
      </x:c>
      <x:c r="AS154" s="8" t="n">
        <x:v>131.389</x:v>
      </x:c>
      <x:c r="AT154" s="8" t="n">
        <x:v>7.827</x:v>
      </x:c>
      <x:c r="AU154" s="8" t="n">
        <x:v>95.698</x:v>
      </x:c>
      <x:c r="AV154" s="8"/>
      <x:c r="AW154" s="8"/>
      <x:c r="AX154" s="8"/>
      <x:c r="AY154" s="8"/>
      <x:c r="AZ154" s="8"/>
      <x:c r="BA154" s="8"/>
      <x:c r="BB154" s="8" t="n">
        <x:f>LET(m,MIN(IF(D154&gt;0,D154,1E+99),IF(F154&gt;0,F154,1E+99),IF(H154&gt;0,H154,1E+99),IF(J154&gt;0,J154,1E+99),IF(L154&gt;0,L154,1E+99),IF(N154&gt;0,N154,1E+99),IF(P154&gt;0,P154,1E+99),IF(R154&gt;0,R154,1E+99),IF(T154&gt;0,T154,1E+99),IF(V154&gt;0,V154,1E+99),IF(X154&gt;0,X154,1E+99),IF(Z154&gt;0,Z154,1E+99),IF(AB154&gt;0,AB154,1E+99),IF(AD154&gt;0,AD154,1E+99),IF(AF154&gt;0,AF154,1E+99),IF(AH154&gt;0,AH154,1E+99),IF(AJ154&gt;0,AJ154,1E+99),IF(AL154&gt;0,AL154,1E+99),IF(AN154&gt;0,AN154,1E+99),IF(AP154&gt;0,AP154,1E+99),IF(AR154&gt;0,AR154,1E+99),IF(AT154&gt;0,AT154,1E+99),IF(AV154&gt;0,AV154,1E+99),IF(AX154&gt;0,AX154,1E+99),IF(AZ154&gt;0,AZ154,1E+99)),IF(m=1E+99,"",m))</x:f>
        <x:v>4.582</x:v>
      </x:c>
      <x:c r="BC154" s="12" t="e">
        <x:f>IF(BB154="","",INDEX({"v1.4.20","v1.4.20","v1.4.21","v1.4.21","v1.4.23","v1.4.23","v1.4.26","v1.4.26","v1.4.26.1","v1.4.26.1","v1.4.27","v1.4.27","v1.4.29","v1.4.29","v1.4.30","v1.4.30","v1.4.31","v1.4.31","v1.4.33","v1.4.33","v1.4.35","v1.4.35.2","v1.5","v1.5.1","v1.5.1"},MATCH(BB154,CHOOSE({1,2,3,4,5,6,7,8,9,10,11,12,13,14,15,16,17,18,19,20,21,22,23,24,25},D154,F154,H154,J154,L154,N154,P154,R154,T154,V154,X154,Z154,AB154,AD154,AF154,AH154,AJ154,AL154,AN154,AP154,AR154,AT154,AV154,AX154,AZ154),0)))</x:f>
      </x:c>
      <x:c r="BD154" s="14" t="n">
        <x:f>LET(m,MIN(IF(E154&gt;0,E154,1E+99),IF(G154&gt;0,G154,1E+99),IF(I154&gt;0,I154,1E+99),IF(K154&gt;0,K154,1E+99),IF(M154&gt;0,M154,1E+99),IF(O154&gt;0,O154,1E+99),IF(Q154&gt;0,Q154,1E+99),IF(S154&gt;0,S154,1E+99),IF(U154&gt;0,U154,1E+99),IF(W154&gt;0,W154,1E+99),IF(Y154&gt;0,Y154,1E+99),IF(AA154&gt;0,AA154,1E+99),IF(AC154&gt;0,AC154,1E+99),IF(AE154&gt;0,AE154,1E+99),IF(AG154&gt;0,AG154,1E+99),IF(AI154&gt;0,AI154,1E+99),IF(AK154&gt;0,AK154,1E+99),IF(AM154&gt;0,AM154,1E+99),IF(AO154&gt;0,AO154,1E+99),IF(AQ154&gt;0,AQ154,1E+99),IF(AS154&gt;0,AS154,1E+99),IF(AU154&gt;0,AU154,1E+99),IF(AW154&gt;0,AW154,1E+99),IF(AY154&gt;0,AY154,1E+99),IF(BA154&gt;0,BA154,1E+99)),IF(m=1E+99,"",m))</x:f>
        <x:v>66.042</x:v>
      </x:c>
      <x:c r="BE154" s="16" t="e">
        <x:f>IF(BD154="","",INDEX({"v1.4.20","v1.4.20","v1.4.21","v1.4.21","v1.4.23","v1.4.23","v1.4.26","v1.4.26","v1.4.26.1","v1.4.26.1","v1.4.27","v1.4.27","v1.4.29","v1.4.29","v1.4.30","v1.4.30","v1.4.31","v1.4.31","v1.4.33","v1.4.33","v1.4.35","v1.4.35.2","v1.5","v1.5.1","v1.5.1"},MATCH(BD154,CHOOSE({1,2,3,4,5,6,7,8,9,10,11,12,13,14,15,16,17,18,19,20,21,22,23,24,25},E154,G154,I154,K154,M154,O154,Q154,S154,U154,W154,Y154,AA154,AC154,AE154,AG154,AI154,AK154,AM154,AO154,AQ154,AS154,AU154,AW154,AY154,BA154),0)))</x:f>
      </x:c>
      <x:c r="BF154" s="10" t="n">
        <x:f>IFERROR((AX154-BB154)/BB154,"")</x:f>
        <x:v>-1</x:v>
      </x:c>
      <x:c r="BG154" s="10" t="n">
        <x:f>IFERROR((AY154-BD154)/BD154,"")</x:f>
        <x:v>-1</x:v>
      </x:c>
    </x:row>
    <x:row r="155">
      <x:c r="A155" t="str">
        <x:v>Demo P</x:v>
      </x:c>
      <x:c r="B155" t="str">
        <x:v>Create / Refresh All Templates</x:v>
      </x:c>
      <x:c r="C155" t="str">
        <x:v>Complete</x:v>
      </x:c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  <x:c r="AA155" s="8"/>
      <x:c r="AB155" s="8"/>
      <x:c r="AC155" s="8"/>
      <x:c r="AD155" s="8"/>
      <x:c r="AE155" s="8"/>
      <x:c r="AF155" s="8"/>
      <x:c r="AG155" s="8"/>
      <x:c r="AH155" s="8"/>
      <x:c r="AI155" s="8"/>
      <x:c r="AJ155" s="8"/>
      <x:c r="AK155" s="8"/>
      <x:c r="AL155" s="8" t="n">
        <x:v>0</x:v>
      </x:c>
      <x:c r="AM155" s="8" t="n">
        <x:v>19.423</x:v>
      </x:c>
      <x:c r="AN155" s="8"/>
      <x:c r="AO155" s="8"/>
      <x:c r="AP155" s="8"/>
      <x:c r="AQ155" s="8"/>
      <x:c r="AR155" s="8"/>
      <x:c r="AS155" s="8"/>
      <x:c r="AT155" s="8"/>
      <x:c r="AU155" s="8"/>
      <x:c r="AV155" s="8"/>
      <x:c r="AW155" s="8"/>
      <x:c r="AX155" s="8"/>
      <x:c r="AY155" s="8"/>
      <x:c r="AZ155" s="8"/>
      <x:c r="BA155" s="8"/>
      <x:c r="BB155" s="8" t="str">
        <x:f>LET(m,MIN(IF(D155&gt;0,D155,1E+99),IF(F155&gt;0,F155,1E+99),IF(H155&gt;0,H155,1E+99),IF(J155&gt;0,J155,1E+99),IF(L155&gt;0,L155,1E+99),IF(N155&gt;0,N155,1E+99),IF(P155&gt;0,P155,1E+99),IF(R155&gt;0,R155,1E+99),IF(T155&gt;0,T155,1E+99),IF(V155&gt;0,V155,1E+99),IF(X155&gt;0,X155,1E+99),IF(Z155&gt;0,Z155,1E+99),IF(AB155&gt;0,AB155,1E+99),IF(AD155&gt;0,AD155,1E+99),IF(AF155&gt;0,AF155,1E+99),IF(AH155&gt;0,AH155,1E+99),IF(AJ155&gt;0,AJ155,1E+99),IF(AL155&gt;0,AL155,1E+99),IF(AN155&gt;0,AN155,1E+99),IF(AP155&gt;0,AP155,1E+99),IF(AR155&gt;0,AR155,1E+99),IF(AT155&gt;0,AT155,1E+99),IF(AV155&gt;0,AV155,1E+99),IF(AX155&gt;0,AX155,1E+99),IF(AZ155&gt;0,AZ155,1E+99)),IF(m=1E+99,"",m))</x:f>
      </x:c>
      <x:c r="BC155" s="12" t="str">
        <x:f>IF(BB155="","",INDEX({"v1.4.20","v1.4.20","v1.4.21","v1.4.21","v1.4.23","v1.4.23","v1.4.26","v1.4.26","v1.4.26.1","v1.4.26.1","v1.4.27","v1.4.27","v1.4.29","v1.4.29","v1.4.30","v1.4.30","v1.4.31","v1.4.31","v1.4.33","v1.4.33","v1.4.35","v1.4.35.2","v1.5","v1.5.1","v1.5.1"},MATCH(BB155,CHOOSE({1,2,3,4,5,6,7,8,9,10,11,12,13,14,15,16,17,18,19,20,21,22,23,24,25},D155,F155,H155,J155,L155,N155,P155,R155,T155,V155,X155,Z155,AB155,AD155,AF155,AH155,AJ155,AL155,AN155,AP155,AR155,AT155,AV155,AX155,AZ155),0)))</x:f>
      </x:c>
      <x:c r="BD155" s="14" t="n">
        <x:f>LET(m,MIN(IF(E155&gt;0,E155,1E+99),IF(G155&gt;0,G155,1E+99),IF(I155&gt;0,I155,1E+99),IF(K155&gt;0,K155,1E+99),IF(M155&gt;0,M155,1E+99),IF(O155&gt;0,O155,1E+99),IF(Q155&gt;0,Q155,1E+99),IF(S155&gt;0,S155,1E+99),IF(U155&gt;0,U155,1E+99),IF(W155&gt;0,W155,1E+99),IF(Y155&gt;0,Y155,1E+99),IF(AA155&gt;0,AA155,1E+99),IF(AC155&gt;0,AC155,1E+99),IF(AE155&gt;0,AE155,1E+99),IF(AG155&gt;0,AG155,1E+99),IF(AI155&gt;0,AI155,1E+99),IF(AK155&gt;0,AK155,1E+99),IF(AM155&gt;0,AM155,1E+99),IF(AO155&gt;0,AO155,1E+99),IF(AQ155&gt;0,AQ155,1E+99),IF(AS155&gt;0,AS155,1E+99),IF(AU155&gt;0,AU155,1E+99),IF(AW155&gt;0,AW155,1E+99),IF(AY155&gt;0,AY155,1E+99),IF(BA155&gt;0,BA155,1E+99)),IF(m=1E+99,"",m))</x:f>
        <x:v>19.423</x:v>
      </x:c>
      <x:c r="BE155" s="16" t="e">
        <x:f>IF(BD155="","",INDEX({"v1.4.20","v1.4.20","v1.4.21","v1.4.21","v1.4.23","v1.4.23","v1.4.26","v1.4.26","v1.4.26.1","v1.4.26.1","v1.4.27","v1.4.27","v1.4.29","v1.4.29","v1.4.30","v1.4.30","v1.4.31","v1.4.31","v1.4.33","v1.4.33","v1.4.35","v1.4.35.2","v1.5","v1.5.1","v1.5.1"},MATCH(BD155,CHOOSE({1,2,3,4,5,6,7,8,9,10,11,12,13,14,15,16,17,18,19,20,21,22,23,24,25},E155,G155,I155,K155,M155,O155,Q155,S155,U155,W155,Y155,AA155,AC155,AE155,AG155,AI155,AK155,AM155,AO155,AQ155,AS155,AU155,AW155,AY155,BA155),0)))</x:f>
      </x:c>
      <x:c r="BF155" s="10" t="str">
        <x:f>IFERROR((AX155-BB155)/BB155,"")</x:f>
      </x:c>
      <x:c r="BG155" s="10" t="n">
        <x:f>IFERROR((AY155-BD155)/BD155,"")</x:f>
        <x:v>-1</x:v>
      </x:c>
    </x:row>
    <x:row r="156">
      <x:c r="A156" t="str">
        <x:v>Demo P</x:v>
      </x:c>
      <x:c r="B156" t="str">
        <x:v>Create / Refresh All Templates</x:v>
      </x:c>
      <x:c r="C156" t="str">
        <x:v>Complete metadata-only template refresh: Template - Demo P</x:v>
      </x:c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  <x:c r="AA156" s="8"/>
      <x:c r="AB156" s="8"/>
      <x:c r="AC156" s="8"/>
      <x:c r="AD156" s="8"/>
      <x:c r="AE156" s="8"/>
      <x:c r="AF156" s="8"/>
      <x:c r="AG156" s="8"/>
      <x:c r="AH156" s="8"/>
      <x:c r="AI156" s="8"/>
      <x:c r="AJ156" s="8" t="n">
        <x:v>0</x:v>
      </x:c>
      <x:c r="AK156" s="8" t="n">
        <x:v>98.926</x:v>
      </x:c>
      <x:c r="AL156" s="8" t="n">
        <x:v>0</x:v>
      </x:c>
      <x:c r="AM156" s="8" t="n">
        <x:v>98.926</x:v>
      </x:c>
      <x:c r="AN156" s="8"/>
      <x:c r="AO156" s="8"/>
      <x:c r="AP156" s="8"/>
      <x:c r="AQ156" s="8"/>
      <x:c r="AR156" s="8"/>
      <x:c r="AS156" s="8"/>
      <x:c r="AT156" s="8"/>
      <x:c r="AU156" s="8"/>
      <x:c r="AV156" s="8"/>
      <x:c r="AW156" s="8"/>
      <x:c r="AX156" s="8"/>
      <x:c r="AY156" s="8"/>
      <x:c r="AZ156" s="8"/>
      <x:c r="BA156" s="8"/>
      <x:c r="BB156" s="8" t="str">
        <x:f>LET(m,MIN(IF(D156&gt;0,D156,1E+99),IF(F156&gt;0,F156,1E+99),IF(H156&gt;0,H156,1E+99),IF(J156&gt;0,J156,1E+99),IF(L156&gt;0,L156,1E+99),IF(N156&gt;0,N156,1E+99),IF(P156&gt;0,P156,1E+99),IF(R156&gt;0,R156,1E+99),IF(T156&gt;0,T156,1E+99),IF(V156&gt;0,V156,1E+99),IF(X156&gt;0,X156,1E+99),IF(Z156&gt;0,Z156,1E+99),IF(AB156&gt;0,AB156,1E+99),IF(AD156&gt;0,AD156,1E+99),IF(AF156&gt;0,AF156,1E+99),IF(AH156&gt;0,AH156,1E+99),IF(AJ156&gt;0,AJ156,1E+99),IF(AL156&gt;0,AL156,1E+99),IF(AN156&gt;0,AN156,1E+99),IF(AP156&gt;0,AP156,1E+99),IF(AR156&gt;0,AR156,1E+99),IF(AT156&gt;0,AT156,1E+99),IF(AV156&gt;0,AV156,1E+99),IF(AX156&gt;0,AX156,1E+99),IF(AZ156&gt;0,AZ156,1E+99)),IF(m=1E+99,"",m))</x:f>
      </x:c>
      <x:c r="BC156" s="12" t="str">
        <x:f>IF(BB156="","",INDEX({"v1.4.20","v1.4.20","v1.4.21","v1.4.21","v1.4.23","v1.4.23","v1.4.26","v1.4.26","v1.4.26.1","v1.4.26.1","v1.4.27","v1.4.27","v1.4.29","v1.4.29","v1.4.30","v1.4.30","v1.4.31","v1.4.31","v1.4.33","v1.4.33","v1.4.35","v1.4.35.2","v1.5","v1.5.1","v1.5.1"},MATCH(BB156,CHOOSE({1,2,3,4,5,6,7,8,9,10,11,12,13,14,15,16,17,18,19,20,21,22,23,24,25},D156,F156,H156,J156,L156,N156,P156,R156,T156,V156,X156,Z156,AB156,AD156,AF156,AH156,AJ156,AL156,AN156,AP156,AR156,AT156,AV156,AX156,AZ156),0)))</x:f>
      </x:c>
      <x:c r="BD156" s="14" t="n">
        <x:f>LET(m,MIN(IF(E156&gt;0,E156,1E+99),IF(G156&gt;0,G156,1E+99),IF(I156&gt;0,I156,1E+99),IF(K156&gt;0,K156,1E+99),IF(M156&gt;0,M156,1E+99),IF(O156&gt;0,O156,1E+99),IF(Q156&gt;0,Q156,1E+99),IF(S156&gt;0,S156,1E+99),IF(U156&gt;0,U156,1E+99),IF(W156&gt;0,W156,1E+99),IF(Y156&gt;0,Y156,1E+99),IF(AA156&gt;0,AA156,1E+99),IF(AC156&gt;0,AC156,1E+99),IF(AE156&gt;0,AE156,1E+99),IF(AG156&gt;0,AG156,1E+99),IF(AI156&gt;0,AI156,1E+99),IF(AK156&gt;0,AK156,1E+99),IF(AM156&gt;0,AM156,1E+99),IF(AO156&gt;0,AO156,1E+99),IF(AQ156&gt;0,AQ156,1E+99),IF(AS156&gt;0,AS156,1E+99),IF(AU156&gt;0,AU156,1E+99),IF(AW156&gt;0,AW156,1E+99),IF(AY156&gt;0,AY156,1E+99),IF(BA156&gt;0,BA156,1E+99)),IF(m=1E+99,"",m))</x:f>
        <x:v>98.926</x:v>
      </x:c>
      <x:c r="BE156" s="16" t="e">
        <x:f>IF(BD156="","",INDEX({"v1.4.20","v1.4.20","v1.4.21","v1.4.21","v1.4.23","v1.4.23","v1.4.26","v1.4.26","v1.4.26.1","v1.4.26.1","v1.4.27","v1.4.27","v1.4.29","v1.4.29","v1.4.30","v1.4.30","v1.4.31","v1.4.31","v1.4.33","v1.4.33","v1.4.35","v1.4.35.2","v1.5","v1.5.1","v1.5.1"},MATCH(BD156,CHOOSE({1,2,3,4,5,6,7,8,9,10,11,12,13,14,15,16,17,18,19,20,21,22,23,24,25},E156,G156,I156,K156,M156,O156,Q156,S156,U156,W156,Y156,AA156,AC156,AE156,AG156,AI156,AK156,AM156,AO156,AQ156,AS156,AU156,AW156,AY156,BA156),0)))</x:f>
      </x:c>
      <x:c r="BF156" s="10" t="str">
        <x:f>IFERROR((AX156-BB156)/BB156,"")</x:f>
      </x:c>
      <x:c r="BG156" s="10" t="n">
        <x:f>IFERROR((AY156-BD156)/BD156,"")</x:f>
        <x:v>-1</x:v>
      </x:c>
    </x:row>
    <x:row r="157">
      <x:c r="A157" t="str">
        <x:v>Demo P</x:v>
      </x:c>
      <x:c r="B157" t="str">
        <x:v>Create / Refresh All Templates</x:v>
      </x:c>
      <x:c r="C157" t="str">
        <x:v>Dashboard loaded</x:v>
      </x:c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  <x:c r="AA157" s="8"/>
      <x:c r="AB157" s="8"/>
      <x:c r="AC157" s="8"/>
      <x:c r="AD157" s="8"/>
      <x:c r="AE157" s="8"/>
      <x:c r="AF157" s="8"/>
      <x:c r="AG157" s="8"/>
      <x:c r="AH157" s="8"/>
      <x:c r="AI157" s="8"/>
      <x:c r="AJ157" s="8"/>
      <x:c r="AK157" s="8"/>
      <x:c r="AL157" s="8" t="n">
        <x:v>5.043</x:v>
      </x:c>
      <x:c r="AM157" s="8" t="n">
        <x:v>5.043</x:v>
      </x:c>
      <x:c r="AN157" s="8"/>
      <x:c r="AO157" s="8"/>
      <x:c r="AP157" s="8"/>
      <x:c r="AQ157" s="8"/>
      <x:c r="AR157" s="8"/>
      <x:c r="AS157" s="8"/>
      <x:c r="AT157" s="8"/>
      <x:c r="AU157" s="8"/>
      <x:c r="AV157" s="8"/>
      <x:c r="AW157" s="8"/>
      <x:c r="AX157" s="8"/>
      <x:c r="AY157" s="8"/>
      <x:c r="AZ157" s="8"/>
      <x:c r="BA157" s="8"/>
      <x:c r="BB157" s="8" t="n">
        <x:f>LET(m,MIN(IF(D157&gt;0,D157,1E+99),IF(F157&gt;0,F157,1E+99),IF(H157&gt;0,H157,1E+99),IF(J157&gt;0,J157,1E+99),IF(L157&gt;0,L157,1E+99),IF(N157&gt;0,N157,1E+99),IF(P157&gt;0,P157,1E+99),IF(R157&gt;0,R157,1E+99),IF(T157&gt;0,T157,1E+99),IF(V157&gt;0,V157,1E+99),IF(X157&gt;0,X157,1E+99),IF(Z157&gt;0,Z157,1E+99),IF(AB157&gt;0,AB157,1E+99),IF(AD157&gt;0,AD157,1E+99),IF(AF157&gt;0,AF157,1E+99),IF(AH157&gt;0,AH157,1E+99),IF(AJ157&gt;0,AJ157,1E+99),IF(AL157&gt;0,AL157,1E+99),IF(AN157&gt;0,AN157,1E+99),IF(AP157&gt;0,AP157,1E+99),IF(AR157&gt;0,AR157,1E+99),IF(AT157&gt;0,AT157,1E+99),IF(AV157&gt;0,AV157,1E+99),IF(AX157&gt;0,AX157,1E+99),IF(AZ157&gt;0,AZ157,1E+99)),IF(m=1E+99,"",m))</x:f>
        <x:v>5.043</x:v>
      </x:c>
      <x:c r="BC157" s="12" t="e">
        <x:f>IF(BB157="","",INDEX({"v1.4.20","v1.4.20","v1.4.21","v1.4.21","v1.4.23","v1.4.23","v1.4.26","v1.4.26","v1.4.26.1","v1.4.26.1","v1.4.27","v1.4.27","v1.4.29","v1.4.29","v1.4.30","v1.4.30","v1.4.31","v1.4.31","v1.4.33","v1.4.33","v1.4.35","v1.4.35.2","v1.5","v1.5.1","v1.5.1"},MATCH(BB157,CHOOSE({1,2,3,4,5,6,7,8,9,10,11,12,13,14,15,16,17,18,19,20,21,22,23,24,25},D157,F157,H157,J157,L157,N157,P157,R157,T157,V157,X157,Z157,AB157,AD157,AF157,AH157,AJ157,AL157,AN157,AP157,AR157,AT157,AV157,AX157,AZ157),0)))</x:f>
      </x:c>
      <x:c r="BD157" s="14" t="n">
        <x:f>LET(m,MIN(IF(E157&gt;0,E157,1E+99),IF(G157&gt;0,G157,1E+99),IF(I157&gt;0,I157,1E+99),IF(K157&gt;0,K157,1E+99),IF(M157&gt;0,M157,1E+99),IF(O157&gt;0,O157,1E+99),IF(Q157&gt;0,Q157,1E+99),IF(S157&gt;0,S157,1E+99),IF(U157&gt;0,U157,1E+99),IF(W157&gt;0,W157,1E+99),IF(Y157&gt;0,Y157,1E+99),IF(AA157&gt;0,AA157,1E+99),IF(AC157&gt;0,AC157,1E+99),IF(AE157&gt;0,AE157,1E+99),IF(AG157&gt;0,AG157,1E+99),IF(AI157&gt;0,AI157,1E+99),IF(AK157&gt;0,AK157,1E+99),IF(AM157&gt;0,AM157,1E+99),IF(AO157&gt;0,AO157,1E+99),IF(AQ157&gt;0,AQ157,1E+99),IF(AS157&gt;0,AS157,1E+99),IF(AU157&gt;0,AU157,1E+99),IF(AW157&gt;0,AW157,1E+99),IF(AY157&gt;0,AY157,1E+99),IF(BA157&gt;0,BA157,1E+99)),IF(m=1E+99,"",m))</x:f>
        <x:v>5.043</x:v>
      </x:c>
      <x:c r="BE157" s="16" t="e">
        <x:f>IF(BD157="","",INDEX({"v1.4.20","v1.4.20","v1.4.21","v1.4.21","v1.4.23","v1.4.23","v1.4.26","v1.4.26","v1.4.26.1","v1.4.26.1","v1.4.27","v1.4.27","v1.4.29","v1.4.29","v1.4.30","v1.4.30","v1.4.31","v1.4.31","v1.4.33","v1.4.33","v1.4.35","v1.4.35.2","v1.5","v1.5.1","v1.5.1"},MATCH(BD157,CHOOSE({1,2,3,4,5,6,7,8,9,10,11,12,13,14,15,16,17,18,19,20,21,22,23,24,25},E157,G157,I157,K157,M157,O157,Q157,S157,U157,W157,Y157,AA157,AC157,AE157,AG157,AI157,AK157,AM157,AO157,AQ157,AS157,AU157,AW157,AY157,BA157),0)))</x:f>
      </x:c>
      <x:c r="BF157" s="10" t="n">
        <x:f>IFERROR((AX157-BB157)/BB157,"")</x:f>
        <x:v>-1</x:v>
      </x:c>
      <x:c r="BG157" s="10" t="n">
        <x:f>IFERROR((AY157-BD157)/BD157,"")</x:f>
        <x:v>-1</x:v>
      </x:c>
    </x:row>
    <x:row r="158">
      <x:c r="A158" t="str">
        <x:v>Demo P</x:v>
      </x:c>
      <x:c r="B158" t="str">
        <x:v>Create / Refresh All Templates</x:v>
      </x:c>
      <x:c r="C158" t="str">
        <x:v>Metadata-only refresh; template unchanged: Template - Demo P</x:v>
      </x:c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  <x:c r="AA158" s="8"/>
      <x:c r="AB158" s="8"/>
      <x:c r="AC158" s="8"/>
      <x:c r="AD158" s="8"/>
      <x:c r="AE158" s="8"/>
      <x:c r="AF158" s="8"/>
      <x:c r="AG158" s="8"/>
      <x:c r="AH158" s="8"/>
      <x:c r="AI158" s="8"/>
      <x:c r="AJ158" s="8" t="n">
        <x:v>0.115</x:v>
      </x:c>
      <x:c r="AK158" s="8" t="n">
        <x:v>98.926</x:v>
      </x:c>
      <x:c r="AL158" s="8" t="n">
        <x:v>0.115</x:v>
      </x:c>
      <x:c r="AM158" s="8" t="n">
        <x:v>98.926</x:v>
      </x:c>
      <x:c r="AN158" s="8"/>
      <x:c r="AO158" s="8"/>
      <x:c r="AP158" s="8"/>
      <x:c r="AQ158" s="8"/>
      <x:c r="AR158" s="8"/>
      <x:c r="AS158" s="8"/>
      <x:c r="AT158" s="8"/>
      <x:c r="AU158" s="8"/>
      <x:c r="AV158" s="8"/>
      <x:c r="AW158" s="8"/>
      <x:c r="AX158" s="8"/>
      <x:c r="AY158" s="8"/>
      <x:c r="AZ158" s="8"/>
      <x:c r="BA158" s="8"/>
      <x:c r="BB158" s="8" t="n">
        <x:f>LET(m,MIN(IF(D158&gt;0,D158,1E+99),IF(F158&gt;0,F158,1E+99),IF(H158&gt;0,H158,1E+99),IF(J158&gt;0,J158,1E+99),IF(L158&gt;0,L158,1E+99),IF(N158&gt;0,N158,1E+99),IF(P158&gt;0,P158,1E+99),IF(R158&gt;0,R158,1E+99),IF(T158&gt;0,T158,1E+99),IF(V158&gt;0,V158,1E+99),IF(X158&gt;0,X158,1E+99),IF(Z158&gt;0,Z158,1E+99),IF(AB158&gt;0,AB158,1E+99),IF(AD158&gt;0,AD158,1E+99),IF(AF158&gt;0,AF158,1E+99),IF(AH158&gt;0,AH158,1E+99),IF(AJ158&gt;0,AJ158,1E+99),IF(AL158&gt;0,AL158,1E+99),IF(AN158&gt;0,AN158,1E+99),IF(AP158&gt;0,AP158,1E+99),IF(AR158&gt;0,AR158,1E+99),IF(AT158&gt;0,AT158,1E+99),IF(AV158&gt;0,AV158,1E+99),IF(AX158&gt;0,AX158,1E+99),IF(AZ158&gt;0,AZ158,1E+99)),IF(m=1E+99,"",m))</x:f>
        <x:v>0.115</x:v>
      </x:c>
      <x:c r="BC158" s="12" t="e">
        <x:f>IF(BB158="","",INDEX({"v1.4.20","v1.4.20","v1.4.21","v1.4.21","v1.4.23","v1.4.23","v1.4.26","v1.4.26","v1.4.26.1","v1.4.26.1","v1.4.27","v1.4.27","v1.4.29","v1.4.29","v1.4.30","v1.4.30","v1.4.31","v1.4.31","v1.4.33","v1.4.33","v1.4.35","v1.4.35.2","v1.5","v1.5.1","v1.5.1"},MATCH(BB158,CHOOSE({1,2,3,4,5,6,7,8,9,10,11,12,13,14,15,16,17,18,19,20,21,22,23,24,25},D158,F158,H158,J158,L158,N158,P158,R158,T158,V158,X158,Z158,AB158,AD158,AF158,AH158,AJ158,AL158,AN158,AP158,AR158,AT158,AV158,AX158,AZ158),0)))</x:f>
      </x:c>
      <x:c r="BD158" s="14" t="n">
        <x:f>LET(m,MIN(IF(E158&gt;0,E158,1E+99),IF(G158&gt;0,G158,1E+99),IF(I158&gt;0,I158,1E+99),IF(K158&gt;0,K158,1E+99),IF(M158&gt;0,M158,1E+99),IF(O158&gt;0,O158,1E+99),IF(Q158&gt;0,Q158,1E+99),IF(S158&gt;0,S158,1E+99),IF(U158&gt;0,U158,1E+99),IF(W158&gt;0,W158,1E+99),IF(Y158&gt;0,Y158,1E+99),IF(AA158&gt;0,AA158,1E+99),IF(AC158&gt;0,AC158,1E+99),IF(AE158&gt;0,AE158,1E+99),IF(AG158&gt;0,AG158,1E+99),IF(AI158&gt;0,AI158,1E+99),IF(AK158&gt;0,AK158,1E+99),IF(AM158&gt;0,AM158,1E+99),IF(AO158&gt;0,AO158,1E+99),IF(AQ158&gt;0,AQ158,1E+99),IF(AS158&gt;0,AS158,1E+99),IF(AU158&gt;0,AU158,1E+99),IF(AW158&gt;0,AW158,1E+99),IF(AY158&gt;0,AY158,1E+99),IF(BA158&gt;0,BA158,1E+99)),IF(m=1E+99,"",m))</x:f>
        <x:v>98.926</x:v>
      </x:c>
      <x:c r="BE158" s="16" t="e">
        <x:f>IF(BD158="","",INDEX({"v1.4.20","v1.4.20","v1.4.21","v1.4.21","v1.4.23","v1.4.23","v1.4.26","v1.4.26","v1.4.26.1","v1.4.26.1","v1.4.27","v1.4.27","v1.4.29","v1.4.29","v1.4.30","v1.4.30","v1.4.31","v1.4.31","v1.4.33","v1.4.33","v1.4.35","v1.4.35.2","v1.5","v1.5.1","v1.5.1"},MATCH(BD158,CHOOSE({1,2,3,4,5,6,7,8,9,10,11,12,13,14,15,16,17,18,19,20,21,22,23,24,25},E158,G158,I158,K158,M158,O158,Q158,S158,U158,W158,Y158,AA158,AC158,AE158,AG158,AI158,AK158,AM158,AO158,AQ158,AS158,AU158,AW158,AY158,BA158),0)))</x:f>
      </x:c>
      <x:c r="BF158" s="10" t="n">
        <x:f>IFERROR((AX158-BB158)/BB158,"")</x:f>
        <x:v>-1</x:v>
      </x:c>
      <x:c r="BG158" s="10" t="n">
        <x:f>IFERROR((AY158-BD158)/BD158,"")</x:f>
        <x:v>-1</x:v>
      </x:c>
    </x:row>
    <x:row r="159">
      <x:c r="A159" t="str">
        <x:v>Demo P</x:v>
      </x:c>
      <x:c r="B159" t="str">
        <x:v>Create / Refresh All Templates</x:v>
      </x:c>
      <x:c r="C159" t="str">
        <x:v>Resize columns: Template - Demo P (78 cols)</x:v>
      </x:c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 t="n">
        <x:v>1.359</x:v>
      </x:c>
      <x:c r="W159" s="8" t="n">
        <x:v>89.294</x:v>
      </x:c>
      <x:c r="X159" s="8"/>
      <x:c r="Y159" s="8"/>
      <x:c r="Z159" s="8"/>
      <x:c r="AA159" s="8"/>
      <x:c r="AB159" s="8"/>
      <x:c r="AC159" s="8"/>
      <x:c r="AD159" s="8"/>
      <x:c r="AE159" s="8"/>
      <x:c r="AF159" s="8" t="n">
        <x:v>0.713</x:v>
      </x:c>
      <x:c r="AG159" s="8" t="n">
        <x:v>127.613</x:v>
      </x:c>
      <x:c r="AH159" s="8"/>
      <x:c r="AI159" s="8"/>
      <x:c r="AJ159" s="8"/>
      <x:c r="AK159" s="8"/>
      <x:c r="AL159" s="8" t="n">
        <x:v>1.525</x:v>
      </x:c>
      <x:c r="AM159" s="8" t="n">
        <x:v>7.679</x:v>
      </x:c>
      <x:c r="AN159" s="8" t="n">
        <x:v>0.547</x:v>
      </x:c>
      <x:c r="AO159" s="8" t="n">
        <x:v>90.709</x:v>
      </x:c>
      <x:c r="AP159" s="8" t="n">
        <x:v>0.547</x:v>
      </x:c>
      <x:c r="AQ159" s="8" t="n">
        <x:v>90.709</x:v>
      </x:c>
      <x:c r="AR159" s="8"/>
      <x:c r="AS159" s="8"/>
      <x:c r="AT159" s="8"/>
      <x:c r="AU159" s="8"/>
      <x:c r="AV159" s="8"/>
      <x:c r="AW159" s="8"/>
      <x:c r="AX159" s="8"/>
      <x:c r="AY159" s="8"/>
      <x:c r="AZ159" s="8"/>
      <x:c r="BA159" s="8"/>
      <x:c r="BB159" s="8" t="n">
        <x:f>LET(m,MIN(IF(D159&gt;0,D159,1E+99),IF(F159&gt;0,F159,1E+99),IF(H159&gt;0,H159,1E+99),IF(J159&gt;0,J159,1E+99),IF(L159&gt;0,L159,1E+99),IF(N159&gt;0,N159,1E+99),IF(P159&gt;0,P159,1E+99),IF(R159&gt;0,R159,1E+99),IF(T159&gt;0,T159,1E+99),IF(V159&gt;0,V159,1E+99),IF(X159&gt;0,X159,1E+99),IF(Z159&gt;0,Z159,1E+99),IF(AB159&gt;0,AB159,1E+99),IF(AD159&gt;0,AD159,1E+99),IF(AF159&gt;0,AF159,1E+99),IF(AH159&gt;0,AH159,1E+99),IF(AJ159&gt;0,AJ159,1E+99),IF(AL159&gt;0,AL159,1E+99),IF(AN159&gt;0,AN159,1E+99),IF(AP159&gt;0,AP159,1E+99),IF(AR159&gt;0,AR159,1E+99),IF(AT159&gt;0,AT159,1E+99),IF(AV159&gt;0,AV159,1E+99),IF(AX159&gt;0,AX159,1E+99),IF(AZ159&gt;0,AZ159,1E+99)),IF(m=1E+99,"",m))</x:f>
        <x:v>0.547</x:v>
      </x:c>
      <x:c r="BC159" s="12" t="e">
        <x:f>IF(BB159="","",INDEX({"v1.4.20","v1.4.20","v1.4.21","v1.4.21","v1.4.23","v1.4.23","v1.4.26","v1.4.26","v1.4.26.1","v1.4.26.1","v1.4.27","v1.4.27","v1.4.29","v1.4.29","v1.4.30","v1.4.30","v1.4.31","v1.4.31","v1.4.33","v1.4.33","v1.4.35","v1.4.35.2","v1.5","v1.5.1","v1.5.1"},MATCH(BB159,CHOOSE({1,2,3,4,5,6,7,8,9,10,11,12,13,14,15,16,17,18,19,20,21,22,23,24,25},D159,F159,H159,J159,L159,N159,P159,R159,T159,V159,X159,Z159,AB159,AD159,AF159,AH159,AJ159,AL159,AN159,AP159,AR159,AT159,AV159,AX159,AZ159),0)))</x:f>
      </x:c>
      <x:c r="BD159" s="14" t="n">
        <x:f>LET(m,MIN(IF(E159&gt;0,E159,1E+99),IF(G159&gt;0,G159,1E+99),IF(I159&gt;0,I159,1E+99),IF(K159&gt;0,K159,1E+99),IF(M159&gt;0,M159,1E+99),IF(O159&gt;0,O159,1E+99),IF(Q159&gt;0,Q159,1E+99),IF(S159&gt;0,S159,1E+99),IF(U159&gt;0,U159,1E+99),IF(W159&gt;0,W159,1E+99),IF(Y159&gt;0,Y159,1E+99),IF(AA159&gt;0,AA159,1E+99),IF(AC159&gt;0,AC159,1E+99),IF(AE159&gt;0,AE159,1E+99),IF(AG159&gt;0,AG159,1E+99),IF(AI159&gt;0,AI159,1E+99),IF(AK159&gt;0,AK159,1E+99),IF(AM159&gt;0,AM159,1E+99),IF(AO159&gt;0,AO159,1E+99),IF(AQ159&gt;0,AQ159,1E+99),IF(AS159&gt;0,AS159,1E+99),IF(AU159&gt;0,AU159,1E+99),IF(AW159&gt;0,AW159,1E+99),IF(AY159&gt;0,AY159,1E+99),IF(BA159&gt;0,BA159,1E+99)),IF(m=1E+99,"",m))</x:f>
        <x:v>7.679</x:v>
      </x:c>
      <x:c r="BE159" s="16" t="e">
        <x:f>IF(BD159="","",INDEX({"v1.4.20","v1.4.20","v1.4.21","v1.4.21","v1.4.23","v1.4.23","v1.4.26","v1.4.26","v1.4.26.1","v1.4.26.1","v1.4.27","v1.4.27","v1.4.29","v1.4.29","v1.4.30","v1.4.30","v1.4.31","v1.4.31","v1.4.33","v1.4.33","v1.4.35","v1.4.35.2","v1.5","v1.5.1","v1.5.1"},MATCH(BD159,CHOOSE({1,2,3,4,5,6,7,8,9,10,11,12,13,14,15,16,17,18,19,20,21,22,23,24,25},E159,G159,I159,K159,M159,O159,Q159,S159,U159,W159,Y159,AA159,AC159,AE159,AG159,AI159,AK159,AM159,AO159,AQ159,AS159,AU159,AW159,AY159,BA159),0)))</x:f>
      </x:c>
      <x:c r="BF159" s="10" t="n">
        <x:f>IFERROR((AX159-BB159)/BB159,"")</x:f>
        <x:v>-1</x:v>
      </x:c>
      <x:c r="BG159" s="10" t="n">
        <x:f>IFERROR((AY159-BD159)/BD159,"")</x:f>
        <x:v>-1</x:v>
      </x:c>
    </x:row>
    <x:row r="160">
      <x:c r="A160" t="str">
        <x:v>Demo P</x:v>
      </x:c>
      <x:c r="B160" t="str">
        <x:v>Create / Refresh All Templates</x:v>
      </x:c>
      <x:c r="C160" t="str">
        <x:v>Resize rows: Template - Demo P (2500 rows)</x:v>
      </x:c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 t="n">
        <x:v>6.492</x:v>
      </x:c>
      <x:c r="W160" s="8" t="n">
        <x:v>87.935</x:v>
      </x:c>
      <x:c r="X160" s="8"/>
      <x:c r="Y160" s="8"/>
      <x:c r="Z160" s="8"/>
      <x:c r="AA160" s="8"/>
      <x:c r="AB160" s="8"/>
      <x:c r="AC160" s="8"/>
      <x:c r="AD160" s="8"/>
      <x:c r="AE160" s="8"/>
      <x:c r="AF160" s="8" t="n">
        <x:v>11.037</x:v>
      </x:c>
      <x:c r="AG160" s="8" t="n">
        <x:v>126.9</x:v>
      </x:c>
      <x:c r="AH160" s="8"/>
      <x:c r="AI160" s="8"/>
      <x:c r="AJ160" s="8"/>
      <x:c r="AK160" s="8"/>
      <x:c r="AL160" s="8" t="n">
        <x:v>0.182</x:v>
      </x:c>
      <x:c r="AM160" s="8" t="n">
        <x:v>6.154</x:v>
      </x:c>
      <x:c r="AN160" s="8" t="n">
        <x:v>7.61</x:v>
      </x:c>
      <x:c r="AO160" s="8" t="n">
        <x:v>90.162</x:v>
      </x:c>
      <x:c r="AP160" s="8" t="n">
        <x:v>7.61</x:v>
      </x:c>
      <x:c r="AQ160" s="8" t="n">
        <x:v>90.162</x:v>
      </x:c>
      <x:c r="AR160" s="8"/>
      <x:c r="AS160" s="8"/>
      <x:c r="AT160" s="8"/>
      <x:c r="AU160" s="8"/>
      <x:c r="AV160" s="8"/>
      <x:c r="AW160" s="8"/>
      <x:c r="AX160" s="8"/>
      <x:c r="AY160" s="8"/>
      <x:c r="AZ160" s="8"/>
      <x:c r="BA160" s="8"/>
      <x:c r="BB160" s="8" t="n">
        <x:f>LET(m,MIN(IF(D160&gt;0,D160,1E+99),IF(F160&gt;0,F160,1E+99),IF(H160&gt;0,H160,1E+99),IF(J160&gt;0,J160,1E+99),IF(L160&gt;0,L160,1E+99),IF(N160&gt;0,N160,1E+99),IF(P160&gt;0,P160,1E+99),IF(R160&gt;0,R160,1E+99),IF(T160&gt;0,T160,1E+99),IF(V160&gt;0,V160,1E+99),IF(X160&gt;0,X160,1E+99),IF(Z160&gt;0,Z160,1E+99),IF(AB160&gt;0,AB160,1E+99),IF(AD160&gt;0,AD160,1E+99),IF(AF160&gt;0,AF160,1E+99),IF(AH160&gt;0,AH160,1E+99),IF(AJ160&gt;0,AJ160,1E+99),IF(AL160&gt;0,AL160,1E+99),IF(AN160&gt;0,AN160,1E+99),IF(AP160&gt;0,AP160,1E+99),IF(AR160&gt;0,AR160,1E+99),IF(AT160&gt;0,AT160,1E+99),IF(AV160&gt;0,AV160,1E+99),IF(AX160&gt;0,AX160,1E+99),IF(AZ160&gt;0,AZ160,1E+99)),IF(m=1E+99,"",m))</x:f>
        <x:v>0.182</x:v>
      </x:c>
      <x:c r="BC160" s="12" t="e">
        <x:f>IF(BB160="","",INDEX({"v1.4.20","v1.4.20","v1.4.21","v1.4.21","v1.4.23","v1.4.23","v1.4.26","v1.4.26","v1.4.26.1","v1.4.26.1","v1.4.27","v1.4.27","v1.4.29","v1.4.29","v1.4.30","v1.4.30","v1.4.31","v1.4.31","v1.4.33","v1.4.33","v1.4.35","v1.4.35.2","v1.5","v1.5.1","v1.5.1"},MATCH(BB160,CHOOSE({1,2,3,4,5,6,7,8,9,10,11,12,13,14,15,16,17,18,19,20,21,22,23,24,25},D160,F160,H160,J160,L160,N160,P160,R160,T160,V160,X160,Z160,AB160,AD160,AF160,AH160,AJ160,AL160,AN160,AP160,AR160,AT160,AV160,AX160,AZ160),0)))</x:f>
      </x:c>
      <x:c r="BD160" s="14" t="n">
        <x:f>LET(m,MIN(IF(E160&gt;0,E160,1E+99),IF(G160&gt;0,G160,1E+99),IF(I160&gt;0,I160,1E+99),IF(K160&gt;0,K160,1E+99),IF(M160&gt;0,M160,1E+99),IF(O160&gt;0,O160,1E+99),IF(Q160&gt;0,Q160,1E+99),IF(S160&gt;0,S160,1E+99),IF(U160&gt;0,U160,1E+99),IF(W160&gt;0,W160,1E+99),IF(Y160&gt;0,Y160,1E+99),IF(AA160&gt;0,AA160,1E+99),IF(AC160&gt;0,AC160,1E+99),IF(AE160&gt;0,AE160,1E+99),IF(AG160&gt;0,AG160,1E+99),IF(AI160&gt;0,AI160,1E+99),IF(AK160&gt;0,AK160,1E+99),IF(AM160&gt;0,AM160,1E+99),IF(AO160&gt;0,AO160,1E+99),IF(AQ160&gt;0,AQ160,1E+99),IF(AS160&gt;0,AS160,1E+99),IF(AU160&gt;0,AU160,1E+99),IF(AW160&gt;0,AW160,1E+99),IF(AY160&gt;0,AY160,1E+99),IF(BA160&gt;0,BA160,1E+99)),IF(m=1E+99,"",m))</x:f>
        <x:v>6.154</x:v>
      </x:c>
      <x:c r="BE160" s="16" t="e">
        <x:f>IF(BD160="","",INDEX({"v1.4.20","v1.4.20","v1.4.21","v1.4.21","v1.4.23","v1.4.23","v1.4.26","v1.4.26","v1.4.26.1","v1.4.26.1","v1.4.27","v1.4.27","v1.4.29","v1.4.29","v1.4.30","v1.4.30","v1.4.31","v1.4.31","v1.4.33","v1.4.33","v1.4.35","v1.4.35.2","v1.5","v1.5.1","v1.5.1"},MATCH(BD160,CHOOSE({1,2,3,4,5,6,7,8,9,10,11,12,13,14,15,16,17,18,19,20,21,22,23,24,25},E160,G160,I160,K160,M160,O160,Q160,S160,U160,W160,Y160,AA160,AC160,AE160,AG160,AI160,AK160,AM160,AO160,AQ160,AS160,AU160,AW160,AY160,BA160),0)))</x:f>
      </x:c>
      <x:c r="BF160" s="10" t="n">
        <x:f>IFERROR((AX160-BB160)/BB160,"")</x:f>
        <x:v>-1</x:v>
      </x:c>
      <x:c r="BG160" s="10" t="n">
        <x:f>IFERROR((AY160-BD160)/BD160,"")</x:f>
        <x:v>-1</x:v>
      </x:c>
    </x:row>
    <x:row r="161">
      <x:c r="A161" t="str">
        <x:v>Demo P</x:v>
      </x:c>
      <x:c r="B161" t="str">
        <x:v>Create / Refresh All Templates</x:v>
      </x:c>
      <x:c r="C161" t="str">
        <x:v>Resize sheet: Template - Demo P (2500 rows x 75 cols)</x:v>
      </x:c>
      <x:c r="D161" s="8" t="n">
        <x:v>1.134</x:v>
      </x:c>
      <x:c r="E161" s="8" t="n">
        <x:v>86.317</x:v>
      </x:c>
      <x:c r="F161" s="8" t="n">
        <x:v>1.134</x:v>
      </x:c>
      <x:c r="G161" s="8" t="n">
        <x:v>86.317</x:v>
      </x:c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  <x:c r="AA161" s="8"/>
      <x:c r="AB161" s="8"/>
      <x:c r="AC161" s="8"/>
      <x:c r="AD161" s="8"/>
      <x:c r="AE161" s="8"/>
      <x:c r="AF161" s="8"/>
      <x:c r="AG161" s="8"/>
      <x:c r="AH161" s="8"/>
      <x:c r="AI161" s="8"/>
      <x:c r="AJ161" s="8"/>
      <x:c r="AK161" s="8"/>
      <x:c r="AL161" s="8"/>
      <x:c r="AM161" s="8"/>
      <x:c r="AN161" s="8"/>
      <x:c r="AO161" s="8"/>
      <x:c r="AP161" s="8"/>
      <x:c r="AQ161" s="8"/>
      <x:c r="AR161" s="8"/>
      <x:c r="AS161" s="8"/>
      <x:c r="AT161" s="8"/>
      <x:c r="AU161" s="8"/>
      <x:c r="AV161" s="8"/>
      <x:c r="AW161" s="8"/>
      <x:c r="AX161" s="8"/>
      <x:c r="AY161" s="8"/>
      <x:c r="AZ161" s="8"/>
      <x:c r="BA161" s="8"/>
      <x:c r="BB161" s="8" t="n">
        <x:f>LET(m,MIN(IF(D161&gt;0,D161,1E+99),IF(F161&gt;0,F161,1E+99),IF(H161&gt;0,H161,1E+99),IF(J161&gt;0,J161,1E+99),IF(L161&gt;0,L161,1E+99),IF(N161&gt;0,N161,1E+99),IF(P161&gt;0,P161,1E+99),IF(R161&gt;0,R161,1E+99),IF(T161&gt;0,T161,1E+99),IF(V161&gt;0,V161,1E+99),IF(X161&gt;0,X161,1E+99),IF(Z161&gt;0,Z161,1E+99),IF(AB161&gt;0,AB161,1E+99),IF(AD161&gt;0,AD161,1E+99),IF(AF161&gt;0,AF161,1E+99),IF(AH161&gt;0,AH161,1E+99),IF(AJ161&gt;0,AJ161,1E+99),IF(AL161&gt;0,AL161,1E+99),IF(AN161&gt;0,AN161,1E+99),IF(AP161&gt;0,AP161,1E+99),IF(AR161&gt;0,AR161,1E+99),IF(AT161&gt;0,AT161,1E+99),IF(AV161&gt;0,AV161,1E+99),IF(AX161&gt;0,AX161,1E+99),IF(AZ161&gt;0,AZ161,1E+99)),IF(m=1E+99,"",m))</x:f>
        <x:v>1.134</x:v>
      </x:c>
      <x:c r="BC161" s="12" t="str">
        <x:f>IF(BB161="","",INDEX({"v1.4.20","v1.4.20","v1.4.21","v1.4.21","v1.4.23","v1.4.23","v1.4.26","v1.4.26","v1.4.26.1","v1.4.26.1","v1.4.27","v1.4.27","v1.4.29","v1.4.29","v1.4.30","v1.4.30","v1.4.31","v1.4.31","v1.4.33","v1.4.33","v1.4.35","v1.4.35.2","v1.5","v1.5.1","v1.5.1"},MATCH(BB161,CHOOSE({1,2,3,4,5,6,7,8,9,10,11,12,13,14,15,16,17,18,19,20,21,22,23,24,25},D161,F161,H161,J161,L161,N161,P161,R161,T161,V161,X161,Z161,AB161,AD161,AF161,AH161,AJ161,AL161,AN161,AP161,AR161,AT161,AV161,AX161,AZ161),0)))</x:f>
        <x:v>v1.4.20</x:v>
      </x:c>
      <x:c r="BD161" s="14" t="n">
        <x:f>LET(m,MIN(IF(E161&gt;0,E161,1E+99),IF(G161&gt;0,G161,1E+99),IF(I161&gt;0,I161,1E+99),IF(K161&gt;0,K161,1E+99),IF(M161&gt;0,M161,1E+99),IF(O161&gt;0,O161,1E+99),IF(Q161&gt;0,Q161,1E+99),IF(S161&gt;0,S161,1E+99),IF(U161&gt;0,U161,1E+99),IF(W161&gt;0,W161,1E+99),IF(Y161&gt;0,Y161,1E+99),IF(AA161&gt;0,AA161,1E+99),IF(AC161&gt;0,AC161,1E+99),IF(AE161&gt;0,AE161,1E+99),IF(AG161&gt;0,AG161,1E+99),IF(AI161&gt;0,AI161,1E+99),IF(AK161&gt;0,AK161,1E+99),IF(AM161&gt;0,AM161,1E+99),IF(AO161&gt;0,AO161,1E+99),IF(AQ161&gt;0,AQ161,1E+99),IF(AS161&gt;0,AS161,1E+99),IF(AU161&gt;0,AU161,1E+99),IF(AW161&gt;0,AW161,1E+99),IF(AY161&gt;0,AY161,1E+99),IF(BA161&gt;0,BA161,1E+99)),IF(m=1E+99,"",m))</x:f>
        <x:v>86.317</x:v>
      </x:c>
      <x:c r="BE161" s="16" t="str">
        <x:f>IF(BD161="","",INDEX({"v1.4.20","v1.4.20","v1.4.21","v1.4.21","v1.4.23","v1.4.23","v1.4.26","v1.4.26","v1.4.26.1","v1.4.26.1","v1.4.27","v1.4.27","v1.4.29","v1.4.29","v1.4.30","v1.4.30","v1.4.31","v1.4.31","v1.4.33","v1.4.33","v1.4.35","v1.4.35.2","v1.5","v1.5.1","v1.5.1"},MATCH(BD161,CHOOSE({1,2,3,4,5,6,7,8,9,10,11,12,13,14,15,16,17,18,19,20,21,22,23,24,25},E161,G161,I161,K161,M161,O161,Q161,S161,U161,W161,Y161,AA161,AC161,AE161,AG161,AI161,AK161,AM161,AO161,AQ161,AS161,AU161,AW161,AY161,BA161),0)))</x:f>
        <x:v>v1.4.20</x:v>
      </x:c>
      <x:c r="BF161" s="10" t="n">
        <x:f>IFERROR((AX161-BB161)/BB161,"")</x:f>
        <x:v>-1</x:v>
      </x:c>
      <x:c r="BG161" s="10" t="n">
        <x:f>IFERROR((AY161-BD161)/BD161,"")</x:f>
        <x:v>-1</x:v>
      </x:c>
    </x:row>
    <x:row r="162">
      <x:c r="A162" t="str">
        <x:v>Demo P</x:v>
      </x:c>
      <x:c r="B162" t="str">
        <x:v>Create / Refresh All Templates</x:v>
      </x:c>
      <x:c r="C162" t="str">
        <x:v>Start</x:v>
      </x:c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  <x:c r="AA162" s="8"/>
      <x:c r="AB162" s="8"/>
      <x:c r="AC162" s="8"/>
      <x:c r="AD162" s="8"/>
      <x:c r="AE162" s="8"/>
      <x:c r="AF162" s="8"/>
      <x:c r="AG162" s="8"/>
      <x:c r="AH162" s="8"/>
      <x:c r="AI162" s="8"/>
      <x:c r="AJ162" s="8"/>
      <x:c r="AK162" s="8"/>
      <x:c r="AL162" s="8" t="n">
        <x:v>0</x:v>
      </x:c>
      <x:c r="AM162" s="8" t="n">
        <x:v>0</x:v>
      </x:c>
      <x:c r="AN162" s="8"/>
      <x:c r="AO162" s="8"/>
      <x:c r="AP162" s="8"/>
      <x:c r="AQ162" s="8"/>
      <x:c r="AR162" s="8"/>
      <x:c r="AS162" s="8"/>
      <x:c r="AT162" s="8"/>
      <x:c r="AU162" s="8"/>
      <x:c r="AV162" s="8"/>
      <x:c r="AW162" s="8"/>
      <x:c r="AX162" s="8"/>
      <x:c r="AY162" s="8"/>
      <x:c r="AZ162" s="8"/>
      <x:c r="BA162" s="8"/>
      <x:c r="BB162" s="8" t="str">
        <x:f>LET(m,MIN(IF(D162&gt;0,D162,1E+99),IF(F162&gt;0,F162,1E+99),IF(H162&gt;0,H162,1E+99),IF(J162&gt;0,J162,1E+99),IF(L162&gt;0,L162,1E+99),IF(N162&gt;0,N162,1E+99),IF(P162&gt;0,P162,1E+99),IF(R162&gt;0,R162,1E+99),IF(T162&gt;0,T162,1E+99),IF(V162&gt;0,V162,1E+99),IF(X162&gt;0,X162,1E+99),IF(Z162&gt;0,Z162,1E+99),IF(AB162&gt;0,AB162,1E+99),IF(AD162&gt;0,AD162,1E+99),IF(AF162&gt;0,AF162,1E+99),IF(AH162&gt;0,AH162,1E+99),IF(AJ162&gt;0,AJ162,1E+99),IF(AL162&gt;0,AL162,1E+99),IF(AN162&gt;0,AN162,1E+99),IF(AP162&gt;0,AP162,1E+99),IF(AR162&gt;0,AR162,1E+99),IF(AT162&gt;0,AT162,1E+99),IF(AV162&gt;0,AV162,1E+99),IF(AX162&gt;0,AX162,1E+99),IF(AZ162&gt;0,AZ162,1E+99)),IF(m=1E+99,"",m))</x:f>
      </x:c>
      <x:c r="BC162" s="12" t="str">
        <x:f>IF(BB162="","",INDEX({"v1.4.20","v1.4.20","v1.4.21","v1.4.21","v1.4.23","v1.4.23","v1.4.26","v1.4.26","v1.4.26.1","v1.4.26.1","v1.4.27","v1.4.27","v1.4.29","v1.4.29","v1.4.30","v1.4.30","v1.4.31","v1.4.31","v1.4.33","v1.4.33","v1.4.35","v1.4.35.2","v1.5","v1.5.1","v1.5.1"},MATCH(BB162,CHOOSE({1,2,3,4,5,6,7,8,9,10,11,12,13,14,15,16,17,18,19,20,21,22,23,24,25},D162,F162,H162,J162,L162,N162,P162,R162,T162,V162,X162,Z162,AB162,AD162,AF162,AH162,AJ162,AL162,AN162,AP162,AR162,AT162,AV162,AX162,AZ162),0)))</x:f>
      </x:c>
      <x:c r="BD162" s="14" t="str">
        <x:f>LET(m,MIN(IF(E162&gt;0,E162,1E+99),IF(G162&gt;0,G162,1E+99),IF(I162&gt;0,I162,1E+99),IF(K162&gt;0,K162,1E+99),IF(M162&gt;0,M162,1E+99),IF(O162&gt;0,O162,1E+99),IF(Q162&gt;0,Q162,1E+99),IF(S162&gt;0,S162,1E+99),IF(U162&gt;0,U162,1E+99),IF(W162&gt;0,W162,1E+99),IF(Y162&gt;0,Y162,1E+99),IF(AA162&gt;0,AA162,1E+99),IF(AC162&gt;0,AC162,1E+99),IF(AE162&gt;0,AE162,1E+99),IF(AG162&gt;0,AG162,1E+99),IF(AI162&gt;0,AI162,1E+99),IF(AK162&gt;0,AK162,1E+99),IF(AM162&gt;0,AM162,1E+99),IF(AO162&gt;0,AO162,1E+99),IF(AQ162&gt;0,AQ162,1E+99),IF(AS162&gt;0,AS162,1E+99),IF(AU162&gt;0,AU162,1E+99),IF(AW162&gt;0,AW162,1E+99),IF(AY162&gt;0,AY162,1E+99),IF(BA162&gt;0,BA162,1E+99)),IF(m=1E+99,"",m))</x:f>
      </x:c>
      <x:c r="BE162" s="16" t="str">
        <x:f>IF(BD162="","",INDEX({"v1.4.20","v1.4.20","v1.4.21","v1.4.21","v1.4.23","v1.4.23","v1.4.26","v1.4.26","v1.4.26.1","v1.4.26.1","v1.4.27","v1.4.27","v1.4.29","v1.4.29","v1.4.30","v1.4.30","v1.4.31","v1.4.31","v1.4.33","v1.4.33","v1.4.35","v1.4.35.2","v1.5","v1.5.1","v1.5.1"},MATCH(BD162,CHOOSE({1,2,3,4,5,6,7,8,9,10,11,12,13,14,15,16,17,18,19,20,21,22,23,24,25},E162,G162,I162,K162,M162,O162,Q162,S162,U162,W162,Y162,AA162,AC162,AE162,AG162,AI162,AK162,AM162,AO162,AQ162,AS162,AU162,AW162,AY162,BA162),0)))</x:f>
      </x:c>
      <x:c r="BF162" s="10" t="str">
        <x:f>IFERROR((AX162-BB162)/BB162,"")</x:f>
      </x:c>
      <x:c r="BG162" s="10" t="str">
        <x:f>IFERROR((AY162-BD162)/BD162,"")</x:f>
      </x:c>
    </x:row>
    <x:row r="163">
      <x:c r="A163" t="str">
        <x:v>Demo P</x:v>
      </x:c>
      <x:c r="B163" t="str">
        <x:v>Create / Refresh All Templates</x:v>
      </x:c>
      <x:c r="C163" t="str">
        <x:v>Template refresh decision: METADATA_ONLY - Template - Demo P (metadata refresh will run)</x:v>
      </x:c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  <x:c r="AA163" s="8"/>
      <x:c r="AB163" s="8"/>
      <x:c r="AC163" s="8"/>
      <x:c r="AD163" s="8"/>
      <x:c r="AE163" s="8"/>
      <x:c r="AF163" s="8"/>
      <x:c r="AG163" s="8"/>
      <x:c r="AH163" s="8"/>
      <x:c r="AI163" s="8"/>
      <x:c r="AJ163" s="8" t="n">
        <x:v>0</x:v>
      </x:c>
      <x:c r="AK163" s="8" t="n">
        <x:v>98.811</x:v>
      </x:c>
      <x:c r="AL163" s="8" t="n">
        <x:v>0</x:v>
      </x:c>
      <x:c r="AM163" s="8" t="n">
        <x:v>98.811</x:v>
      </x:c>
      <x:c r="AN163" s="8"/>
      <x:c r="AO163" s="8"/>
      <x:c r="AP163" s="8"/>
      <x:c r="AQ163" s="8"/>
      <x:c r="AR163" s="8"/>
      <x:c r="AS163" s="8"/>
      <x:c r="AT163" s="8"/>
      <x:c r="AU163" s="8"/>
      <x:c r="AV163" s="8"/>
      <x:c r="AW163" s="8"/>
      <x:c r="AX163" s="8"/>
      <x:c r="AY163" s="8"/>
      <x:c r="AZ163" s="8"/>
      <x:c r="BA163" s="8"/>
      <x:c r="BB163" s="8" t="str">
        <x:f>LET(m,MIN(IF(D163&gt;0,D163,1E+99),IF(F163&gt;0,F163,1E+99),IF(H163&gt;0,H163,1E+99),IF(J163&gt;0,J163,1E+99),IF(L163&gt;0,L163,1E+99),IF(N163&gt;0,N163,1E+99),IF(P163&gt;0,P163,1E+99),IF(R163&gt;0,R163,1E+99),IF(T163&gt;0,T163,1E+99),IF(V163&gt;0,V163,1E+99),IF(X163&gt;0,X163,1E+99),IF(Z163&gt;0,Z163,1E+99),IF(AB163&gt;0,AB163,1E+99),IF(AD163&gt;0,AD163,1E+99),IF(AF163&gt;0,AF163,1E+99),IF(AH163&gt;0,AH163,1E+99),IF(AJ163&gt;0,AJ163,1E+99),IF(AL163&gt;0,AL163,1E+99),IF(AN163&gt;0,AN163,1E+99),IF(AP163&gt;0,AP163,1E+99),IF(AR163&gt;0,AR163,1E+99),IF(AT163&gt;0,AT163,1E+99),IF(AV163&gt;0,AV163,1E+99),IF(AX163&gt;0,AX163,1E+99),IF(AZ163&gt;0,AZ163,1E+99)),IF(m=1E+99,"",m))</x:f>
      </x:c>
      <x:c r="BC163" s="12" t="str">
        <x:f>IF(BB163="","",INDEX({"v1.4.20","v1.4.20","v1.4.21","v1.4.21","v1.4.23","v1.4.23","v1.4.26","v1.4.26","v1.4.26.1","v1.4.26.1","v1.4.27","v1.4.27","v1.4.29","v1.4.29","v1.4.30","v1.4.30","v1.4.31","v1.4.31","v1.4.33","v1.4.33","v1.4.35","v1.4.35.2","v1.5","v1.5.1","v1.5.1"},MATCH(BB163,CHOOSE({1,2,3,4,5,6,7,8,9,10,11,12,13,14,15,16,17,18,19,20,21,22,23,24,25},D163,F163,H163,J163,L163,N163,P163,R163,T163,V163,X163,Z163,AB163,AD163,AF163,AH163,AJ163,AL163,AN163,AP163,AR163,AT163,AV163,AX163,AZ163),0)))</x:f>
      </x:c>
      <x:c r="BD163" s="14" t="n">
        <x:f>LET(m,MIN(IF(E163&gt;0,E163,1E+99),IF(G163&gt;0,G163,1E+99),IF(I163&gt;0,I163,1E+99),IF(K163&gt;0,K163,1E+99),IF(M163&gt;0,M163,1E+99),IF(O163&gt;0,O163,1E+99),IF(Q163&gt;0,Q163,1E+99),IF(S163&gt;0,S163,1E+99),IF(U163&gt;0,U163,1E+99),IF(W163&gt;0,W163,1E+99),IF(Y163&gt;0,Y163,1E+99),IF(AA163&gt;0,AA163,1E+99),IF(AC163&gt;0,AC163,1E+99),IF(AE163&gt;0,AE163,1E+99),IF(AG163&gt;0,AG163,1E+99),IF(AI163&gt;0,AI163,1E+99),IF(AK163&gt;0,AK163,1E+99),IF(AM163&gt;0,AM163,1E+99),IF(AO163&gt;0,AO163,1E+99),IF(AQ163&gt;0,AQ163,1E+99),IF(AS163&gt;0,AS163,1E+99),IF(AU163&gt;0,AU163,1E+99),IF(AW163&gt;0,AW163,1E+99),IF(AY163&gt;0,AY163,1E+99),IF(BA163&gt;0,BA163,1E+99)),IF(m=1E+99,"",m))</x:f>
        <x:v>98.811</x:v>
      </x:c>
      <x:c r="BE163" s="16" t="e">
        <x:f>IF(BD163="","",INDEX({"v1.4.20","v1.4.20","v1.4.21","v1.4.21","v1.4.23","v1.4.23","v1.4.26","v1.4.26","v1.4.26.1","v1.4.26.1","v1.4.27","v1.4.27","v1.4.29","v1.4.29","v1.4.30","v1.4.30","v1.4.31","v1.4.31","v1.4.33","v1.4.33","v1.4.35","v1.4.35.2","v1.5","v1.5.1","v1.5.1"},MATCH(BD163,CHOOSE({1,2,3,4,5,6,7,8,9,10,11,12,13,14,15,16,17,18,19,20,21,22,23,24,25},E163,G163,I163,K163,M163,O163,Q163,S163,U163,W163,Y163,AA163,AC163,AE163,AG163,AI163,AK163,AM163,AO163,AQ163,AS163,AU163,AW163,AY163,BA163),0)))</x:f>
      </x:c>
      <x:c r="BF163" s="10" t="str">
        <x:f>IFERROR((AX163-BB163)/BB163,"")</x:f>
      </x:c>
      <x:c r="BG163" s="10" t="n">
        <x:f>IFERROR((AY163-BD163)/BD163,"")</x:f>
        <x:v>-1</x:v>
      </x:c>
    </x:row>
    <x:row r="164">
      <x:c r="A164" t="str">
        <x:v>Demo P</x:v>
      </x:c>
      <x:c r="B164" t="str">
        <x:v>Create / Refresh All Templates</x:v>
      </x:c>
      <x:c r="C164" t="str">
        <x:v>Template signature matched - metadata refresh eligible: Template - Demo P</x:v>
      </x:c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  <x:c r="AA164" s="8"/>
      <x:c r="AB164" s="8"/>
      <x:c r="AC164" s="8"/>
      <x:c r="AD164" s="8"/>
      <x:c r="AE164" s="8"/>
      <x:c r="AF164" s="8"/>
      <x:c r="AG164" s="8"/>
      <x:c r="AH164" s="8"/>
      <x:c r="AI164" s="8"/>
      <x:c r="AJ164" s="8" t="n">
        <x:v>0.409</x:v>
      </x:c>
      <x:c r="AK164" s="8" t="n">
        <x:v>98.811</x:v>
      </x:c>
      <x:c r="AL164" s="8" t="n">
        <x:v>0.409</x:v>
      </x:c>
      <x:c r="AM164" s="8" t="n">
        <x:v>98.811</x:v>
      </x:c>
      <x:c r="AN164" s="8"/>
      <x:c r="AO164" s="8"/>
      <x:c r="AP164" s="8"/>
      <x:c r="AQ164" s="8"/>
      <x:c r="AR164" s="8"/>
      <x:c r="AS164" s="8"/>
      <x:c r="AT164" s="8"/>
      <x:c r="AU164" s="8"/>
      <x:c r="AV164" s="8"/>
      <x:c r="AW164" s="8"/>
      <x:c r="AX164" s="8"/>
      <x:c r="AY164" s="8"/>
      <x:c r="AZ164" s="8"/>
      <x:c r="BA164" s="8"/>
      <x:c r="BB164" s="8" t="n">
        <x:f>LET(m,MIN(IF(D164&gt;0,D164,1E+99),IF(F164&gt;0,F164,1E+99),IF(H164&gt;0,H164,1E+99),IF(J164&gt;0,J164,1E+99),IF(L164&gt;0,L164,1E+99),IF(N164&gt;0,N164,1E+99),IF(P164&gt;0,P164,1E+99),IF(R164&gt;0,R164,1E+99),IF(T164&gt;0,T164,1E+99),IF(V164&gt;0,V164,1E+99),IF(X164&gt;0,X164,1E+99),IF(Z164&gt;0,Z164,1E+99),IF(AB164&gt;0,AB164,1E+99),IF(AD164&gt;0,AD164,1E+99),IF(AF164&gt;0,AF164,1E+99),IF(AH164&gt;0,AH164,1E+99),IF(AJ164&gt;0,AJ164,1E+99),IF(AL164&gt;0,AL164,1E+99),IF(AN164&gt;0,AN164,1E+99),IF(AP164&gt;0,AP164,1E+99),IF(AR164&gt;0,AR164,1E+99),IF(AT164&gt;0,AT164,1E+99),IF(AV164&gt;0,AV164,1E+99),IF(AX164&gt;0,AX164,1E+99),IF(AZ164&gt;0,AZ164,1E+99)),IF(m=1E+99,"",m))</x:f>
        <x:v>0.409</x:v>
      </x:c>
      <x:c r="BC164" s="12" t="e">
        <x:f>IF(BB164="","",INDEX({"v1.4.20","v1.4.20","v1.4.21","v1.4.21","v1.4.23","v1.4.23","v1.4.26","v1.4.26","v1.4.26.1","v1.4.26.1","v1.4.27","v1.4.27","v1.4.29","v1.4.29","v1.4.30","v1.4.30","v1.4.31","v1.4.31","v1.4.33","v1.4.33","v1.4.35","v1.4.35.2","v1.5","v1.5.1","v1.5.1"},MATCH(BB164,CHOOSE({1,2,3,4,5,6,7,8,9,10,11,12,13,14,15,16,17,18,19,20,21,22,23,24,25},D164,F164,H164,J164,L164,N164,P164,R164,T164,V164,X164,Z164,AB164,AD164,AF164,AH164,AJ164,AL164,AN164,AP164,AR164,AT164,AV164,AX164,AZ164),0)))</x:f>
      </x:c>
      <x:c r="BD164" s="14" t="n">
        <x:f>LET(m,MIN(IF(E164&gt;0,E164,1E+99),IF(G164&gt;0,G164,1E+99),IF(I164&gt;0,I164,1E+99),IF(K164&gt;0,K164,1E+99),IF(M164&gt;0,M164,1E+99),IF(O164&gt;0,O164,1E+99),IF(Q164&gt;0,Q164,1E+99),IF(S164&gt;0,S164,1E+99),IF(U164&gt;0,U164,1E+99),IF(W164&gt;0,W164,1E+99),IF(Y164&gt;0,Y164,1E+99),IF(AA164&gt;0,AA164,1E+99),IF(AC164&gt;0,AC164,1E+99),IF(AE164&gt;0,AE164,1E+99),IF(AG164&gt;0,AG164,1E+99),IF(AI164&gt;0,AI164,1E+99),IF(AK164&gt;0,AK164,1E+99),IF(AM164&gt;0,AM164,1E+99),IF(AO164&gt;0,AO164,1E+99),IF(AQ164&gt;0,AQ164,1E+99),IF(AS164&gt;0,AS164,1E+99),IF(AU164&gt;0,AU164,1E+99),IF(AW164&gt;0,AW164,1E+99),IF(AY164&gt;0,AY164,1E+99),IF(BA164&gt;0,BA164,1E+99)),IF(m=1E+99,"",m))</x:f>
        <x:v>98.811</x:v>
      </x:c>
      <x:c r="BE164" s="16" t="e">
        <x:f>IF(BD164="","",INDEX({"v1.4.20","v1.4.20","v1.4.21","v1.4.21","v1.4.23","v1.4.23","v1.4.26","v1.4.26","v1.4.26.1","v1.4.26.1","v1.4.27","v1.4.27","v1.4.29","v1.4.29","v1.4.30","v1.4.30","v1.4.31","v1.4.31","v1.4.33","v1.4.33","v1.4.35","v1.4.35.2","v1.5","v1.5.1","v1.5.1"},MATCH(BD164,CHOOSE({1,2,3,4,5,6,7,8,9,10,11,12,13,14,15,16,17,18,19,20,21,22,23,24,25},E164,G164,I164,K164,M164,O164,Q164,S164,U164,W164,Y164,AA164,AC164,AE164,AG164,AI164,AK164,AM164,AO164,AQ164,AS164,AU164,AW164,AY164,BA164),0)))</x:f>
      </x:c>
      <x:c r="BF164" s="10" t="n">
        <x:f>IFERROR((AX164-BB164)/BB164,"")</x:f>
        <x:v>-1</x:v>
      </x:c>
      <x:c r="BG164" s="10" t="n">
        <x:f>IFERROR((AY164-BD164)/BD164,"")</x:f>
        <x:v>-1</x:v>
      </x:c>
    </x:row>
    <x:row r="165">
      <x:c r="A165" t="str">
        <x:v>Master List</x:v>
      </x:c>
      <x:c r="B165" t="str">
        <x:v>Create / Refresh All Templates</x:v>
      </x:c>
      <x:c r="C165" t="str">
        <x:v>Open/create sheet: Template - Master List</x:v>
      </x:c>
      <x:c r="D165" s="8" t="n">
        <x:v>2.253</x:v>
      </x:c>
      <x:c r="E165" s="8" t="n">
        <x:v>102.157</x:v>
      </x:c>
      <x:c r="F165" s="8" t="n">
        <x:v>2.253</x:v>
      </x:c>
      <x:c r="G165" s="8" t="n">
        <x:v>102.157</x:v>
      </x:c>
      <x:c r="H165" s="8" t="n">
        <x:v>2.361</x:v>
      </x:c>
      <x:c r="I165" s="8" t="n">
        <x:v>130.553</x:v>
      </x:c>
      <x:c r="J165" s="8"/>
      <x:c r="K165" s="8"/>
      <x:c r="L165" s="8" t="n">
        <x:v>2.84</x:v>
      </x:c>
      <x:c r="M165" s="8" t="n">
        <x:v>126.54</x:v>
      </x:c>
      <x:c r="N165" s="8" t="n">
        <x:v>2.84</x:v>
      </x:c>
      <x:c r="O165" s="8" t="n">
        <x:v>126.54</x:v>
      </x:c>
      <x:c r="P165" s="8" t="n">
        <x:v>1.703</x:v>
      </x:c>
      <x:c r="Q165" s="8" t="n">
        <x:v>79.182</x:v>
      </x:c>
      <x:c r="R165" s="8" t="n">
        <x:v>1.703</x:v>
      </x:c>
      <x:c r="S165" s="8" t="n">
        <x:v>79.182</x:v>
      </x:c>
      <x:c r="T165" s="8" t="n">
        <x:v>2.059</x:v>
      </x:c>
      <x:c r="U165" s="8" t="n">
        <x:v>106.446</x:v>
      </x:c>
      <x:c r="V165" s="8" t="n">
        <x:v>2.059</x:v>
      </x:c>
      <x:c r="W165" s="8" t="n">
        <x:v>106.446</x:v>
      </x:c>
      <x:c r="X165" s="8" t="n">
        <x:v>3.942</x:v>
      </x:c>
      <x:c r="Y165" s="8" t="n">
        <x:v>158.923</x:v>
      </x:c>
      <x:c r="Z165" s="8" t="n">
        <x:v>3.942</x:v>
      </x:c>
      <x:c r="AA165" s="8" t="n">
        <x:v>158.923</x:v>
      </x:c>
      <x:c r="AB165" s="8" t="n">
        <x:v>3.345</x:v>
      </x:c>
      <x:c r="AC165" s="8" t="n">
        <x:v>143.303</x:v>
      </x:c>
      <x:c r="AD165" s="8" t="n">
        <x:v>3.345</x:v>
      </x:c>
      <x:c r="AE165" s="8" t="n">
        <x:v>143.303</x:v>
      </x:c>
      <x:c r="AF165" s="8" t="n">
        <x:v>3.199</x:v>
      </x:c>
      <x:c r="AG165" s="8" t="n">
        <x:v>149.895</x:v>
      </x:c>
      <x:c r="AH165" s="8"/>
      <x:c r="AI165" s="8"/>
      <x:c r="AJ165" s="8" t="n">
        <x:v>2.383</x:v>
      </x:c>
      <x:c r="AK165" s="8" t="n">
        <x:v>101.309</x:v>
      </x:c>
      <x:c r="AL165" s="8" t="n">
        <x:v>2.383</x:v>
      </x:c>
      <x:c r="AM165" s="8" t="n">
        <x:v>101.309</x:v>
      </x:c>
      <x:c r="AN165" s="8" t="n">
        <x:v>2.237</x:v>
      </x:c>
      <x:c r="AO165" s="8" t="n">
        <x:v>106.187</x:v>
      </x:c>
      <x:c r="AP165" s="8" t="n">
        <x:v>2.237</x:v>
      </x:c>
      <x:c r="AQ165" s="8" t="n">
        <x:v>106.187</x:v>
      </x:c>
      <x:c r="AR165" s="8" t="n">
        <x:v>3.587</x:v>
      </x:c>
      <x:c r="AS165" s="8" t="n">
        <x:v>156.369</x:v>
      </x:c>
      <x:c r="AT165" s="8" t="n">
        <x:v>2.24</x:v>
      </x:c>
      <x:c r="AU165" s="8" t="n">
        <x:v>114.788</x:v>
      </x:c>
      <x:c r="AV165" s="8" t="n">
        <x:v>3.15</x:v>
      </x:c>
      <x:c r="AW165" s="8" t="n">
        <x:v>137</x:v>
      </x:c>
      <x:c r="AX165" s="8" t="n">
        <x:v>3.976</x:v>
      </x:c>
      <x:c r="AY165" s="8" t="n">
        <x:v>140.421</x:v>
      </x:c>
      <x:c r="AZ165" s="8" t="n">
        <x:v>3.976</x:v>
      </x:c>
      <x:c r="BA165" s="8" t="n">
        <x:v>140.421</x:v>
      </x:c>
      <x:c r="BB165" s="8" t="n">
        <x:f>LET(m,MIN(IF(D165&gt;0,D165,1E+99),IF(F165&gt;0,F165,1E+99),IF(H165&gt;0,H165,1E+99),IF(J165&gt;0,J165,1E+99),IF(L165&gt;0,L165,1E+99),IF(N165&gt;0,N165,1E+99),IF(P165&gt;0,P165,1E+99),IF(R165&gt;0,R165,1E+99),IF(T165&gt;0,T165,1E+99),IF(V165&gt;0,V165,1E+99),IF(X165&gt;0,X165,1E+99),IF(Z165&gt;0,Z165,1E+99),IF(AB165&gt;0,AB165,1E+99),IF(AD165&gt;0,AD165,1E+99),IF(AF165&gt;0,AF165,1E+99),IF(AH165&gt;0,AH165,1E+99),IF(AJ165&gt;0,AJ165,1E+99),IF(AL165&gt;0,AL165,1E+99),IF(AN165&gt;0,AN165,1E+99),IF(AP165&gt;0,AP165,1E+99),IF(AR165&gt;0,AR165,1E+99),IF(AT165&gt;0,AT165,1E+99),IF(AV165&gt;0,AV165,1E+99),IF(AX165&gt;0,AX165,1E+99),IF(AZ165&gt;0,AZ165,1E+99)),IF(m=1E+99,"",m))</x:f>
        <x:v>1.703</x:v>
      </x:c>
      <x:c r="BC165" s="12" t="e">
        <x:f>IF(BB165="","",INDEX({"v1.4.20","v1.4.20","v1.4.21","v1.4.21","v1.4.23","v1.4.23","v1.4.26","v1.4.26","v1.4.26.1","v1.4.26.1","v1.4.27","v1.4.27","v1.4.29","v1.4.29","v1.4.30","v1.4.30","v1.4.31","v1.4.31","v1.4.33","v1.4.33","v1.4.35","v1.4.35.2","v1.5","v1.5.1","v1.5.1"},MATCH(BB165,CHOOSE({1,2,3,4,5,6,7,8,9,10,11,12,13,14,15,16,17,18,19,20,21,22,23,24,25},D165,F165,H165,J165,L165,N165,P165,R165,T165,V165,X165,Z165,AB165,AD165,AF165,AH165,AJ165,AL165,AN165,AP165,AR165,AT165,AV165,AX165,AZ165),0)))</x:f>
      </x:c>
      <x:c r="BD165" s="14" t="n">
        <x:f>LET(m,MIN(IF(E165&gt;0,E165,1E+99),IF(G165&gt;0,G165,1E+99),IF(I165&gt;0,I165,1E+99),IF(K165&gt;0,K165,1E+99),IF(M165&gt;0,M165,1E+99),IF(O165&gt;0,O165,1E+99),IF(Q165&gt;0,Q165,1E+99),IF(S165&gt;0,S165,1E+99),IF(U165&gt;0,U165,1E+99),IF(W165&gt;0,W165,1E+99),IF(Y165&gt;0,Y165,1E+99),IF(AA165&gt;0,AA165,1E+99),IF(AC165&gt;0,AC165,1E+99),IF(AE165&gt;0,AE165,1E+99),IF(AG165&gt;0,AG165,1E+99),IF(AI165&gt;0,AI165,1E+99),IF(AK165&gt;0,AK165,1E+99),IF(AM165&gt;0,AM165,1E+99),IF(AO165&gt;0,AO165,1E+99),IF(AQ165&gt;0,AQ165,1E+99),IF(AS165&gt;0,AS165,1E+99),IF(AU165&gt;0,AU165,1E+99),IF(AW165&gt;0,AW165,1E+99),IF(AY165&gt;0,AY165,1E+99),IF(BA165&gt;0,BA165,1E+99)),IF(m=1E+99,"",m))</x:f>
        <x:v>79.182</x:v>
      </x:c>
      <x:c r="BE165" s="16" t="e">
        <x:f>IF(BD165="","",INDEX({"v1.4.20","v1.4.20","v1.4.21","v1.4.21","v1.4.23","v1.4.23","v1.4.26","v1.4.26","v1.4.26.1","v1.4.26.1","v1.4.27","v1.4.27","v1.4.29","v1.4.29","v1.4.30","v1.4.30","v1.4.31","v1.4.31","v1.4.33","v1.4.33","v1.4.35","v1.4.35.2","v1.5","v1.5.1","v1.5.1"},MATCH(BD165,CHOOSE({1,2,3,4,5,6,7,8,9,10,11,12,13,14,15,16,17,18,19,20,21,22,23,24,25},E165,G165,I165,K165,M165,O165,Q165,S165,U165,W165,Y165,AA165,AC165,AE165,AG165,AI165,AK165,AM165,AO165,AQ165,AS165,AU165,AW165,AY165,BA165),0)))</x:f>
      </x:c>
      <x:c r="BF165" s="10" t="n">
        <x:f>IFERROR((AX165-BB165)/BB165,"")</x:f>
        <x:v>1.3347034644744566</x:v>
      </x:c>
      <x:c r="BG165" s="10" t="n">
        <x:f>IFERROR((AY165-BD165)/BD165,"")</x:f>
        <x:v>0.7733954686671212</x:v>
      </x:c>
    </x:row>
    <x:row r="166">
      <x:c r="A166" t="str">
        <x:v>Master List</x:v>
      </x:c>
      <x:c r="B166" t="str">
        <x:v>Create / Refresh All Templates</x:v>
      </x:c>
      <x:c r="C166" t="str">
        <x:v>Template signature mismatch - full build required: Template - Master List</x:v>
      </x:c>
      <x:c r="D166" s="8" t="n">
        <x:v>0.044</x:v>
      </x:c>
      <x:c r="E166" s="8" t="n">
        <x:v>102.201</x:v>
      </x:c>
      <x:c r="F166" s="8" t="n">
        <x:v>0.044</x:v>
      </x:c>
      <x:c r="G166" s="8" t="n">
        <x:v>102.201</x:v>
      </x:c>
      <x:c r="H166" s="8" t="n">
        <x:v>0.02</x:v>
      </x:c>
      <x:c r="I166" s="8" t="n">
        <x:v>130.573</x:v>
      </x:c>
      <x:c r="J166" s="8"/>
      <x:c r="K166" s="8"/>
      <x:c r="L166" s="8" t="n">
        <x:v>0.056</x:v>
      </x:c>
      <x:c r="M166" s="8" t="n">
        <x:v>126.596</x:v>
      </x:c>
      <x:c r="N166" s="8" t="n">
        <x:v>0.056</x:v>
      </x:c>
      <x:c r="O166" s="8" t="n">
        <x:v>126.596</x:v>
      </x:c>
      <x:c r="P166" s="8" t="n">
        <x:v>0.036</x:v>
      </x:c>
      <x:c r="Q166" s="8" t="n">
        <x:v>79.218</x:v>
      </x:c>
      <x:c r="R166" s="8" t="n">
        <x:v>0.036</x:v>
      </x:c>
      <x:c r="S166" s="8" t="n">
        <x:v>79.218</x:v>
      </x:c>
      <x:c r="T166" s="8" t="n">
        <x:v>0.089</x:v>
      </x:c>
      <x:c r="U166" s="8" t="n">
        <x:v>106.535</x:v>
      </x:c>
      <x:c r="V166" s="8" t="n">
        <x:v>0.089</x:v>
      </x:c>
      <x:c r="W166" s="8" t="n">
        <x:v>106.535</x:v>
      </x:c>
      <x:c r="X166" s="8" t="n">
        <x:v>0.09</x:v>
      </x:c>
      <x:c r="Y166" s="8" t="n">
        <x:v>159.013</x:v>
      </x:c>
      <x:c r="Z166" s="8" t="n">
        <x:v>0.09</x:v>
      </x:c>
      <x:c r="AA166" s="8" t="n">
        <x:v>159.013</x:v>
      </x:c>
      <x:c r="AB166" s="8" t="n">
        <x:v>0.037</x:v>
      </x:c>
      <x:c r="AC166" s="8" t="n">
        <x:v>143.34</x:v>
      </x:c>
      <x:c r="AD166" s="8" t="n">
        <x:v>0.037</x:v>
      </x:c>
      <x:c r="AE166" s="8" t="n">
        <x:v>143.34</x:v>
      </x:c>
      <x:c r="AF166" s="8" t="n">
        <x:v>0.021</x:v>
      </x:c>
      <x:c r="AG166" s="8" t="n">
        <x:v>149.916</x:v>
      </x:c>
      <x:c r="AH166" s="8"/>
      <x:c r="AI166" s="8"/>
      <x:c r="AJ166" s="8" t="n">
        <x:v>0.021</x:v>
      </x:c>
      <x:c r="AK166" s="8" t="n">
        <x:v>101.33</x:v>
      </x:c>
      <x:c r="AL166" s="8" t="n">
        <x:v>0.021</x:v>
      </x:c>
      <x:c r="AM166" s="8" t="n">
        <x:v>101.33</x:v>
      </x:c>
      <x:c r="AN166" s="8" t="n">
        <x:v>0.048</x:v>
      </x:c>
      <x:c r="AO166" s="8" t="n">
        <x:v>106.235</x:v>
      </x:c>
      <x:c r="AP166" s="8" t="n">
        <x:v>0.048</x:v>
      </x:c>
      <x:c r="AQ166" s="8" t="n">
        <x:v>106.235</x:v>
      </x:c>
      <x:c r="AR166" s="8" t="n">
        <x:v>0.028</x:v>
      </x:c>
      <x:c r="AS166" s="8" t="n">
        <x:v>156.397</x:v>
      </x:c>
      <x:c r="AT166" s="8" t="n">
        <x:v>0.014</x:v>
      </x:c>
      <x:c r="AU166" s="8" t="n">
        <x:v>114.802</x:v>
      </x:c>
      <x:c r="AV166" s="8" t="n">
        <x:v>0.044</x:v>
      </x:c>
      <x:c r="AW166" s="8" t="n">
        <x:v>137.044</x:v>
      </x:c>
      <x:c r="AX166" s="8" t="n">
        <x:v>0.045</x:v>
      </x:c>
      <x:c r="AY166" s="8" t="n">
        <x:v>140.466</x:v>
      </x:c>
      <x:c r="AZ166" s="8" t="n">
        <x:v>0.045</x:v>
      </x:c>
      <x:c r="BA166" s="8" t="n">
        <x:v>140.466</x:v>
      </x:c>
      <x:c r="BB166" s="8" t="n">
        <x:f>LET(m,MIN(IF(D166&gt;0,D166,1E+99),IF(F166&gt;0,F166,1E+99),IF(H166&gt;0,H166,1E+99),IF(J166&gt;0,J166,1E+99),IF(L166&gt;0,L166,1E+99),IF(N166&gt;0,N166,1E+99),IF(P166&gt;0,P166,1E+99),IF(R166&gt;0,R166,1E+99),IF(T166&gt;0,T166,1E+99),IF(V166&gt;0,V166,1E+99),IF(X166&gt;0,X166,1E+99),IF(Z166&gt;0,Z166,1E+99),IF(AB166&gt;0,AB166,1E+99),IF(AD166&gt;0,AD166,1E+99),IF(AF166&gt;0,AF166,1E+99),IF(AH166&gt;0,AH166,1E+99),IF(AJ166&gt;0,AJ166,1E+99),IF(AL166&gt;0,AL166,1E+99),IF(AN166&gt;0,AN166,1E+99),IF(AP166&gt;0,AP166,1E+99),IF(AR166&gt;0,AR166,1E+99),IF(AT166&gt;0,AT166,1E+99),IF(AV166&gt;0,AV166,1E+99),IF(AX166&gt;0,AX166,1E+99),IF(AZ166&gt;0,AZ166,1E+99)),IF(m=1E+99,"",m))</x:f>
        <x:v>0.014</x:v>
      </x:c>
      <x:c r="BC166" s="12" t="e">
        <x:f>IF(BB166="","",INDEX({"v1.4.20","v1.4.20","v1.4.21","v1.4.21","v1.4.23","v1.4.23","v1.4.26","v1.4.26","v1.4.26.1","v1.4.26.1","v1.4.27","v1.4.27","v1.4.29","v1.4.29","v1.4.30","v1.4.30","v1.4.31","v1.4.31","v1.4.33","v1.4.33","v1.4.35","v1.4.35.2","v1.5","v1.5.1","v1.5.1"},MATCH(BB166,CHOOSE({1,2,3,4,5,6,7,8,9,10,11,12,13,14,15,16,17,18,19,20,21,22,23,24,25},D166,F166,H166,J166,L166,N166,P166,R166,T166,V166,X166,Z166,AB166,AD166,AF166,AH166,AJ166,AL166,AN166,AP166,AR166,AT166,AV166,AX166,AZ166),0)))</x:f>
      </x:c>
      <x:c r="BD166" s="14" t="n">
        <x:f>LET(m,MIN(IF(E166&gt;0,E166,1E+99),IF(G166&gt;0,G166,1E+99),IF(I166&gt;0,I166,1E+99),IF(K166&gt;0,K166,1E+99),IF(M166&gt;0,M166,1E+99),IF(O166&gt;0,O166,1E+99),IF(Q166&gt;0,Q166,1E+99),IF(S166&gt;0,S166,1E+99),IF(U166&gt;0,U166,1E+99),IF(W166&gt;0,W166,1E+99),IF(Y166&gt;0,Y166,1E+99),IF(AA166&gt;0,AA166,1E+99),IF(AC166&gt;0,AC166,1E+99),IF(AE166&gt;0,AE166,1E+99),IF(AG166&gt;0,AG166,1E+99),IF(AI166&gt;0,AI166,1E+99),IF(AK166&gt;0,AK166,1E+99),IF(AM166&gt;0,AM166,1E+99),IF(AO166&gt;0,AO166,1E+99),IF(AQ166&gt;0,AQ166,1E+99),IF(AS166&gt;0,AS166,1E+99),IF(AU166&gt;0,AU166,1E+99),IF(AW166&gt;0,AW166,1E+99),IF(AY166&gt;0,AY166,1E+99),IF(BA166&gt;0,BA166,1E+99)),IF(m=1E+99,"",m))</x:f>
        <x:v>79.218</x:v>
      </x:c>
      <x:c r="BE166" s="16" t="e">
        <x:f>IF(BD166="","",INDEX({"v1.4.20","v1.4.20","v1.4.21","v1.4.21","v1.4.23","v1.4.23","v1.4.26","v1.4.26","v1.4.26.1","v1.4.26.1","v1.4.27","v1.4.27","v1.4.29","v1.4.29","v1.4.30","v1.4.30","v1.4.31","v1.4.31","v1.4.33","v1.4.33","v1.4.35","v1.4.35.2","v1.5","v1.5.1","v1.5.1"},MATCH(BD166,CHOOSE({1,2,3,4,5,6,7,8,9,10,11,12,13,14,15,16,17,18,19,20,21,22,23,24,25},E166,G166,I166,K166,M166,O166,Q166,S166,U166,W166,Y166,AA166,AC166,AE166,AG166,AI166,AK166,AM166,AO166,AQ166,AS166,AU166,AW166,AY166,BA166),0)))</x:f>
      </x:c>
      <x:c r="BF166" s="10" t="n">
        <x:f>IFERROR((AX166-BB166)/BB166,"")</x:f>
        <x:v>2.2142857142857144</x:v>
      </x:c>
      <x:c r="BG166" s="10" t="n">
        <x:f>IFERROR((AY166-BD166)/BD166,"")</x:f>
        <x:v>0.773157615693403</x:v>
      </x:c>
    </x:row>
    <x:row r="167">
      <x:c r="A167" t="str">
        <x:v>Master List</x:v>
      </x:c>
      <x:c r="B167" t="str">
        <x:v>Create / Refresh All Templates</x:v>
      </x:c>
      <x:c r="C167" t="str">
        <x:v>Template refresh decision: FULL_BUILD - Template - Master List (template sheet did not exist; no stored signature)</x:v>
      </x:c>
      <x:c r="D167" s="8" t="n">
        <x:v>0</x:v>
      </x:c>
      <x:c r="E167" s="8" t="n">
        <x:v>102.201</x:v>
      </x:c>
      <x:c r="F167" s="8" t="n">
        <x:v>0</x:v>
      </x:c>
      <x:c r="G167" s="8" t="n">
        <x:v>102.201</x:v>
      </x:c>
      <x:c r="H167" s="8" t="n">
        <x:v>0</x:v>
      </x:c>
      <x:c r="I167" s="8" t="n">
        <x:v>130.573</x:v>
      </x:c>
      <x:c r="J167" s="8"/>
      <x:c r="K167" s="8"/>
      <x:c r="L167" s="8" t="n">
        <x:v>0</x:v>
      </x:c>
      <x:c r="M167" s="8" t="n">
        <x:v>126.596</x:v>
      </x:c>
      <x:c r="N167" s="8" t="n">
        <x:v>0</x:v>
      </x:c>
      <x:c r="O167" s="8" t="n">
        <x:v>126.596</x:v>
      </x:c>
      <x:c r="P167" s="8" t="n">
        <x:v>0</x:v>
      </x:c>
      <x:c r="Q167" s="8" t="n">
        <x:v>79.218</x:v>
      </x:c>
      <x:c r="R167" s="8" t="n">
        <x:v>0</x:v>
      </x:c>
      <x:c r="S167" s="8" t="n">
        <x:v>79.218</x:v>
      </x:c>
      <x:c r="T167" s="8" t="n">
        <x:v>0</x:v>
      </x:c>
      <x:c r="U167" s="8" t="n">
        <x:v>106.535</x:v>
      </x:c>
      <x:c r="V167" s="8" t="n">
        <x:v>0</x:v>
      </x:c>
      <x:c r="W167" s="8" t="n">
        <x:v>106.535</x:v>
      </x:c>
      <x:c r="X167" s="8" t="n">
        <x:v>0</x:v>
      </x:c>
      <x:c r="Y167" s="8" t="n">
        <x:v>159.013</x:v>
      </x:c>
      <x:c r="Z167" s="8" t="n">
        <x:v>0</x:v>
      </x:c>
      <x:c r="AA167" s="8" t="n">
        <x:v>159.013</x:v>
      </x:c>
      <x:c r="AB167" s="8" t="n">
        <x:v>0</x:v>
      </x:c>
      <x:c r="AC167" s="8" t="n">
        <x:v>143.34</x:v>
      </x:c>
      <x:c r="AD167" s="8" t="n">
        <x:v>0</x:v>
      </x:c>
      <x:c r="AE167" s="8" t="n">
        <x:v>143.34</x:v>
      </x:c>
      <x:c r="AF167" s="8" t="n">
        <x:v>0</x:v>
      </x:c>
      <x:c r="AG167" s="8" t="n">
        <x:v>149.916</x:v>
      </x:c>
      <x:c r="AH167" s="8"/>
      <x:c r="AI167" s="8"/>
      <x:c r="AJ167" s="8" t="n">
        <x:v>0</x:v>
      </x:c>
      <x:c r="AK167" s="8" t="n">
        <x:v>101.33</x:v>
      </x:c>
      <x:c r="AL167" s="8" t="n">
        <x:v>0</x:v>
      </x:c>
      <x:c r="AM167" s="8" t="n">
        <x:v>101.33</x:v>
      </x:c>
      <x:c r="AN167" s="8" t="n">
        <x:v>0</x:v>
      </x:c>
      <x:c r="AO167" s="8" t="n">
        <x:v>106.235</x:v>
      </x:c>
      <x:c r="AP167" s="8" t="n">
        <x:v>0</x:v>
      </x:c>
      <x:c r="AQ167" s="8" t="n">
        <x:v>106.235</x:v>
      </x:c>
      <x:c r="AR167" s="8" t="n">
        <x:v>0</x:v>
      </x:c>
      <x:c r="AS167" s="8" t="n">
        <x:v>156.397</x:v>
      </x:c>
      <x:c r="AT167" s="8" t="n">
        <x:v>0</x:v>
      </x:c>
      <x:c r="AU167" s="8" t="n">
        <x:v>114.802</x:v>
      </x:c>
      <x:c r="AV167" s="8" t="n">
        <x:v>0</x:v>
      </x:c>
      <x:c r="AW167" s="8" t="n">
        <x:v>137.044</x:v>
      </x:c>
      <x:c r="AX167" s="8" t="n">
        <x:v>0</x:v>
      </x:c>
      <x:c r="AY167" s="8" t="n">
        <x:v>140.466</x:v>
      </x:c>
      <x:c r="AZ167" s="8" t="n">
        <x:v>0</x:v>
      </x:c>
      <x:c r="BA167" s="8" t="n">
        <x:v>140.466</x:v>
      </x:c>
      <x:c r="BB167" s="8" t="str">
        <x:f>LET(m,MIN(IF(D167&gt;0,D167,1E+99),IF(F167&gt;0,F167,1E+99),IF(H167&gt;0,H167,1E+99),IF(J167&gt;0,J167,1E+99),IF(L167&gt;0,L167,1E+99),IF(N167&gt;0,N167,1E+99),IF(P167&gt;0,P167,1E+99),IF(R167&gt;0,R167,1E+99),IF(T167&gt;0,T167,1E+99),IF(V167&gt;0,V167,1E+99),IF(X167&gt;0,X167,1E+99),IF(Z167&gt;0,Z167,1E+99),IF(AB167&gt;0,AB167,1E+99),IF(AD167&gt;0,AD167,1E+99),IF(AF167&gt;0,AF167,1E+99),IF(AH167&gt;0,AH167,1E+99),IF(AJ167&gt;0,AJ167,1E+99),IF(AL167&gt;0,AL167,1E+99),IF(AN167&gt;0,AN167,1E+99),IF(AP167&gt;0,AP167,1E+99),IF(AR167&gt;0,AR167,1E+99),IF(AT167&gt;0,AT167,1E+99),IF(AV167&gt;0,AV167,1E+99),IF(AX167&gt;0,AX167,1E+99),IF(AZ167&gt;0,AZ167,1E+99)),IF(m=1E+99,"",m))</x:f>
      </x:c>
      <x:c r="BC167" s="12" t="str">
        <x:f>IF(BB167="","",INDEX({"v1.4.20","v1.4.20","v1.4.21","v1.4.21","v1.4.23","v1.4.23","v1.4.26","v1.4.26","v1.4.26.1","v1.4.26.1","v1.4.27","v1.4.27","v1.4.29","v1.4.29","v1.4.30","v1.4.30","v1.4.31","v1.4.31","v1.4.33","v1.4.33","v1.4.35","v1.4.35.2","v1.5","v1.5.1","v1.5.1"},MATCH(BB167,CHOOSE({1,2,3,4,5,6,7,8,9,10,11,12,13,14,15,16,17,18,19,20,21,22,23,24,25},D167,F167,H167,J167,L167,N167,P167,R167,T167,V167,X167,Z167,AB167,AD167,AF167,AH167,AJ167,AL167,AN167,AP167,AR167,AT167,AV167,AX167,AZ167),0)))</x:f>
      </x:c>
      <x:c r="BD167" s="14" t="n">
        <x:f>LET(m,MIN(IF(E167&gt;0,E167,1E+99),IF(G167&gt;0,G167,1E+99),IF(I167&gt;0,I167,1E+99),IF(K167&gt;0,K167,1E+99),IF(M167&gt;0,M167,1E+99),IF(O167&gt;0,O167,1E+99),IF(Q167&gt;0,Q167,1E+99),IF(S167&gt;0,S167,1E+99),IF(U167&gt;0,U167,1E+99),IF(W167&gt;0,W167,1E+99),IF(Y167&gt;0,Y167,1E+99),IF(AA167&gt;0,AA167,1E+99),IF(AC167&gt;0,AC167,1E+99),IF(AE167&gt;0,AE167,1E+99),IF(AG167&gt;0,AG167,1E+99),IF(AI167&gt;0,AI167,1E+99),IF(AK167&gt;0,AK167,1E+99),IF(AM167&gt;0,AM167,1E+99),IF(AO167&gt;0,AO167,1E+99),IF(AQ167&gt;0,AQ167,1E+99),IF(AS167&gt;0,AS167,1E+99),IF(AU167&gt;0,AU167,1E+99),IF(AW167&gt;0,AW167,1E+99),IF(AY167&gt;0,AY167,1E+99),IF(BA167&gt;0,BA167,1E+99)),IF(m=1E+99,"",m))</x:f>
        <x:v>79.218</x:v>
      </x:c>
      <x:c r="BE167" s="16" t="e">
        <x:f>IF(BD167="","",INDEX({"v1.4.20","v1.4.20","v1.4.21","v1.4.21","v1.4.23","v1.4.23","v1.4.26","v1.4.26","v1.4.26.1","v1.4.26.1","v1.4.27","v1.4.27","v1.4.29","v1.4.29","v1.4.30","v1.4.30","v1.4.31","v1.4.31","v1.4.33","v1.4.33","v1.4.35","v1.4.35.2","v1.5","v1.5.1","v1.5.1"},MATCH(BD167,CHOOSE({1,2,3,4,5,6,7,8,9,10,11,12,13,14,15,16,17,18,19,20,21,22,23,24,25},E167,G167,I167,K167,M167,O167,Q167,S167,U167,W167,Y167,AA167,AC167,AE167,AG167,AI167,AK167,AM167,AO167,AQ167,AS167,AU167,AW167,AY167,BA167),0)))</x:f>
      </x:c>
      <x:c r="BF167" s="10" t="str">
        <x:f>IFERROR((AX167-BB167)/BB167,"")</x:f>
      </x:c>
      <x:c r="BG167" s="10" t="n">
        <x:f>IFERROR((AY167-BD167)/BD167,"")</x:f>
        <x:v>0.773157615693403</x:v>
      </x:c>
    </x:row>
    <x:row r="168">
      <x:c r="A168" t="str">
        <x:v>Master List</x:v>
      </x:c>
      <x:c r="B168" t="str">
        <x:v>Create / Refresh All Templates</x:v>
      </x:c>
      <x:c r="C168" t="str">
        <x:v>Full template build required: Template - Master List</x:v>
      </x:c>
      <x:c r="D168" s="8" t="n">
        <x:v>0</x:v>
      </x:c>
      <x:c r="E168" s="8" t="n">
        <x:v>102.201</x:v>
      </x:c>
      <x:c r="F168" s="8" t="n">
        <x:v>0</x:v>
      </x:c>
      <x:c r="G168" s="8" t="n">
        <x:v>102.201</x:v>
      </x:c>
      <x:c r="H168" s="8" t="n">
        <x:v>0</x:v>
      </x:c>
      <x:c r="I168" s="8" t="n">
        <x:v>130.573</x:v>
      </x:c>
      <x:c r="J168" s="8"/>
      <x:c r="K168" s="8"/>
      <x:c r="L168" s="8" t="n">
        <x:v>0</x:v>
      </x:c>
      <x:c r="M168" s="8" t="n">
        <x:v>126.596</x:v>
      </x:c>
      <x:c r="N168" s="8" t="n">
        <x:v>0</x:v>
      </x:c>
      <x:c r="O168" s="8" t="n">
        <x:v>126.596</x:v>
      </x:c>
      <x:c r="P168" s="8" t="n">
        <x:v>0</x:v>
      </x:c>
      <x:c r="Q168" s="8" t="n">
        <x:v>79.218</x:v>
      </x:c>
      <x:c r="R168" s="8" t="n">
        <x:v>0</x:v>
      </x:c>
      <x:c r="S168" s="8" t="n">
        <x:v>79.218</x:v>
      </x:c>
      <x:c r="T168" s="8" t="n">
        <x:v>0</x:v>
      </x:c>
      <x:c r="U168" s="8" t="n">
        <x:v>106.535</x:v>
      </x:c>
      <x:c r="V168" s="8" t="n">
        <x:v>0</x:v>
      </x:c>
      <x:c r="W168" s="8" t="n">
        <x:v>106.535</x:v>
      </x:c>
      <x:c r="X168" s="8" t="n">
        <x:v>0</x:v>
      </x:c>
      <x:c r="Y168" s="8" t="n">
        <x:v>159.013</x:v>
      </x:c>
      <x:c r="Z168" s="8" t="n">
        <x:v>0</x:v>
      </x:c>
      <x:c r="AA168" s="8" t="n">
        <x:v>159.013</x:v>
      </x:c>
      <x:c r="AB168" s="8" t="n">
        <x:v>0</x:v>
      </x:c>
      <x:c r="AC168" s="8" t="n">
        <x:v>143.34</x:v>
      </x:c>
      <x:c r="AD168" s="8" t="n">
        <x:v>0</x:v>
      </x:c>
      <x:c r="AE168" s="8" t="n">
        <x:v>143.34</x:v>
      </x:c>
      <x:c r="AF168" s="8" t="n">
        <x:v>0</x:v>
      </x:c>
      <x:c r="AG168" s="8" t="n">
        <x:v>149.916</x:v>
      </x:c>
      <x:c r="AH168" s="8"/>
      <x:c r="AI168" s="8"/>
      <x:c r="AJ168" s="8" t="n">
        <x:v>0</x:v>
      </x:c>
      <x:c r="AK168" s="8" t="n">
        <x:v>101.33</x:v>
      </x:c>
      <x:c r="AL168" s="8" t="n">
        <x:v>0</x:v>
      </x:c>
      <x:c r="AM168" s="8" t="n">
        <x:v>101.33</x:v>
      </x:c>
      <x:c r="AN168" s="8" t="n">
        <x:v>0</x:v>
      </x:c>
      <x:c r="AO168" s="8" t="n">
        <x:v>106.235</x:v>
      </x:c>
      <x:c r="AP168" s="8" t="n">
        <x:v>0</x:v>
      </x:c>
      <x:c r="AQ168" s="8" t="n">
        <x:v>106.235</x:v>
      </x:c>
      <x:c r="AR168" s="8" t="n">
        <x:v>0</x:v>
      </x:c>
      <x:c r="AS168" s="8" t="n">
        <x:v>156.397</x:v>
      </x:c>
      <x:c r="AT168" s="8" t="n">
        <x:v>0</x:v>
      </x:c>
      <x:c r="AU168" s="8" t="n">
        <x:v>114.802</x:v>
      </x:c>
      <x:c r="AV168" s="8" t="n">
        <x:v>0</x:v>
      </x:c>
      <x:c r="AW168" s="8" t="n">
        <x:v>137.044</x:v>
      </x:c>
      <x:c r="AX168" s="8" t="n">
        <x:v>0</x:v>
      </x:c>
      <x:c r="AY168" s="8" t="n">
        <x:v>140.466</x:v>
      </x:c>
      <x:c r="AZ168" s="8" t="n">
        <x:v>0</x:v>
      </x:c>
      <x:c r="BA168" s="8" t="n">
        <x:v>140.466</x:v>
      </x:c>
      <x:c r="BB168" s="8" t="str">
        <x:f>LET(m,MIN(IF(D168&gt;0,D168,1E+99),IF(F168&gt;0,F168,1E+99),IF(H168&gt;0,H168,1E+99),IF(J168&gt;0,J168,1E+99),IF(L168&gt;0,L168,1E+99),IF(N168&gt;0,N168,1E+99),IF(P168&gt;0,P168,1E+99),IF(R168&gt;0,R168,1E+99),IF(T168&gt;0,T168,1E+99),IF(V168&gt;0,V168,1E+99),IF(X168&gt;0,X168,1E+99),IF(Z168&gt;0,Z168,1E+99),IF(AB168&gt;0,AB168,1E+99),IF(AD168&gt;0,AD168,1E+99),IF(AF168&gt;0,AF168,1E+99),IF(AH168&gt;0,AH168,1E+99),IF(AJ168&gt;0,AJ168,1E+99),IF(AL168&gt;0,AL168,1E+99),IF(AN168&gt;0,AN168,1E+99),IF(AP168&gt;0,AP168,1E+99),IF(AR168&gt;0,AR168,1E+99),IF(AT168&gt;0,AT168,1E+99),IF(AV168&gt;0,AV168,1E+99),IF(AX168&gt;0,AX168,1E+99),IF(AZ168&gt;0,AZ168,1E+99)),IF(m=1E+99,"",m))</x:f>
      </x:c>
      <x:c r="BC168" s="12" t="str">
        <x:f>IF(BB168="","",INDEX({"v1.4.20","v1.4.20","v1.4.21","v1.4.21","v1.4.23","v1.4.23","v1.4.26","v1.4.26","v1.4.26.1","v1.4.26.1","v1.4.27","v1.4.27","v1.4.29","v1.4.29","v1.4.30","v1.4.30","v1.4.31","v1.4.31","v1.4.33","v1.4.33","v1.4.35","v1.4.35.2","v1.5","v1.5.1","v1.5.1"},MATCH(BB168,CHOOSE({1,2,3,4,5,6,7,8,9,10,11,12,13,14,15,16,17,18,19,20,21,22,23,24,25},D168,F168,H168,J168,L168,N168,P168,R168,T168,V168,X168,Z168,AB168,AD168,AF168,AH168,AJ168,AL168,AN168,AP168,AR168,AT168,AV168,AX168,AZ168),0)))</x:f>
      </x:c>
      <x:c r="BD168" s="14" t="n">
        <x:f>LET(m,MIN(IF(E168&gt;0,E168,1E+99),IF(G168&gt;0,G168,1E+99),IF(I168&gt;0,I168,1E+99),IF(K168&gt;0,K168,1E+99),IF(M168&gt;0,M168,1E+99),IF(O168&gt;0,O168,1E+99),IF(Q168&gt;0,Q168,1E+99),IF(S168&gt;0,S168,1E+99),IF(U168&gt;0,U168,1E+99),IF(W168&gt;0,W168,1E+99),IF(Y168&gt;0,Y168,1E+99),IF(AA168&gt;0,AA168,1E+99),IF(AC168&gt;0,AC168,1E+99),IF(AE168&gt;0,AE168,1E+99),IF(AG168&gt;0,AG168,1E+99),IF(AI168&gt;0,AI168,1E+99),IF(AK168&gt;0,AK168,1E+99),IF(AM168&gt;0,AM168,1E+99),IF(AO168&gt;0,AO168,1E+99),IF(AQ168&gt;0,AQ168,1E+99),IF(AS168&gt;0,AS168,1E+99),IF(AU168&gt;0,AU168,1E+99),IF(AW168&gt;0,AW168,1E+99),IF(AY168&gt;0,AY168,1E+99),IF(BA168&gt;0,BA168,1E+99)),IF(m=1E+99,"",m))</x:f>
        <x:v>79.218</x:v>
      </x:c>
      <x:c r="BE168" s="16" t="e">
        <x:f>IF(BD168="","",INDEX({"v1.4.20","v1.4.20","v1.4.21","v1.4.21","v1.4.23","v1.4.23","v1.4.26","v1.4.26","v1.4.26.1","v1.4.26.1","v1.4.27","v1.4.27","v1.4.29","v1.4.29","v1.4.30","v1.4.30","v1.4.31","v1.4.31","v1.4.33","v1.4.33","v1.4.35","v1.4.35.2","v1.5","v1.5.1","v1.5.1"},MATCH(BD168,CHOOSE({1,2,3,4,5,6,7,8,9,10,11,12,13,14,15,16,17,18,19,20,21,22,23,24,25},E168,G168,I168,K168,M168,O168,Q168,S168,U168,W168,Y168,AA168,AC168,AE168,AG168,AI168,AK168,AM168,AO168,AQ168,AS168,AU168,AW168,AY168,BA168),0)))</x:f>
      </x:c>
      <x:c r="BF168" s="10" t="str">
        <x:f>IFERROR((AX168-BB168)/BB168,"")</x:f>
      </x:c>
      <x:c r="BG168" s="10" t="n">
        <x:f>IFERROR((AY168-BD168)/BD168,"")</x:f>
        <x:v>0.773157615693403</x:v>
      </x:c>
    </x:row>
    <x:row r="169">
      <x:c r="A169" t="str">
        <x:v>Master List</x:v>
      </x:c>
      <x:c r="B169" t="str">
        <x:v>Create / Refresh All Templates</x:v>
      </x:c>
      <x:c r="C169" t="str">
        <x:v>Create template fast path - clear skipped for blank sheet: Template - Master List</x:v>
      </x:c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 t="n">
        <x:v>0</x:v>
      </x:c>
      <x:c r="U169" s="8" t="n">
        <x:v>106.535</x:v>
      </x:c>
      <x:c r="V169" s="8" t="n">
        <x:v>0</x:v>
      </x:c>
      <x:c r="W169" s="8" t="n">
        <x:v>106.535</x:v>
      </x:c>
      <x:c r="X169" s="8"/>
      <x:c r="Y169" s="8"/>
      <x:c r="Z169" s="8"/>
      <x:c r="AA169" s="8"/>
      <x:c r="AB169" s="8" t="n">
        <x:v>0</x:v>
      </x:c>
      <x:c r="AC169" s="8" t="n">
        <x:v>143.34</x:v>
      </x:c>
      <x:c r="AD169" s="8" t="n">
        <x:v>0</x:v>
      </x:c>
      <x:c r="AE169" s="8" t="n">
        <x:v>143.34</x:v>
      </x:c>
      <x:c r="AF169" s="8" t="n">
        <x:v>0</x:v>
      </x:c>
      <x:c r="AG169" s="8" t="n">
        <x:v>149.916</x:v>
      </x:c>
      <x:c r="AH169" s="8"/>
      <x:c r="AI169" s="8"/>
      <x:c r="AJ169" s="8" t="n">
        <x:v>0</x:v>
      </x:c>
      <x:c r="AK169" s="8" t="n">
        <x:v>101.33</x:v>
      </x:c>
      <x:c r="AL169" s="8" t="n">
        <x:v>0</x:v>
      </x:c>
      <x:c r="AM169" s="8" t="n">
        <x:v>101.33</x:v>
      </x:c>
      <x:c r="AN169" s="8" t="n">
        <x:v>0</x:v>
      </x:c>
      <x:c r="AO169" s="8" t="n">
        <x:v>106.235</x:v>
      </x:c>
      <x:c r="AP169" s="8" t="n">
        <x:v>0</x:v>
      </x:c>
      <x:c r="AQ169" s="8" t="n">
        <x:v>106.235</x:v>
      </x:c>
      <x:c r="AR169" s="8"/>
      <x:c r="AS169" s="8"/>
      <x:c r="AT169" s="8"/>
      <x:c r="AU169" s="8"/>
      <x:c r="AV169" s="8" t="n">
        <x:v>12.881</x:v>
      </x:c>
      <x:c r="AW169" s="8" t="n">
        <x:v>149.925</x:v>
      </x:c>
      <x:c r="AX169" s="8" t="n">
        <x:v>15.045</x:v>
      </x:c>
      <x:c r="AY169" s="8" t="n">
        <x:v>155.511</x:v>
      </x:c>
      <x:c r="AZ169" s="8" t="n">
        <x:v>15.045</x:v>
      </x:c>
      <x:c r="BA169" s="8" t="n">
        <x:v>155.511</x:v>
      </x:c>
      <x:c r="BB169" s="8" t="n">
        <x:f>LET(m,MIN(IF(D169&gt;0,D169,1E+99),IF(F169&gt;0,F169,1E+99),IF(H169&gt;0,H169,1E+99),IF(J169&gt;0,J169,1E+99),IF(L169&gt;0,L169,1E+99),IF(N169&gt;0,N169,1E+99),IF(P169&gt;0,P169,1E+99),IF(R169&gt;0,R169,1E+99),IF(T169&gt;0,T169,1E+99),IF(V169&gt;0,V169,1E+99),IF(X169&gt;0,X169,1E+99),IF(Z169&gt;0,Z169,1E+99),IF(AB169&gt;0,AB169,1E+99),IF(AD169&gt;0,AD169,1E+99),IF(AF169&gt;0,AF169,1E+99),IF(AH169&gt;0,AH169,1E+99),IF(AJ169&gt;0,AJ169,1E+99),IF(AL169&gt;0,AL169,1E+99),IF(AN169&gt;0,AN169,1E+99),IF(AP169&gt;0,AP169,1E+99),IF(AR169&gt;0,AR169,1E+99),IF(AT169&gt;0,AT169,1E+99),IF(AV169&gt;0,AV169,1E+99),IF(AX169&gt;0,AX169,1E+99),IF(AZ169&gt;0,AZ169,1E+99)),IF(m=1E+99,"",m))</x:f>
        <x:v>12.881</x:v>
      </x:c>
      <x:c r="BC169" s="12" t="e">
        <x:f>IF(BB169="","",INDEX({"v1.4.20","v1.4.20","v1.4.21","v1.4.21","v1.4.23","v1.4.23","v1.4.26","v1.4.26","v1.4.26.1","v1.4.26.1","v1.4.27","v1.4.27","v1.4.29","v1.4.29","v1.4.30","v1.4.30","v1.4.31","v1.4.31","v1.4.33","v1.4.33","v1.4.35","v1.4.35.2","v1.5","v1.5.1","v1.5.1"},MATCH(BB169,CHOOSE({1,2,3,4,5,6,7,8,9,10,11,12,13,14,15,16,17,18,19,20,21,22,23,24,25},D169,F169,H169,J169,L169,N169,P169,R169,T169,V169,X169,Z169,AB169,AD169,AF169,AH169,AJ169,AL169,AN169,AP169,AR169,AT169,AV169,AX169,AZ169),0)))</x:f>
      </x:c>
      <x:c r="BD169" s="14" t="n">
        <x:f>LET(m,MIN(IF(E169&gt;0,E169,1E+99),IF(G169&gt;0,G169,1E+99),IF(I169&gt;0,I169,1E+99),IF(K169&gt;0,K169,1E+99),IF(M169&gt;0,M169,1E+99),IF(O169&gt;0,O169,1E+99),IF(Q169&gt;0,Q169,1E+99),IF(S169&gt;0,S169,1E+99),IF(U169&gt;0,U169,1E+99),IF(W169&gt;0,W169,1E+99),IF(Y169&gt;0,Y169,1E+99),IF(AA169&gt;0,AA169,1E+99),IF(AC169&gt;0,AC169,1E+99),IF(AE169&gt;0,AE169,1E+99),IF(AG169&gt;0,AG169,1E+99),IF(AI169&gt;0,AI169,1E+99),IF(AK169&gt;0,AK169,1E+99),IF(AM169&gt;0,AM169,1E+99),IF(AO169&gt;0,AO169,1E+99),IF(AQ169&gt;0,AQ169,1E+99),IF(AS169&gt;0,AS169,1E+99),IF(AU169&gt;0,AU169,1E+99),IF(AW169&gt;0,AW169,1E+99),IF(AY169&gt;0,AY169,1E+99),IF(BA169&gt;0,BA169,1E+99)),IF(m=1E+99,"",m))</x:f>
        <x:v>101.33</x:v>
      </x:c>
      <x:c r="BE169" s="16" t="e">
        <x:f>IF(BD169="","",INDEX({"v1.4.20","v1.4.20","v1.4.21","v1.4.21","v1.4.23","v1.4.23","v1.4.26","v1.4.26","v1.4.26.1","v1.4.26.1","v1.4.27","v1.4.27","v1.4.29","v1.4.29","v1.4.30","v1.4.30","v1.4.31","v1.4.31","v1.4.33","v1.4.33","v1.4.35","v1.4.35.2","v1.5","v1.5.1","v1.5.1"},MATCH(BD169,CHOOSE({1,2,3,4,5,6,7,8,9,10,11,12,13,14,15,16,17,18,19,20,21,22,23,24,25},E169,G169,I169,K169,M169,O169,Q169,S169,U169,W169,Y169,AA169,AC169,AE169,AG169,AI169,AK169,AM169,AO169,AQ169,AS169,AU169,AW169,AY169,BA169),0)))</x:f>
      </x:c>
      <x:c r="BF169" s="10" t="n">
        <x:f>IFERROR((AX169-BB169)/BB169,"")</x:f>
        <x:v>0.16799937893020725</x:v>
      </x:c>
      <x:c r="BG169" s="10" t="n">
        <x:f>IFERROR((AY169-BD169)/BD169,"")</x:f>
        <x:v>0.5346985098194019</x:v>
      </x:c>
    </x:row>
    <x:row r="170">
      <x:c r="A170" t="str">
        <x:v>Master List</x:v>
      </x:c>
      <x:c r="B170" t="str">
        <x:v>Create / Refresh All Templates</x:v>
      </x:c>
      <x:c r="C170" t="str">
        <x:v>Resize sheet: Template - Master List (500 rows x 66 cols)</x:v>
      </x:c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 t="n">
        <x:v>1.217</x:v>
      </x:c>
      <x:c r="Q170" s="8" t="n">
        <x:v>92.706</x:v>
      </x:c>
      <x:c r="R170" s="8" t="n">
        <x:v>1.217</x:v>
      </x:c>
      <x:c r="S170" s="8" t="n">
        <x:v>92.706</x:v>
      </x:c>
      <x:c r="T170" s="8"/>
      <x:c r="U170" s="8"/>
      <x:c r="V170" s="8"/>
      <x:c r="W170" s="8"/>
      <x:c r="X170" s="8" t="n">
        <x:v>2.109</x:v>
      </x:c>
      <x:c r="Y170" s="8" t="n">
        <x:v>174.598</x:v>
      </x:c>
      <x:c r="Z170" s="8" t="n">
        <x:v>2.109</x:v>
      </x:c>
      <x:c r="AA170" s="8" t="n">
        <x:v>174.598</x:v>
      </x:c>
      <x:c r="AB170" s="8" t="n">
        <x:v>15.743</x:v>
      </x:c>
      <x:c r="AC170" s="8" t="n">
        <x:v>159.083</x:v>
      </x:c>
      <x:c r="AD170" s="8" t="n">
        <x:v>15.743</x:v>
      </x:c>
      <x:c r="AE170" s="8" t="n">
        <x:v>159.083</x:v>
      </x:c>
      <x:c r="AF170" s="8"/>
      <x:c r="AG170" s="8"/>
      <x:c r="AH170" s="8"/>
      <x:c r="AI170" s="8"/>
      <x:c r="AJ170" s="8"/>
      <x:c r="AK170" s="8"/>
      <x:c r="AL170" s="8"/>
      <x:c r="AM170" s="8"/>
      <x:c r="AN170" s="8"/>
      <x:c r="AO170" s="8"/>
      <x:c r="AP170" s="8"/>
      <x:c r="AQ170" s="8"/>
      <x:c r="AR170" s="8" t="n">
        <x:v>2.26</x:v>
      </x:c>
      <x:c r="AS170" s="8" t="n">
        <x:v>172.84</x:v>
      </x:c>
      <x:c r="AT170" s="8" t="n">
        <x:v>1.271</x:v>
      </x:c>
      <x:c r="AU170" s="8" t="n">
        <x:v>126.388</x:v>
      </x:c>
      <x:c r="AV170" s="8" t="n">
        <x:v>0.987</x:v>
      </x:c>
      <x:c r="AW170" s="8" t="n">
        <x:v>150.912</x:v>
      </x:c>
      <x:c r="AX170" s="8" t="n">
        <x:v>0.992</x:v>
      </x:c>
      <x:c r="AY170" s="8" t="n">
        <x:v>156.503</x:v>
      </x:c>
      <x:c r="AZ170" s="8" t="n">
        <x:v>0.992</x:v>
      </x:c>
      <x:c r="BA170" s="8" t="n">
        <x:v>156.503</x:v>
      </x:c>
      <x:c r="BB170" s="8" t="n">
        <x:f>LET(m,MIN(IF(D170&gt;0,D170,1E+99),IF(F170&gt;0,F170,1E+99),IF(H170&gt;0,H170,1E+99),IF(J170&gt;0,J170,1E+99),IF(L170&gt;0,L170,1E+99),IF(N170&gt;0,N170,1E+99),IF(P170&gt;0,P170,1E+99),IF(R170&gt;0,R170,1E+99),IF(T170&gt;0,T170,1E+99),IF(V170&gt;0,V170,1E+99),IF(X170&gt;0,X170,1E+99),IF(Z170&gt;0,Z170,1E+99),IF(AB170&gt;0,AB170,1E+99),IF(AD170&gt;0,AD170,1E+99),IF(AF170&gt;0,AF170,1E+99),IF(AH170&gt;0,AH170,1E+99),IF(AJ170&gt;0,AJ170,1E+99),IF(AL170&gt;0,AL170,1E+99),IF(AN170&gt;0,AN170,1E+99),IF(AP170&gt;0,AP170,1E+99),IF(AR170&gt;0,AR170,1E+99),IF(AT170&gt;0,AT170,1E+99),IF(AV170&gt;0,AV170,1E+99),IF(AX170&gt;0,AX170,1E+99),IF(AZ170&gt;0,AZ170,1E+99)),IF(m=1E+99,"",m))</x:f>
        <x:v>0.987</x:v>
      </x:c>
      <x:c r="BC170" s="12" t="e">
        <x:f>IF(BB170="","",INDEX({"v1.4.20","v1.4.20","v1.4.21","v1.4.21","v1.4.23","v1.4.23","v1.4.26","v1.4.26","v1.4.26.1","v1.4.26.1","v1.4.27","v1.4.27","v1.4.29","v1.4.29","v1.4.30","v1.4.30","v1.4.31","v1.4.31","v1.4.33","v1.4.33","v1.4.35","v1.4.35.2","v1.5","v1.5.1","v1.5.1"},MATCH(BB170,CHOOSE({1,2,3,4,5,6,7,8,9,10,11,12,13,14,15,16,17,18,19,20,21,22,23,24,25},D170,F170,H170,J170,L170,N170,P170,R170,T170,V170,X170,Z170,AB170,AD170,AF170,AH170,AJ170,AL170,AN170,AP170,AR170,AT170,AV170,AX170,AZ170),0)))</x:f>
      </x:c>
      <x:c r="BD170" s="14" t="n">
        <x:f>LET(m,MIN(IF(E170&gt;0,E170,1E+99),IF(G170&gt;0,G170,1E+99),IF(I170&gt;0,I170,1E+99),IF(K170&gt;0,K170,1E+99),IF(M170&gt;0,M170,1E+99),IF(O170&gt;0,O170,1E+99),IF(Q170&gt;0,Q170,1E+99),IF(S170&gt;0,S170,1E+99),IF(U170&gt;0,U170,1E+99),IF(W170&gt;0,W170,1E+99),IF(Y170&gt;0,Y170,1E+99),IF(AA170&gt;0,AA170,1E+99),IF(AC170&gt;0,AC170,1E+99),IF(AE170&gt;0,AE170,1E+99),IF(AG170&gt;0,AG170,1E+99),IF(AI170&gt;0,AI170,1E+99),IF(AK170&gt;0,AK170,1E+99),IF(AM170&gt;0,AM170,1E+99),IF(AO170&gt;0,AO170,1E+99),IF(AQ170&gt;0,AQ170,1E+99),IF(AS170&gt;0,AS170,1E+99),IF(AU170&gt;0,AU170,1E+99),IF(AW170&gt;0,AW170,1E+99),IF(AY170&gt;0,AY170,1E+99),IF(BA170&gt;0,BA170,1E+99)),IF(m=1E+99,"",m))</x:f>
        <x:v>92.706</x:v>
      </x:c>
      <x:c r="BE170" s="16" t="e">
        <x:f>IF(BD170="","",INDEX({"v1.4.20","v1.4.20","v1.4.21","v1.4.21","v1.4.23","v1.4.23","v1.4.26","v1.4.26","v1.4.26.1","v1.4.26.1","v1.4.27","v1.4.27","v1.4.29","v1.4.29","v1.4.30","v1.4.30","v1.4.31","v1.4.31","v1.4.33","v1.4.33","v1.4.35","v1.4.35.2","v1.5","v1.5.1","v1.5.1"},MATCH(BD170,CHOOSE({1,2,3,4,5,6,7,8,9,10,11,12,13,14,15,16,17,18,19,20,21,22,23,24,25},E170,G170,I170,K170,M170,O170,Q170,S170,U170,W170,Y170,AA170,AC170,AE170,AG170,AI170,AK170,AM170,AO170,AQ170,AS170,AU170,AW170,AY170,BA170),0)))</x:f>
      </x:c>
      <x:c r="BF170" s="10" t="n">
        <x:f>IFERROR((AX170-BB170)/BB170,"")</x:f>
        <x:v>0.005065856129685921</x:v>
      </x:c>
      <x:c r="BG170" s="10" t="n">
        <x:f>IFERROR((AY170-BD170)/BD170,"")</x:f>
        <x:v>0.6881647358315534</x:v>
      </x:c>
    </x:row>
    <x:row r="171">
      <x:c r="A171" t="str">
        <x:v>Master List</x:v>
      </x:c>
      <x:c r="B171" t="str">
        <x:v>Create / Refresh All Templates</x:v>
      </x:c>
      <x:c r="C171" t="str">
        <x:v>Apply title rows: Template - Master List</x:v>
      </x:c>
      <x:c r="D171" s="8" t="n">
        <x:v>0.55</x:v>
      </x:c>
      <x:c r="E171" s="8" t="n">
        <x:v>113.559</x:v>
      </x:c>
      <x:c r="F171" s="8" t="n">
        <x:v>0.55</x:v>
      </x:c>
      <x:c r="G171" s="8" t="n">
        <x:v>113.559</x:v>
      </x:c>
      <x:c r="H171" s="8" t="n">
        <x:v>0.731</x:v>
      </x:c>
      <x:c r="I171" s="8" t="n">
        <x:v>146.743</x:v>
      </x:c>
      <x:c r="J171" s="8"/>
      <x:c r="K171" s="8"/>
      <x:c r="L171" s="8" t="n">
        <x:v>1.401</x:v>
      </x:c>
      <x:c r="M171" s="8" t="n">
        <x:v>141.018</x:v>
      </x:c>
      <x:c r="N171" s="8" t="n">
        <x:v>1.401</x:v>
      </x:c>
      <x:c r="O171" s="8" t="n">
        <x:v>141.018</x:v>
      </x:c>
      <x:c r="P171" s="8" t="n">
        <x:v>0.591</x:v>
      </x:c>
      <x:c r="Q171" s="8" t="n">
        <x:v>93.297</x:v>
      </x:c>
      <x:c r="R171" s="8" t="n">
        <x:v>0.591</x:v>
      </x:c>
      <x:c r="S171" s="8" t="n">
        <x:v>93.297</x:v>
      </x:c>
      <x:c r="T171" s="8" t="n">
        <x:v>0.562</x:v>
      </x:c>
      <x:c r="U171" s="8" t="n">
        <x:v>114.79</x:v>
      </x:c>
      <x:c r="V171" s="8" t="n">
        <x:v>0.562</x:v>
      </x:c>
      <x:c r="W171" s="8" t="n">
        <x:v>114.79</x:v>
      </x:c>
      <x:c r="X171" s="8" t="n">
        <x:v>0.939</x:v>
      </x:c>
      <x:c r="Y171" s="8" t="n">
        <x:v>175.537</x:v>
      </x:c>
      <x:c r="Z171" s="8" t="n">
        <x:v>0.939</x:v>
      </x:c>
      <x:c r="AA171" s="8" t="n">
        <x:v>175.537</x:v>
      </x:c>
      <x:c r="AB171" s="8" t="n">
        <x:v>0.91</x:v>
      </x:c>
      <x:c r="AC171" s="8" t="n">
        <x:v>159.993</x:v>
      </x:c>
      <x:c r="AD171" s="8" t="n">
        <x:v>0.91</x:v>
      </x:c>
      <x:c r="AE171" s="8" t="n">
        <x:v>159.993</x:v>
      </x:c>
      <x:c r="AF171" s="8" t="n">
        <x:v>0.88</x:v>
      </x:c>
      <x:c r="AG171" s="8" t="n">
        <x:v>165.193</x:v>
      </x:c>
      <x:c r="AH171" s="8"/>
      <x:c r="AI171" s="8"/>
      <x:c r="AJ171" s="8" t="n">
        <x:v>0.93</x:v>
      </x:c>
      <x:c r="AK171" s="8" t="n">
        <x:v>116.796</x:v>
      </x:c>
      <x:c r="AL171" s="8" t="n">
        <x:v>0.93</x:v>
      </x:c>
      <x:c r="AM171" s="8" t="n">
        <x:v>116.796</x:v>
      </x:c>
      <x:c r="AN171" s="8" t="n">
        <x:v>0.602</x:v>
      </x:c>
      <x:c r="AO171" s="8" t="n">
        <x:v>115.606</x:v>
      </x:c>
      <x:c r="AP171" s="8" t="n">
        <x:v>0.602</x:v>
      </x:c>
      <x:c r="AQ171" s="8" t="n">
        <x:v>115.606</x:v>
      </x:c>
      <x:c r="AR171" s="8" t="n">
        <x:v>1</x:v>
      </x:c>
      <x:c r="AS171" s="8" t="n">
        <x:v>173.84</x:v>
      </x:c>
      <x:c r="AT171" s="8" t="n">
        <x:v>0.622</x:v>
      </x:c>
      <x:c r="AU171" s="8" t="n">
        <x:v>127.01</x:v>
      </x:c>
      <x:c r="AV171" s="8" t="n">
        <x:v>0.889</x:v>
      </x:c>
      <x:c r="AW171" s="8" t="n">
        <x:v>151.801</x:v>
      </x:c>
      <x:c r="AX171" s="8" t="n">
        <x:v>0.803</x:v>
      </x:c>
      <x:c r="AY171" s="8" t="n">
        <x:v>157.306</x:v>
      </x:c>
      <x:c r="AZ171" s="8" t="n">
        <x:v>0.803</x:v>
      </x:c>
      <x:c r="BA171" s="8" t="n">
        <x:v>157.306</x:v>
      </x:c>
      <x:c r="BB171" s="8" t="n">
        <x:f>LET(m,MIN(IF(D171&gt;0,D171,1E+99),IF(F171&gt;0,F171,1E+99),IF(H171&gt;0,H171,1E+99),IF(J171&gt;0,J171,1E+99),IF(L171&gt;0,L171,1E+99),IF(N171&gt;0,N171,1E+99),IF(P171&gt;0,P171,1E+99),IF(R171&gt;0,R171,1E+99),IF(T171&gt;0,T171,1E+99),IF(V171&gt;0,V171,1E+99),IF(X171&gt;0,X171,1E+99),IF(Z171&gt;0,Z171,1E+99),IF(AB171&gt;0,AB171,1E+99),IF(AD171&gt;0,AD171,1E+99),IF(AF171&gt;0,AF171,1E+99),IF(AH171&gt;0,AH171,1E+99),IF(AJ171&gt;0,AJ171,1E+99),IF(AL171&gt;0,AL171,1E+99),IF(AN171&gt;0,AN171,1E+99),IF(AP171&gt;0,AP171,1E+99),IF(AR171&gt;0,AR171,1E+99),IF(AT171&gt;0,AT171,1E+99),IF(AV171&gt;0,AV171,1E+99),IF(AX171&gt;0,AX171,1E+99),IF(AZ171&gt;0,AZ171,1E+99)),IF(m=1E+99,"",m))</x:f>
        <x:v>0.55</x:v>
      </x:c>
      <x:c r="BC171" s="12" t="str">
        <x:f>IF(BB171="","",INDEX({"v1.4.20","v1.4.20","v1.4.21","v1.4.21","v1.4.23","v1.4.23","v1.4.26","v1.4.26","v1.4.26.1","v1.4.26.1","v1.4.27","v1.4.27","v1.4.29","v1.4.29","v1.4.30","v1.4.30","v1.4.31","v1.4.31","v1.4.33","v1.4.33","v1.4.35","v1.4.35.2","v1.5","v1.5.1","v1.5.1"},MATCH(BB171,CHOOSE({1,2,3,4,5,6,7,8,9,10,11,12,13,14,15,16,17,18,19,20,21,22,23,24,25},D171,F171,H171,J171,L171,N171,P171,R171,T171,V171,X171,Z171,AB171,AD171,AF171,AH171,AJ171,AL171,AN171,AP171,AR171,AT171,AV171,AX171,AZ171),0)))</x:f>
        <x:v>v1.4.20</x:v>
      </x:c>
      <x:c r="BD171" s="14" t="n">
        <x:f>LET(m,MIN(IF(E171&gt;0,E171,1E+99),IF(G171&gt;0,G171,1E+99),IF(I171&gt;0,I171,1E+99),IF(K171&gt;0,K171,1E+99),IF(M171&gt;0,M171,1E+99),IF(O171&gt;0,O171,1E+99),IF(Q171&gt;0,Q171,1E+99),IF(S171&gt;0,S171,1E+99),IF(U171&gt;0,U171,1E+99),IF(W171&gt;0,W171,1E+99),IF(Y171&gt;0,Y171,1E+99),IF(AA171&gt;0,AA171,1E+99),IF(AC171&gt;0,AC171,1E+99),IF(AE171&gt;0,AE171,1E+99),IF(AG171&gt;0,AG171,1E+99),IF(AI171&gt;0,AI171,1E+99),IF(AK171&gt;0,AK171,1E+99),IF(AM171&gt;0,AM171,1E+99),IF(AO171&gt;0,AO171,1E+99),IF(AQ171&gt;0,AQ171,1E+99),IF(AS171&gt;0,AS171,1E+99),IF(AU171&gt;0,AU171,1E+99),IF(AW171&gt;0,AW171,1E+99),IF(AY171&gt;0,AY171,1E+99),IF(BA171&gt;0,BA171,1E+99)),IF(m=1E+99,"",m))</x:f>
        <x:v>93.297</x:v>
      </x:c>
      <x:c r="BE171" s="16" t="e">
        <x:f>IF(BD171="","",INDEX({"v1.4.20","v1.4.20","v1.4.21","v1.4.21","v1.4.23","v1.4.23","v1.4.26","v1.4.26","v1.4.26.1","v1.4.26.1","v1.4.27","v1.4.27","v1.4.29","v1.4.29","v1.4.30","v1.4.30","v1.4.31","v1.4.31","v1.4.33","v1.4.33","v1.4.35","v1.4.35.2","v1.5","v1.5.1","v1.5.1"},MATCH(BD171,CHOOSE({1,2,3,4,5,6,7,8,9,10,11,12,13,14,15,16,17,18,19,20,21,22,23,24,25},E171,G171,I171,K171,M171,O171,Q171,S171,U171,W171,Y171,AA171,AC171,AE171,AG171,AI171,AK171,AM171,AO171,AQ171,AS171,AU171,AW171,AY171,BA171),0)))</x:f>
      </x:c>
      <x:c r="BF171" s="10" t="n">
        <x:f>IFERROR((AX171-BB171)/BB171,"")</x:f>
        <x:v>0.45999999999999996</x:v>
      </x:c>
      <x:c r="BG171" s="10" t="n">
        <x:f>IFERROR((AY171-BD171)/BD171,"")</x:f>
        <x:v>0.6860777945700293</x:v>
      </x:c>
    </x:row>
    <x:row r="172">
      <x:c r="A172" t="str">
        <x:v>Master List</x:v>
      </x:c>
      <x:c r="B172" t="str">
        <x:v>Create / Refresh All Templates</x:v>
      </x:c>
      <x:c r="C172" t="str">
        <x:v>Apply header row: Template - Master List</x:v>
      </x:c>
      <x:c r="D172" s="8" t="n">
        <x:v>0.333</x:v>
      </x:c>
      <x:c r="E172" s="8" t="n">
        <x:v>113.892</x:v>
      </x:c>
      <x:c r="F172" s="8" t="n">
        <x:v>0.333</x:v>
      </x:c>
      <x:c r="G172" s="8" t="n">
        <x:v>113.892</x:v>
      </x:c>
      <x:c r="H172" s="8" t="n">
        <x:v>0.434</x:v>
      </x:c>
      <x:c r="I172" s="8" t="n">
        <x:v>147.177</x:v>
      </x:c>
      <x:c r="J172" s="8"/>
      <x:c r="K172" s="8"/>
      <x:c r="L172" s="8" t="n">
        <x:v>0.626</x:v>
      </x:c>
      <x:c r="M172" s="8" t="n">
        <x:v>141.644</x:v>
      </x:c>
      <x:c r="N172" s="8" t="n">
        <x:v>0.626</x:v>
      </x:c>
      <x:c r="O172" s="8" t="n">
        <x:v>141.644</x:v>
      </x:c>
      <x:c r="P172" s="8" t="n">
        <x:v>0.345</x:v>
      </x:c>
      <x:c r="Q172" s="8" t="n">
        <x:v>93.642</x:v>
      </x:c>
      <x:c r="R172" s="8" t="n">
        <x:v>0.345</x:v>
      </x:c>
      <x:c r="S172" s="8" t="n">
        <x:v>93.642</x:v>
      </x:c>
      <x:c r="T172" s="8" t="n">
        <x:v>0.409</x:v>
      </x:c>
      <x:c r="U172" s="8" t="n">
        <x:v>115.199</x:v>
      </x:c>
      <x:c r="V172" s="8" t="n">
        <x:v>0.409</x:v>
      </x:c>
      <x:c r="W172" s="8" t="n">
        <x:v>115.199</x:v>
      </x:c>
      <x:c r="X172" s="8" t="n">
        <x:v>0.245</x:v>
      </x:c>
      <x:c r="Y172" s="8" t="n">
        <x:v>175.782</x:v>
      </x:c>
      <x:c r="Z172" s="8" t="n">
        <x:v>0.245</x:v>
      </x:c>
      <x:c r="AA172" s="8" t="n">
        <x:v>175.782</x:v>
      </x:c>
      <x:c r="AB172" s="8" t="n">
        <x:v>0.2</x:v>
      </x:c>
      <x:c r="AC172" s="8" t="n">
        <x:v>160.193</x:v>
      </x:c>
      <x:c r="AD172" s="8" t="n">
        <x:v>0.2</x:v>
      </x:c>
      <x:c r="AE172" s="8" t="n">
        <x:v>160.193</x:v>
      </x:c>
      <x:c r="AF172" s="8" t="n">
        <x:v>0.282</x:v>
      </x:c>
      <x:c r="AG172" s="8" t="n">
        <x:v>165.475</x:v>
      </x:c>
      <x:c r="AH172" s="8"/>
      <x:c r="AI172" s="8"/>
      <x:c r="AJ172" s="8" t="n">
        <x:v>0.408</x:v>
      </x:c>
      <x:c r="AK172" s="8" t="n">
        <x:v>117.204</x:v>
      </x:c>
      <x:c r="AL172" s="8" t="n">
        <x:v>0.408</x:v>
      </x:c>
      <x:c r="AM172" s="8" t="n">
        <x:v>117.204</x:v>
      </x:c>
      <x:c r="AN172" s="8" t="n">
        <x:v>0.363</x:v>
      </x:c>
      <x:c r="AO172" s="8" t="n">
        <x:v>115.969</x:v>
      </x:c>
      <x:c r="AP172" s="8" t="n">
        <x:v>0.363</x:v>
      </x:c>
      <x:c r="AQ172" s="8" t="n">
        <x:v>115.969</x:v>
      </x:c>
      <x:c r="AR172" s="8" t="n">
        <x:v>0.45</x:v>
      </x:c>
      <x:c r="AS172" s="8" t="n">
        <x:v>174.29</x:v>
      </x:c>
      <x:c r="AT172" s="8" t="n">
        <x:v>0.386</x:v>
      </x:c>
      <x:c r="AU172" s="8" t="n">
        <x:v>127.396</x:v>
      </x:c>
      <x:c r="AV172" s="8" t="n">
        <x:v>0.156</x:v>
      </x:c>
      <x:c r="AW172" s="8" t="n">
        <x:v>151.957</x:v>
      </x:c>
      <x:c r="AX172" s="8" t="n">
        <x:v>0.208</x:v>
      </x:c>
      <x:c r="AY172" s="8" t="n">
        <x:v>157.514</x:v>
      </x:c>
      <x:c r="AZ172" s="8" t="n">
        <x:v>0.208</x:v>
      </x:c>
      <x:c r="BA172" s="8" t="n">
        <x:v>157.514</x:v>
      </x:c>
      <x:c r="BB172" s="8" t="n">
        <x:f>LET(m,MIN(IF(D172&gt;0,D172,1E+99),IF(F172&gt;0,F172,1E+99),IF(H172&gt;0,H172,1E+99),IF(J172&gt;0,J172,1E+99),IF(L172&gt;0,L172,1E+99),IF(N172&gt;0,N172,1E+99),IF(P172&gt;0,P172,1E+99),IF(R172&gt;0,R172,1E+99),IF(T172&gt;0,T172,1E+99),IF(V172&gt;0,V172,1E+99),IF(X172&gt;0,X172,1E+99),IF(Z172&gt;0,Z172,1E+99),IF(AB172&gt;0,AB172,1E+99),IF(AD172&gt;0,AD172,1E+99),IF(AF172&gt;0,AF172,1E+99),IF(AH172&gt;0,AH172,1E+99),IF(AJ172&gt;0,AJ172,1E+99),IF(AL172&gt;0,AL172,1E+99),IF(AN172&gt;0,AN172,1E+99),IF(AP172&gt;0,AP172,1E+99),IF(AR172&gt;0,AR172,1E+99),IF(AT172&gt;0,AT172,1E+99),IF(AV172&gt;0,AV172,1E+99),IF(AX172&gt;0,AX172,1E+99),IF(AZ172&gt;0,AZ172,1E+99)),IF(m=1E+99,"",m))</x:f>
        <x:v>0.156</x:v>
      </x:c>
      <x:c r="BC172" s="12" t="e">
        <x:f>IF(BB172="","",INDEX({"v1.4.20","v1.4.20","v1.4.21","v1.4.21","v1.4.23","v1.4.23","v1.4.26","v1.4.26","v1.4.26.1","v1.4.26.1","v1.4.27","v1.4.27","v1.4.29","v1.4.29","v1.4.30","v1.4.30","v1.4.31","v1.4.31","v1.4.33","v1.4.33","v1.4.35","v1.4.35.2","v1.5","v1.5.1","v1.5.1"},MATCH(BB172,CHOOSE({1,2,3,4,5,6,7,8,9,10,11,12,13,14,15,16,17,18,19,20,21,22,23,24,25},D172,F172,H172,J172,L172,N172,P172,R172,T172,V172,X172,Z172,AB172,AD172,AF172,AH172,AJ172,AL172,AN172,AP172,AR172,AT172,AV172,AX172,AZ172),0)))</x:f>
      </x:c>
      <x:c r="BD172" s="14" t="n">
        <x:f>LET(m,MIN(IF(E172&gt;0,E172,1E+99),IF(G172&gt;0,G172,1E+99),IF(I172&gt;0,I172,1E+99),IF(K172&gt;0,K172,1E+99),IF(M172&gt;0,M172,1E+99),IF(O172&gt;0,O172,1E+99),IF(Q172&gt;0,Q172,1E+99),IF(S172&gt;0,S172,1E+99),IF(U172&gt;0,U172,1E+99),IF(W172&gt;0,W172,1E+99),IF(Y172&gt;0,Y172,1E+99),IF(AA172&gt;0,AA172,1E+99),IF(AC172&gt;0,AC172,1E+99),IF(AE172&gt;0,AE172,1E+99),IF(AG172&gt;0,AG172,1E+99),IF(AI172&gt;0,AI172,1E+99),IF(AK172&gt;0,AK172,1E+99),IF(AM172&gt;0,AM172,1E+99),IF(AO172&gt;0,AO172,1E+99),IF(AQ172&gt;0,AQ172,1E+99),IF(AS172&gt;0,AS172,1E+99),IF(AU172&gt;0,AU172,1E+99),IF(AW172&gt;0,AW172,1E+99),IF(AY172&gt;0,AY172,1E+99),IF(BA172&gt;0,BA172,1E+99)),IF(m=1E+99,"",m))</x:f>
        <x:v>93.642</x:v>
      </x:c>
      <x:c r="BE172" s="16" t="e">
        <x:f>IF(BD172="","",INDEX({"v1.4.20","v1.4.20","v1.4.21","v1.4.21","v1.4.23","v1.4.23","v1.4.26","v1.4.26","v1.4.26.1","v1.4.26.1","v1.4.27","v1.4.27","v1.4.29","v1.4.29","v1.4.30","v1.4.30","v1.4.31","v1.4.31","v1.4.33","v1.4.33","v1.4.35","v1.4.35.2","v1.5","v1.5.1","v1.5.1"},MATCH(BD172,CHOOSE({1,2,3,4,5,6,7,8,9,10,11,12,13,14,15,16,17,18,19,20,21,22,23,24,25},E172,G172,I172,K172,M172,O172,Q172,S172,U172,W172,Y172,AA172,AC172,AE172,AG172,AI172,AK172,AM172,AO172,AQ172,AS172,AU172,AW172,AY172,BA172),0)))</x:f>
      </x:c>
      <x:c r="BF172" s="10" t="n">
        <x:f>IFERROR((AX172-BB172)/BB172,"")</x:f>
        <x:v>0.33333333333333326</x:v>
      </x:c>
      <x:c r="BG172" s="10" t="n">
        <x:f>IFERROR((AY172-BD172)/BD172,"")</x:f>
        <x:v>0.6820870976698492</x:v>
      </x:c>
    </x:row>
    <x:row r="173">
      <x:c r="A173" t="str">
        <x:v>Master List</x:v>
      </x:c>
      <x:c r="B173" t="str">
        <x:v>Create / Refresh All Templates</x:v>
      </x:c>
      <x:c r="C173" t="str">
        <x:v>Apply alternating color rules: Template - Master List</x:v>
      </x:c>
      <x:c r="D173" s="8" t="n">
        <x:v>2.221</x:v>
      </x:c>
      <x:c r="E173" s="8" t="n">
        <x:v>116.113</x:v>
      </x:c>
      <x:c r="F173" s="8" t="n">
        <x:v>2.221</x:v>
      </x:c>
      <x:c r="G173" s="8" t="n">
        <x:v>116.113</x:v>
      </x:c>
      <x:c r="H173" s="8" t="n">
        <x:v>2.191</x:v>
      </x:c>
      <x:c r="I173" s="8" t="n">
        <x:v>149.368</x:v>
      </x:c>
      <x:c r="J173" s="8"/>
      <x:c r="K173" s="8"/>
      <x:c r="L173" s="8" t="n">
        <x:v>2.214</x:v>
      </x:c>
      <x:c r="M173" s="8" t="n">
        <x:v>143.858</x:v>
      </x:c>
      <x:c r="N173" s="8" t="n">
        <x:v>2.214</x:v>
      </x:c>
      <x:c r="O173" s="8" t="n">
        <x:v>143.858</x:v>
      </x:c>
      <x:c r="P173" s="8" t="n">
        <x:v>2.936</x:v>
      </x:c>
      <x:c r="Q173" s="8" t="n">
        <x:v>96.578</x:v>
      </x:c>
      <x:c r="R173" s="8" t="n">
        <x:v>2.936</x:v>
      </x:c>
      <x:c r="S173" s="8" t="n">
        <x:v>96.578</x:v>
      </x:c>
      <x:c r="T173" s="8" t="n">
        <x:v>1.993</x:v>
      </x:c>
      <x:c r="U173" s="8" t="n">
        <x:v>117.192</x:v>
      </x:c>
      <x:c r="V173" s="8" t="n">
        <x:v>1.993</x:v>
      </x:c>
      <x:c r="W173" s="8" t="n">
        <x:v>117.192</x:v>
      </x:c>
      <x:c r="X173" s="8" t="n">
        <x:v>2.699</x:v>
      </x:c>
      <x:c r="Y173" s="8" t="n">
        <x:v>178.481</x:v>
      </x:c>
      <x:c r="Z173" s="8" t="n">
        <x:v>2.699</x:v>
      </x:c>
      <x:c r="AA173" s="8" t="n">
        <x:v>178.481</x:v>
      </x:c>
      <x:c r="AB173" s="8" t="n">
        <x:v>3.16</x:v>
      </x:c>
      <x:c r="AC173" s="8" t="n">
        <x:v>163.353</x:v>
      </x:c>
      <x:c r="AD173" s="8" t="n">
        <x:v>3.16</x:v>
      </x:c>
      <x:c r="AE173" s="8" t="n">
        <x:v>163.353</x:v>
      </x:c>
      <x:c r="AF173" s="8" t="n">
        <x:v>2.564</x:v>
      </x:c>
      <x:c r="AG173" s="8" t="n">
        <x:v>168.039</x:v>
      </x:c>
      <x:c r="AH173" s="8"/>
      <x:c r="AI173" s="8"/>
      <x:c r="AJ173" s="8" t="n">
        <x:v>2.708</x:v>
      </x:c>
      <x:c r="AK173" s="8" t="n">
        <x:v>119.912</x:v>
      </x:c>
      <x:c r="AL173" s="8" t="n">
        <x:v>2.708</x:v>
      </x:c>
      <x:c r="AM173" s="8" t="n">
        <x:v>119.912</x:v>
      </x:c>
      <x:c r="AN173" s="8" t="n">
        <x:v>1.817</x:v>
      </x:c>
      <x:c r="AO173" s="8" t="n">
        <x:v>117.786</x:v>
      </x:c>
      <x:c r="AP173" s="8" t="n">
        <x:v>1.817</x:v>
      </x:c>
      <x:c r="AQ173" s="8" t="n">
        <x:v>117.786</x:v>
      </x:c>
      <x:c r="AR173" s="8" t="n">
        <x:v>2.929</x:v>
      </x:c>
      <x:c r="AS173" s="8" t="n">
        <x:v>177.219</x:v>
      </x:c>
      <x:c r="AT173" s="8" t="n">
        <x:v>1.837</x:v>
      </x:c>
      <x:c r="AU173" s="8" t="n">
        <x:v>129.233</x:v>
      </x:c>
      <x:c r="AV173" s="8" t="n">
        <x:v>2.465</x:v>
      </x:c>
      <x:c r="AW173" s="8" t="n">
        <x:v>154.422</x:v>
      </x:c>
      <x:c r="AX173" s="8" t="n">
        <x:v>2.364</x:v>
      </x:c>
      <x:c r="AY173" s="8" t="n">
        <x:v>159.878</x:v>
      </x:c>
      <x:c r="AZ173" s="8" t="n">
        <x:v>2.364</x:v>
      </x:c>
      <x:c r="BA173" s="8" t="n">
        <x:v>159.878</x:v>
      </x:c>
      <x:c r="BB173" s="8" t="n">
        <x:f>LET(m,MIN(IF(D173&gt;0,D173,1E+99),IF(F173&gt;0,F173,1E+99),IF(H173&gt;0,H173,1E+99),IF(J173&gt;0,J173,1E+99),IF(L173&gt;0,L173,1E+99),IF(N173&gt;0,N173,1E+99),IF(P173&gt;0,P173,1E+99),IF(R173&gt;0,R173,1E+99),IF(T173&gt;0,T173,1E+99),IF(V173&gt;0,V173,1E+99),IF(X173&gt;0,X173,1E+99),IF(Z173&gt;0,Z173,1E+99),IF(AB173&gt;0,AB173,1E+99),IF(AD173&gt;0,AD173,1E+99),IF(AF173&gt;0,AF173,1E+99),IF(AH173&gt;0,AH173,1E+99),IF(AJ173&gt;0,AJ173,1E+99),IF(AL173&gt;0,AL173,1E+99),IF(AN173&gt;0,AN173,1E+99),IF(AP173&gt;0,AP173,1E+99),IF(AR173&gt;0,AR173,1E+99),IF(AT173&gt;0,AT173,1E+99),IF(AV173&gt;0,AV173,1E+99),IF(AX173&gt;0,AX173,1E+99),IF(AZ173&gt;0,AZ173,1E+99)),IF(m=1E+99,"",m))</x:f>
        <x:v>1.817</x:v>
      </x:c>
      <x:c r="BC173" s="12" t="e">
        <x:f>IF(BB173="","",INDEX({"v1.4.20","v1.4.20","v1.4.21","v1.4.21","v1.4.23","v1.4.23","v1.4.26","v1.4.26","v1.4.26.1","v1.4.26.1","v1.4.27","v1.4.27","v1.4.29","v1.4.29","v1.4.30","v1.4.30","v1.4.31","v1.4.31","v1.4.33","v1.4.33","v1.4.35","v1.4.35.2","v1.5","v1.5.1","v1.5.1"},MATCH(BB173,CHOOSE({1,2,3,4,5,6,7,8,9,10,11,12,13,14,15,16,17,18,19,20,21,22,23,24,25},D173,F173,H173,J173,L173,N173,P173,R173,T173,V173,X173,Z173,AB173,AD173,AF173,AH173,AJ173,AL173,AN173,AP173,AR173,AT173,AV173,AX173,AZ173),0)))</x:f>
      </x:c>
      <x:c r="BD173" s="14" t="n">
        <x:f>LET(m,MIN(IF(E173&gt;0,E173,1E+99),IF(G173&gt;0,G173,1E+99),IF(I173&gt;0,I173,1E+99),IF(K173&gt;0,K173,1E+99),IF(M173&gt;0,M173,1E+99),IF(O173&gt;0,O173,1E+99),IF(Q173&gt;0,Q173,1E+99),IF(S173&gt;0,S173,1E+99),IF(U173&gt;0,U173,1E+99),IF(W173&gt;0,W173,1E+99),IF(Y173&gt;0,Y173,1E+99),IF(AA173&gt;0,AA173,1E+99),IF(AC173&gt;0,AC173,1E+99),IF(AE173&gt;0,AE173,1E+99),IF(AG173&gt;0,AG173,1E+99),IF(AI173&gt;0,AI173,1E+99),IF(AK173&gt;0,AK173,1E+99),IF(AM173&gt;0,AM173,1E+99),IF(AO173&gt;0,AO173,1E+99),IF(AQ173&gt;0,AQ173,1E+99),IF(AS173&gt;0,AS173,1E+99),IF(AU173&gt;0,AU173,1E+99),IF(AW173&gt;0,AW173,1E+99),IF(AY173&gt;0,AY173,1E+99),IF(BA173&gt;0,BA173,1E+99)),IF(m=1E+99,"",m))</x:f>
        <x:v>96.578</x:v>
      </x:c>
      <x:c r="BE173" s="16" t="e">
        <x:f>IF(BD173="","",INDEX({"v1.4.20","v1.4.20","v1.4.21","v1.4.21","v1.4.23","v1.4.23","v1.4.26","v1.4.26","v1.4.26.1","v1.4.26.1","v1.4.27","v1.4.27","v1.4.29","v1.4.29","v1.4.30","v1.4.30","v1.4.31","v1.4.31","v1.4.33","v1.4.33","v1.4.35","v1.4.35.2","v1.5","v1.5.1","v1.5.1"},MATCH(BD173,CHOOSE({1,2,3,4,5,6,7,8,9,10,11,12,13,14,15,16,17,18,19,20,21,22,23,24,25},E173,G173,I173,K173,M173,O173,Q173,S173,U173,W173,Y173,AA173,AC173,AE173,AG173,AI173,AK173,AM173,AO173,AQ173,AS173,AU173,AW173,AY173,BA173),0)))</x:f>
      </x:c>
      <x:c r="BF173" s="10" t="n">
        <x:f>IFERROR((AX173-BB173)/BB173,"")</x:f>
        <x:v>0.30104567969179963</x:v>
      </x:c>
      <x:c r="BG173" s="10" t="n">
        <x:f>IFERROR((AY173-BD173)/BD173,"")</x:f>
        <x:v>0.6554287725983141</x:v>
      </x:c>
    </x:row>
    <x:row r="174">
      <x:c r="A174" t="str">
        <x:v>Master List</x:v>
      </x:c>
      <x:c r="B174" t="str">
        <x:v>Create / Refresh All Templates</x:v>
      </x:c>
      <x:c r="C174" t="str">
        <x:v>Apply data row base style: Template - Master List</x:v>
      </x:c>
      <x:c r="D174" s="8" t="n">
        <x:v>0</x:v>
      </x:c>
      <x:c r="E174" s="8" t="n">
        <x:v>116.113</x:v>
      </x:c>
      <x:c r="F174" s="8" t="n">
        <x:v>0</x:v>
      </x:c>
      <x:c r="G174" s="8" t="n">
        <x:v>116.113</x:v>
      </x:c>
      <x:c r="H174" s="8" t="n">
        <x:v>0</x:v>
      </x:c>
      <x:c r="I174" s="8" t="n">
        <x:v>149.368</x:v>
      </x:c>
      <x:c r="J174" s="8" t="n">
        <x:v>0</x:v>
      </x:c>
      <x:c r="K174" s="8" t="n">
        <x:v>149.368</x:v>
      </x:c>
      <x:c r="L174" s="8" t="n">
        <x:v>0</x:v>
      </x:c>
      <x:c r="M174" s="8" t="n">
        <x:v>143.858</x:v>
      </x:c>
      <x:c r="N174" s="8" t="n">
        <x:v>0</x:v>
      </x:c>
      <x:c r="O174" s="8" t="n">
        <x:v>143.858</x:v>
      </x:c>
      <x:c r="P174" s="8" t="n">
        <x:v>0</x:v>
      </x:c>
      <x:c r="Q174" s="8" t="n">
        <x:v>96.578</x:v>
      </x:c>
      <x:c r="R174" s="8" t="n">
        <x:v>0</x:v>
      </x:c>
      <x:c r="S174" s="8" t="n">
        <x:v>96.578</x:v>
      </x:c>
      <x:c r="T174" s="8" t="n">
        <x:v>0</x:v>
      </x:c>
      <x:c r="U174" s="8" t="n">
        <x:v>117.192</x:v>
      </x:c>
      <x:c r="V174" s="8" t="n">
        <x:v>0</x:v>
      </x:c>
      <x:c r="W174" s="8" t="n">
        <x:v>117.192</x:v>
      </x:c>
      <x:c r="X174" s="8" t="n">
        <x:v>0</x:v>
      </x:c>
      <x:c r="Y174" s="8" t="n">
        <x:v>178.481</x:v>
      </x:c>
      <x:c r="Z174" s="8" t="n">
        <x:v>0</x:v>
      </x:c>
      <x:c r="AA174" s="8" t="n">
        <x:v>178.481</x:v>
      </x:c>
      <x:c r="AB174" s="8" t="n">
        <x:v>0</x:v>
      </x:c>
      <x:c r="AC174" s="8" t="n">
        <x:v>163.353</x:v>
      </x:c>
      <x:c r="AD174" s="8" t="n">
        <x:v>0</x:v>
      </x:c>
      <x:c r="AE174" s="8" t="n">
        <x:v>163.353</x:v>
      </x:c>
      <x:c r="AF174" s="8" t="n">
        <x:v>0</x:v>
      </x:c>
      <x:c r="AG174" s="8" t="n">
        <x:v>168.039</x:v>
      </x:c>
      <x:c r="AH174" s="8"/>
      <x:c r="AI174" s="8"/>
      <x:c r="AJ174" s="8" t="n">
        <x:v>0</x:v>
      </x:c>
      <x:c r="AK174" s="8" t="n">
        <x:v>119.912</x:v>
      </x:c>
      <x:c r="AL174" s="8" t="n">
        <x:v>0</x:v>
      </x:c>
      <x:c r="AM174" s="8" t="n">
        <x:v>119.912</x:v>
      </x:c>
      <x:c r="AN174" s="8" t="n">
        <x:v>0</x:v>
      </x:c>
      <x:c r="AO174" s="8" t="n">
        <x:v>117.786</x:v>
      </x:c>
      <x:c r="AP174" s="8" t="n">
        <x:v>0</x:v>
      </x:c>
      <x:c r="AQ174" s="8" t="n">
        <x:v>117.786</x:v>
      </x:c>
      <x:c r="AR174" s="8" t="n">
        <x:v>0</x:v>
      </x:c>
      <x:c r="AS174" s="8" t="n">
        <x:v>177.219</x:v>
      </x:c>
      <x:c r="AT174" s="8" t="n">
        <x:v>0</x:v>
      </x:c>
      <x:c r="AU174" s="8" t="n">
        <x:v>129.233</x:v>
      </x:c>
      <x:c r="AV174" s="8" t="n">
        <x:v>0</x:v>
      </x:c>
      <x:c r="AW174" s="8" t="n">
        <x:v>154.422</x:v>
      </x:c>
      <x:c r="AX174" s="8" t="n">
        <x:v>0</x:v>
      </x:c>
      <x:c r="AY174" s="8" t="n">
        <x:v>159.878</x:v>
      </x:c>
      <x:c r="AZ174" s="8" t="n">
        <x:v>0</x:v>
      </x:c>
      <x:c r="BA174" s="8" t="n">
        <x:v>159.878</x:v>
      </x:c>
      <x:c r="BB174" s="8" t="str">
        <x:f>LET(m,MIN(IF(D174&gt;0,D174,1E+99),IF(F174&gt;0,F174,1E+99),IF(H174&gt;0,H174,1E+99),IF(J174&gt;0,J174,1E+99),IF(L174&gt;0,L174,1E+99),IF(N174&gt;0,N174,1E+99),IF(P174&gt;0,P174,1E+99),IF(R174&gt;0,R174,1E+99),IF(T174&gt;0,T174,1E+99),IF(V174&gt;0,V174,1E+99),IF(X174&gt;0,X174,1E+99),IF(Z174&gt;0,Z174,1E+99),IF(AB174&gt;0,AB174,1E+99),IF(AD174&gt;0,AD174,1E+99),IF(AF174&gt;0,AF174,1E+99),IF(AH174&gt;0,AH174,1E+99),IF(AJ174&gt;0,AJ174,1E+99),IF(AL174&gt;0,AL174,1E+99),IF(AN174&gt;0,AN174,1E+99),IF(AP174&gt;0,AP174,1E+99),IF(AR174&gt;0,AR174,1E+99),IF(AT174&gt;0,AT174,1E+99),IF(AV174&gt;0,AV174,1E+99),IF(AX174&gt;0,AX174,1E+99),IF(AZ174&gt;0,AZ174,1E+99)),IF(m=1E+99,"",m))</x:f>
      </x:c>
      <x:c r="BC174" s="12" t="str">
        <x:f>IF(BB174="","",INDEX({"v1.4.20","v1.4.20","v1.4.21","v1.4.21","v1.4.23","v1.4.23","v1.4.26","v1.4.26","v1.4.26.1","v1.4.26.1","v1.4.27","v1.4.27","v1.4.29","v1.4.29","v1.4.30","v1.4.30","v1.4.31","v1.4.31","v1.4.33","v1.4.33","v1.4.35","v1.4.35.2","v1.5","v1.5.1","v1.5.1"},MATCH(BB174,CHOOSE({1,2,3,4,5,6,7,8,9,10,11,12,13,14,15,16,17,18,19,20,21,22,23,24,25},D174,F174,H174,J174,L174,N174,P174,R174,T174,V174,X174,Z174,AB174,AD174,AF174,AH174,AJ174,AL174,AN174,AP174,AR174,AT174,AV174,AX174,AZ174),0)))</x:f>
      </x:c>
      <x:c r="BD174" s="14" t="n">
        <x:f>LET(m,MIN(IF(E174&gt;0,E174,1E+99),IF(G174&gt;0,G174,1E+99),IF(I174&gt;0,I174,1E+99),IF(K174&gt;0,K174,1E+99),IF(M174&gt;0,M174,1E+99),IF(O174&gt;0,O174,1E+99),IF(Q174&gt;0,Q174,1E+99),IF(S174&gt;0,S174,1E+99),IF(U174&gt;0,U174,1E+99),IF(W174&gt;0,W174,1E+99),IF(Y174&gt;0,Y174,1E+99),IF(AA174&gt;0,AA174,1E+99),IF(AC174&gt;0,AC174,1E+99),IF(AE174&gt;0,AE174,1E+99),IF(AG174&gt;0,AG174,1E+99),IF(AI174&gt;0,AI174,1E+99),IF(AK174&gt;0,AK174,1E+99),IF(AM174&gt;0,AM174,1E+99),IF(AO174&gt;0,AO174,1E+99),IF(AQ174&gt;0,AQ174,1E+99),IF(AS174&gt;0,AS174,1E+99),IF(AU174&gt;0,AU174,1E+99),IF(AW174&gt;0,AW174,1E+99),IF(AY174&gt;0,AY174,1E+99),IF(BA174&gt;0,BA174,1E+99)),IF(m=1E+99,"",m))</x:f>
        <x:v>96.578</x:v>
      </x:c>
      <x:c r="BE174" s="16" t="e">
        <x:f>IF(BD174="","",INDEX({"v1.4.20","v1.4.20","v1.4.21","v1.4.21","v1.4.23","v1.4.23","v1.4.26","v1.4.26","v1.4.26.1","v1.4.26.1","v1.4.27","v1.4.27","v1.4.29","v1.4.29","v1.4.30","v1.4.30","v1.4.31","v1.4.31","v1.4.33","v1.4.33","v1.4.35","v1.4.35.2","v1.5","v1.5.1","v1.5.1"},MATCH(BD174,CHOOSE({1,2,3,4,5,6,7,8,9,10,11,12,13,14,15,16,17,18,19,20,21,22,23,24,25},E174,G174,I174,K174,M174,O174,Q174,S174,U174,W174,Y174,AA174,AC174,AE174,AG174,AI174,AK174,AM174,AO174,AQ174,AS174,AU174,AW174,AY174,BA174),0)))</x:f>
      </x:c>
      <x:c r="BF174" s="10" t="str">
        <x:f>IFERROR((AX174-BB174)/BB174,"")</x:f>
      </x:c>
      <x:c r="BG174" s="10" t="n">
        <x:f>IFERROR((AY174-BD174)/BD174,"")</x:f>
        <x:v>0.6554287725983141</x:v>
      </x:c>
    </x:row>
    <x:row r="175">
      <x:c r="A175" t="str">
        <x:v>Master List</x:v>
      </x:c>
      <x:c r="B175" t="str">
        <x:v>Create / Refresh All Templates</x:v>
      </x:c>
      <x:c r="C175" t="str">
        <x:v>Apply column widths: Template - Master List</x:v>
      </x:c>
      <x:c r="D175" s="8" t="n">
        <x:v>0.754</x:v>
      </x:c>
      <x:c r="E175" s="8" t="n">
        <x:v>116.867</x:v>
      </x:c>
      <x:c r="F175" s="8" t="n">
        <x:v>0.754</x:v>
      </x:c>
      <x:c r="G175" s="8" t="n">
        <x:v>116.867</x:v>
      </x:c>
      <x:c r="H175" s="8" t="n">
        <x:v>0.766</x:v>
      </x:c>
      <x:c r="I175" s="8" t="n">
        <x:v>150.134</x:v>
      </x:c>
      <x:c r="J175" s="8" t="n">
        <x:v>0.766</x:v>
      </x:c>
      <x:c r="K175" s="8" t="n">
        <x:v>150.134</x:v>
      </x:c>
      <x:c r="L175" s="8" t="n">
        <x:v>0.853</x:v>
      </x:c>
      <x:c r="M175" s="8" t="n">
        <x:v>144.711</x:v>
      </x:c>
      <x:c r="N175" s="8" t="n">
        <x:v>0.853</x:v>
      </x:c>
      <x:c r="O175" s="8" t="n">
        <x:v>144.711</x:v>
      </x:c>
      <x:c r="P175" s="8" t="n">
        <x:v>0.815</x:v>
      </x:c>
      <x:c r="Q175" s="8" t="n">
        <x:v>97.393</x:v>
      </x:c>
      <x:c r="R175" s="8" t="n">
        <x:v>0.815</x:v>
      </x:c>
      <x:c r="S175" s="8" t="n">
        <x:v>97.393</x:v>
      </x:c>
      <x:c r="T175" s="8" t="n">
        <x:v>0.433</x:v>
      </x:c>
      <x:c r="U175" s="8" t="n">
        <x:v>117.625</x:v>
      </x:c>
      <x:c r="V175" s="8" t="n">
        <x:v>0.433</x:v>
      </x:c>
      <x:c r="W175" s="8" t="n">
        <x:v>117.625</x:v>
      </x:c>
      <x:c r="X175" s="8" t="n">
        <x:v>0.859</x:v>
      </x:c>
      <x:c r="Y175" s="8" t="n">
        <x:v>179.34</x:v>
      </x:c>
      <x:c r="Z175" s="8" t="n">
        <x:v>0.859</x:v>
      </x:c>
      <x:c r="AA175" s="8" t="n">
        <x:v>179.34</x:v>
      </x:c>
      <x:c r="AB175" s="8" t="n">
        <x:v>0.858</x:v>
      </x:c>
      <x:c r="AC175" s="8" t="n">
        <x:v>164.211</x:v>
      </x:c>
      <x:c r="AD175" s="8" t="n">
        <x:v>0.858</x:v>
      </x:c>
      <x:c r="AE175" s="8" t="n">
        <x:v>164.211</x:v>
      </x:c>
      <x:c r="AF175" s="8" t="n">
        <x:v>0.873</x:v>
      </x:c>
      <x:c r="AG175" s="8" t="n">
        <x:v>168.912</x:v>
      </x:c>
      <x:c r="AH175" s="8"/>
      <x:c r="AI175" s="8"/>
      <x:c r="AJ175" s="8" t="n">
        <x:v>0.897</x:v>
      </x:c>
      <x:c r="AK175" s="8" t="n">
        <x:v>120.809</x:v>
      </x:c>
      <x:c r="AL175" s="8" t="n">
        <x:v>0.897</x:v>
      </x:c>
      <x:c r="AM175" s="8" t="n">
        <x:v>120.809</x:v>
      </x:c>
      <x:c r="AN175" s="8" t="n">
        <x:v>0.519</x:v>
      </x:c>
      <x:c r="AO175" s="8" t="n">
        <x:v>118.305</x:v>
      </x:c>
      <x:c r="AP175" s="8" t="n">
        <x:v>0.519</x:v>
      </x:c>
      <x:c r="AQ175" s="8" t="n">
        <x:v>118.305</x:v>
      </x:c>
      <x:c r="AR175" s="8" t="n">
        <x:v>1.027</x:v>
      </x:c>
      <x:c r="AS175" s="8" t="n">
        <x:v>178.246</x:v>
      </x:c>
      <x:c r="AT175" s="8" t="n">
        <x:v>0.591</x:v>
      </x:c>
      <x:c r="AU175" s="8" t="n">
        <x:v>129.824</x:v>
      </x:c>
      <x:c r="AV175" s="8" t="n">
        <x:v>0.759</x:v>
      </x:c>
      <x:c r="AW175" s="8" t="n">
        <x:v>155.181</x:v>
      </x:c>
      <x:c r="AX175" s="8" t="n">
        <x:v>0.842</x:v>
      </x:c>
      <x:c r="AY175" s="8" t="n">
        <x:v>160.72</x:v>
      </x:c>
      <x:c r="AZ175" s="8" t="n">
        <x:v>0.842</x:v>
      </x:c>
      <x:c r="BA175" s="8" t="n">
        <x:v>160.72</x:v>
      </x:c>
      <x:c r="BB175" s="8" t="n">
        <x:f>LET(m,MIN(IF(D175&gt;0,D175,1E+99),IF(F175&gt;0,F175,1E+99),IF(H175&gt;0,H175,1E+99),IF(J175&gt;0,J175,1E+99),IF(L175&gt;0,L175,1E+99),IF(N175&gt;0,N175,1E+99),IF(P175&gt;0,P175,1E+99),IF(R175&gt;0,R175,1E+99),IF(T175&gt;0,T175,1E+99),IF(V175&gt;0,V175,1E+99),IF(X175&gt;0,X175,1E+99),IF(Z175&gt;0,Z175,1E+99),IF(AB175&gt;0,AB175,1E+99),IF(AD175&gt;0,AD175,1E+99),IF(AF175&gt;0,AF175,1E+99),IF(AH175&gt;0,AH175,1E+99),IF(AJ175&gt;0,AJ175,1E+99),IF(AL175&gt;0,AL175,1E+99),IF(AN175&gt;0,AN175,1E+99),IF(AP175&gt;0,AP175,1E+99),IF(AR175&gt;0,AR175,1E+99),IF(AT175&gt;0,AT175,1E+99),IF(AV175&gt;0,AV175,1E+99),IF(AX175&gt;0,AX175,1E+99),IF(AZ175&gt;0,AZ175,1E+99)),IF(m=1E+99,"",m))</x:f>
        <x:v>0.433</x:v>
      </x:c>
      <x:c r="BC175" s="12" t="e">
        <x:f>IF(BB175="","",INDEX({"v1.4.20","v1.4.20","v1.4.21","v1.4.21","v1.4.23","v1.4.23","v1.4.26","v1.4.26","v1.4.26.1","v1.4.26.1","v1.4.27","v1.4.27","v1.4.29","v1.4.29","v1.4.30","v1.4.30","v1.4.31","v1.4.31","v1.4.33","v1.4.33","v1.4.35","v1.4.35.2","v1.5","v1.5.1","v1.5.1"},MATCH(BB175,CHOOSE({1,2,3,4,5,6,7,8,9,10,11,12,13,14,15,16,17,18,19,20,21,22,23,24,25},D175,F175,H175,J175,L175,N175,P175,R175,T175,V175,X175,Z175,AB175,AD175,AF175,AH175,AJ175,AL175,AN175,AP175,AR175,AT175,AV175,AX175,AZ175),0)))</x:f>
      </x:c>
      <x:c r="BD175" s="14" t="n">
        <x:f>LET(m,MIN(IF(E175&gt;0,E175,1E+99),IF(G175&gt;0,G175,1E+99),IF(I175&gt;0,I175,1E+99),IF(K175&gt;0,K175,1E+99),IF(M175&gt;0,M175,1E+99),IF(O175&gt;0,O175,1E+99),IF(Q175&gt;0,Q175,1E+99),IF(S175&gt;0,S175,1E+99),IF(U175&gt;0,U175,1E+99),IF(W175&gt;0,W175,1E+99),IF(Y175&gt;0,Y175,1E+99),IF(AA175&gt;0,AA175,1E+99),IF(AC175&gt;0,AC175,1E+99),IF(AE175&gt;0,AE175,1E+99),IF(AG175&gt;0,AG175,1E+99),IF(AI175&gt;0,AI175,1E+99),IF(AK175&gt;0,AK175,1E+99),IF(AM175&gt;0,AM175,1E+99),IF(AO175&gt;0,AO175,1E+99),IF(AQ175&gt;0,AQ175,1E+99),IF(AS175&gt;0,AS175,1E+99),IF(AU175&gt;0,AU175,1E+99),IF(AW175&gt;0,AW175,1E+99),IF(AY175&gt;0,AY175,1E+99),IF(BA175&gt;0,BA175,1E+99)),IF(m=1E+99,"",m))</x:f>
        <x:v>97.393</x:v>
      </x:c>
      <x:c r="BE175" s="16" t="e">
        <x:f>IF(BD175="","",INDEX({"v1.4.20","v1.4.20","v1.4.21","v1.4.21","v1.4.23","v1.4.23","v1.4.26","v1.4.26","v1.4.26.1","v1.4.26.1","v1.4.27","v1.4.27","v1.4.29","v1.4.29","v1.4.30","v1.4.30","v1.4.31","v1.4.31","v1.4.33","v1.4.33","v1.4.35","v1.4.35.2","v1.5","v1.5.1","v1.5.1"},MATCH(BD175,CHOOSE({1,2,3,4,5,6,7,8,9,10,11,12,13,14,15,16,17,18,19,20,21,22,23,24,25},E175,G175,I175,K175,M175,O175,Q175,S175,U175,W175,Y175,AA175,AC175,AE175,AG175,AI175,AK175,AM175,AO175,AQ175,AS175,AU175,AW175,AY175,BA175),0)))</x:f>
      </x:c>
      <x:c r="BF175" s="10" t="n">
        <x:f>IFERROR((AX175-BB175)/BB175,"")</x:f>
        <x:v>0.9445727482678984</x:v>
      </x:c>
      <x:c r="BG175" s="10" t="n">
        <x:f>IFERROR((AY175-BD175)/BD175,"")</x:f>
        <x:v>0.6502212684689864</x:v>
      </x:c>
    </x:row>
    <x:row r="176">
      <x:c r="A176" t="str">
        <x:v>Master List</x:v>
      </x:c>
      <x:c r="B176" t="str">
        <x:v>Create / Refresh All Templates</x:v>
      </x:c>
      <x:c r="C176" t="str">
        <x:v>Apply date/number formats: Template - Master List</x:v>
      </x:c>
      <x:c r="D176" s="8" t="n">
        <x:v>0.114</x:v>
      </x:c>
      <x:c r="E176" s="8" t="n">
        <x:v>116.981</x:v>
      </x:c>
      <x:c r="F176" s="8" t="n">
        <x:v>0.114</x:v>
      </x:c>
      <x:c r="G176" s="8" t="n">
        <x:v>116.981</x:v>
      </x:c>
      <x:c r="H176" s="8" t="n">
        <x:v>0.174</x:v>
      </x:c>
      <x:c r="I176" s="8" t="n">
        <x:v>150.308</x:v>
      </x:c>
      <x:c r="J176" s="8" t="n">
        <x:v>0.174</x:v>
      </x:c>
      <x:c r="K176" s="8" t="n">
        <x:v>150.308</x:v>
      </x:c>
      <x:c r="L176" s="8" t="n">
        <x:v>0.174</x:v>
      </x:c>
      <x:c r="M176" s="8" t="n">
        <x:v>144.885</x:v>
      </x:c>
      <x:c r="N176" s="8" t="n">
        <x:v>0.174</x:v>
      </x:c>
      <x:c r="O176" s="8" t="n">
        <x:v>144.885</x:v>
      </x:c>
      <x:c r="P176" s="8" t="n">
        <x:v>0.114</x:v>
      </x:c>
      <x:c r="Q176" s="8" t="n">
        <x:v>97.507</x:v>
      </x:c>
      <x:c r="R176" s="8" t="n">
        <x:v>0.114</x:v>
      </x:c>
      <x:c r="S176" s="8" t="n">
        <x:v>97.507</x:v>
      </x:c>
      <x:c r="T176" s="8" t="n">
        <x:v>0.059</x:v>
      </x:c>
      <x:c r="U176" s="8" t="n">
        <x:v>117.684</x:v>
      </x:c>
      <x:c r="V176" s="8" t="n">
        <x:v>0.059</x:v>
      </x:c>
      <x:c r="W176" s="8" t="n">
        <x:v>117.684</x:v>
      </x:c>
      <x:c r="X176" s="8" t="n">
        <x:v>0.09</x:v>
      </x:c>
      <x:c r="Y176" s="8" t="n">
        <x:v>179.43</x:v>
      </x:c>
      <x:c r="Z176" s="8" t="n">
        <x:v>0.09</x:v>
      </x:c>
      <x:c r="AA176" s="8" t="n">
        <x:v>179.43</x:v>
      </x:c>
      <x:c r="AB176" s="8" t="n">
        <x:v>0.067</x:v>
      </x:c>
      <x:c r="AC176" s="8" t="n">
        <x:v>164.278</x:v>
      </x:c>
      <x:c r="AD176" s="8" t="n">
        <x:v>0.067</x:v>
      </x:c>
      <x:c r="AE176" s="8" t="n">
        <x:v>164.278</x:v>
      </x:c>
      <x:c r="AF176" s="8" t="n">
        <x:v>0.086</x:v>
      </x:c>
      <x:c r="AG176" s="8" t="n">
        <x:v>168.998</x:v>
      </x:c>
      <x:c r="AH176" s="8"/>
      <x:c r="AI176" s="8"/>
      <x:c r="AJ176" s="8" t="n">
        <x:v>0.078</x:v>
      </x:c>
      <x:c r="AK176" s="8" t="n">
        <x:v>120.887</x:v>
      </x:c>
      <x:c r="AL176" s="8" t="n">
        <x:v>0.078</x:v>
      </x:c>
      <x:c r="AM176" s="8" t="n">
        <x:v>120.887</x:v>
      </x:c>
      <x:c r="AN176" s="8" t="n">
        <x:v>0.103</x:v>
      </x:c>
      <x:c r="AO176" s="8" t="n">
        <x:v>118.408</x:v>
      </x:c>
      <x:c r="AP176" s="8" t="n">
        <x:v>0.103</x:v>
      </x:c>
      <x:c r="AQ176" s="8" t="n">
        <x:v>118.408</x:v>
      </x:c>
      <x:c r="AR176" s="8" t="n">
        <x:v>0.139</x:v>
      </x:c>
      <x:c r="AS176" s="8" t="n">
        <x:v>178.385</x:v>
      </x:c>
      <x:c r="AT176" s="8" t="n">
        <x:v>0.108</x:v>
      </x:c>
      <x:c r="AU176" s="8" t="n">
        <x:v>129.932</x:v>
      </x:c>
      <x:c r="AV176" s="8" t="n">
        <x:v>0.048</x:v>
      </x:c>
      <x:c r="AW176" s="8" t="n">
        <x:v>155.229</x:v>
      </x:c>
      <x:c r="AX176" s="8" t="n">
        <x:v>0.108</x:v>
      </x:c>
      <x:c r="AY176" s="8" t="n">
        <x:v>160.828</x:v>
      </x:c>
      <x:c r="AZ176" s="8" t="n">
        <x:v>0.108</x:v>
      </x:c>
      <x:c r="BA176" s="8" t="n">
        <x:v>160.828</x:v>
      </x:c>
      <x:c r="BB176" s="8" t="n">
        <x:f>LET(m,MIN(IF(D176&gt;0,D176,1E+99),IF(F176&gt;0,F176,1E+99),IF(H176&gt;0,H176,1E+99),IF(J176&gt;0,J176,1E+99),IF(L176&gt;0,L176,1E+99),IF(N176&gt;0,N176,1E+99),IF(P176&gt;0,P176,1E+99),IF(R176&gt;0,R176,1E+99),IF(T176&gt;0,T176,1E+99),IF(V176&gt;0,V176,1E+99),IF(X176&gt;0,X176,1E+99),IF(Z176&gt;0,Z176,1E+99),IF(AB176&gt;0,AB176,1E+99),IF(AD176&gt;0,AD176,1E+99),IF(AF176&gt;0,AF176,1E+99),IF(AH176&gt;0,AH176,1E+99),IF(AJ176&gt;0,AJ176,1E+99),IF(AL176&gt;0,AL176,1E+99),IF(AN176&gt;0,AN176,1E+99),IF(AP176&gt;0,AP176,1E+99),IF(AR176&gt;0,AR176,1E+99),IF(AT176&gt;0,AT176,1E+99),IF(AV176&gt;0,AV176,1E+99),IF(AX176&gt;0,AX176,1E+99),IF(AZ176&gt;0,AZ176,1E+99)),IF(m=1E+99,"",m))</x:f>
        <x:v>0.048</x:v>
      </x:c>
      <x:c r="BC176" s="12" t="e">
        <x:f>IF(BB176="","",INDEX({"v1.4.20","v1.4.20","v1.4.21","v1.4.21","v1.4.23","v1.4.23","v1.4.26","v1.4.26","v1.4.26.1","v1.4.26.1","v1.4.27","v1.4.27","v1.4.29","v1.4.29","v1.4.30","v1.4.30","v1.4.31","v1.4.31","v1.4.33","v1.4.33","v1.4.35","v1.4.35.2","v1.5","v1.5.1","v1.5.1"},MATCH(BB176,CHOOSE({1,2,3,4,5,6,7,8,9,10,11,12,13,14,15,16,17,18,19,20,21,22,23,24,25},D176,F176,H176,J176,L176,N176,P176,R176,T176,V176,X176,Z176,AB176,AD176,AF176,AH176,AJ176,AL176,AN176,AP176,AR176,AT176,AV176,AX176,AZ176),0)))</x:f>
      </x:c>
      <x:c r="BD176" s="14" t="n">
        <x:f>LET(m,MIN(IF(E176&gt;0,E176,1E+99),IF(G176&gt;0,G176,1E+99),IF(I176&gt;0,I176,1E+99),IF(K176&gt;0,K176,1E+99),IF(M176&gt;0,M176,1E+99),IF(O176&gt;0,O176,1E+99),IF(Q176&gt;0,Q176,1E+99),IF(S176&gt;0,S176,1E+99),IF(U176&gt;0,U176,1E+99),IF(W176&gt;0,W176,1E+99),IF(Y176&gt;0,Y176,1E+99),IF(AA176&gt;0,AA176,1E+99),IF(AC176&gt;0,AC176,1E+99),IF(AE176&gt;0,AE176,1E+99),IF(AG176&gt;0,AG176,1E+99),IF(AI176&gt;0,AI176,1E+99),IF(AK176&gt;0,AK176,1E+99),IF(AM176&gt;0,AM176,1E+99),IF(AO176&gt;0,AO176,1E+99),IF(AQ176&gt;0,AQ176,1E+99),IF(AS176&gt;0,AS176,1E+99),IF(AU176&gt;0,AU176,1E+99),IF(AW176&gt;0,AW176,1E+99),IF(AY176&gt;0,AY176,1E+99),IF(BA176&gt;0,BA176,1E+99)),IF(m=1E+99,"",m))</x:f>
        <x:v>97.507</x:v>
      </x:c>
      <x:c r="BE176" s="16" t="e">
        <x:f>IF(BD176="","",INDEX({"v1.4.20","v1.4.20","v1.4.21","v1.4.21","v1.4.23","v1.4.23","v1.4.26","v1.4.26","v1.4.26.1","v1.4.26.1","v1.4.27","v1.4.27","v1.4.29","v1.4.29","v1.4.30","v1.4.30","v1.4.31","v1.4.31","v1.4.33","v1.4.33","v1.4.35","v1.4.35.2","v1.5","v1.5.1","v1.5.1"},MATCH(BD176,CHOOSE({1,2,3,4,5,6,7,8,9,10,11,12,13,14,15,16,17,18,19,20,21,22,23,24,25},E176,G176,I176,K176,M176,O176,Q176,S176,U176,W176,Y176,AA176,AC176,AE176,AG176,AI176,AK176,AM176,AO176,AQ176,AS176,AU176,AW176,AY176,BA176),0)))</x:f>
      </x:c>
      <x:c r="BF176" s="10" t="n">
        <x:f>IFERROR((AX176-BB176)/BB176,"")</x:f>
        <x:v>1.25</x:v>
      </x:c>
      <x:c r="BG176" s="10" t="n">
        <x:f>IFERROR((AY176-BD176)/BD176,"")</x:f>
        <x:v>0.649399530290133</x:v>
      </x:c>
    </x:row>
    <x:row r="177">
      <x:c r="A177" t="str">
        <x:v>Master List</x:v>
      </x:c>
      <x:c r="B177" t="str">
        <x:v>Create / Refresh All Templates</x:v>
      </x:c>
      <x:c r="C177" t="str">
        <x:v>Apply hidden/show column settings: Template - Master List</x:v>
      </x:c>
      <x:c r="D177" s="8" t="n">
        <x:v>0.012</x:v>
      </x:c>
      <x:c r="E177" s="8" t="n">
        <x:v>116.993</x:v>
      </x:c>
      <x:c r="F177" s="8" t="n">
        <x:v>0.012</x:v>
      </x:c>
      <x:c r="G177" s="8" t="n">
        <x:v>116.993</x:v>
      </x:c>
      <x:c r="H177" s="8" t="n">
        <x:v>0.01</x:v>
      </x:c>
      <x:c r="I177" s="8" t="n">
        <x:v>150.318</x:v>
      </x:c>
      <x:c r="J177" s="8" t="n">
        <x:v>0.01</x:v>
      </x:c>
      <x:c r="K177" s="8" t="n">
        <x:v>150.318</x:v>
      </x:c>
      <x:c r="L177" s="8" t="n">
        <x:v>0.019</x:v>
      </x:c>
      <x:c r="M177" s="8" t="n">
        <x:v>144.904</x:v>
      </x:c>
      <x:c r="N177" s="8" t="n">
        <x:v>0.019</x:v>
      </x:c>
      <x:c r="O177" s="8" t="n">
        <x:v>144.904</x:v>
      </x:c>
      <x:c r="P177" s="8" t="n">
        <x:v>0.003</x:v>
      </x:c>
      <x:c r="Q177" s="8" t="n">
        <x:v>97.51</x:v>
      </x:c>
      <x:c r="R177" s="8" t="n">
        <x:v>0.003</x:v>
      </x:c>
      <x:c r="S177" s="8" t="n">
        <x:v>97.51</x:v>
      </x:c>
      <x:c r="T177" s="8" t="n">
        <x:v>0.002</x:v>
      </x:c>
      <x:c r="U177" s="8" t="n">
        <x:v>117.686</x:v>
      </x:c>
      <x:c r="V177" s="8" t="n">
        <x:v>0.002</x:v>
      </x:c>
      <x:c r="W177" s="8" t="n">
        <x:v>117.686</x:v>
      </x:c>
      <x:c r="X177" s="8" t="n">
        <x:v>0.005</x:v>
      </x:c>
      <x:c r="Y177" s="8" t="n">
        <x:v>179.435</x:v>
      </x:c>
      <x:c r="Z177" s="8" t="n">
        <x:v>0.005</x:v>
      </x:c>
      <x:c r="AA177" s="8" t="n">
        <x:v>179.435</x:v>
      </x:c>
      <x:c r="AB177" s="8" t="n">
        <x:v>0.004</x:v>
      </x:c>
      <x:c r="AC177" s="8" t="n">
        <x:v>164.282</x:v>
      </x:c>
      <x:c r="AD177" s="8" t="n">
        <x:v>0.004</x:v>
      </x:c>
      <x:c r="AE177" s="8" t="n">
        <x:v>164.282</x:v>
      </x:c>
      <x:c r="AF177" s="8" t="n">
        <x:v>0.003</x:v>
      </x:c>
      <x:c r="AG177" s="8" t="n">
        <x:v>169.001</x:v>
      </x:c>
      <x:c r="AH177" s="8"/>
      <x:c r="AI177" s="8"/>
      <x:c r="AJ177" s="8" t="n">
        <x:v>0.003</x:v>
      </x:c>
      <x:c r="AK177" s="8" t="n">
        <x:v>120.89</x:v>
      </x:c>
      <x:c r="AL177" s="8" t="n">
        <x:v>0.003</x:v>
      </x:c>
      <x:c r="AM177" s="8" t="n">
        <x:v>120.89</x:v>
      </x:c>
      <x:c r="AN177" s="8" t="n">
        <x:v>0.006</x:v>
      </x:c>
      <x:c r="AO177" s="8" t="n">
        <x:v>118.414</x:v>
      </x:c>
      <x:c r="AP177" s="8" t="n">
        <x:v>0.006</x:v>
      </x:c>
      <x:c r="AQ177" s="8" t="n">
        <x:v>118.414</x:v>
      </x:c>
      <x:c r="AR177" s="8" t="n">
        <x:v>0.007</x:v>
      </x:c>
      <x:c r="AS177" s="8" t="n">
        <x:v>178.392</x:v>
      </x:c>
      <x:c r="AT177" s="8" t="n">
        <x:v>0.005</x:v>
      </x:c>
      <x:c r="AU177" s="8" t="n">
        <x:v>129.937</x:v>
      </x:c>
      <x:c r="AV177" s="8" t="n">
        <x:v>0.002</x:v>
      </x:c>
      <x:c r="AW177" s="8" t="n">
        <x:v>155.231</x:v>
      </x:c>
      <x:c r="AX177" s="8" t="n">
        <x:v>0.005</x:v>
      </x:c>
      <x:c r="AY177" s="8" t="n">
        <x:v>160.833</x:v>
      </x:c>
      <x:c r="AZ177" s="8" t="n">
        <x:v>0.005</x:v>
      </x:c>
      <x:c r="BA177" s="8" t="n">
        <x:v>160.833</x:v>
      </x:c>
      <x:c r="BB177" s="8" t="n">
        <x:f>LET(m,MIN(IF(D177&gt;0,D177,1E+99),IF(F177&gt;0,F177,1E+99),IF(H177&gt;0,H177,1E+99),IF(J177&gt;0,J177,1E+99),IF(L177&gt;0,L177,1E+99),IF(N177&gt;0,N177,1E+99),IF(P177&gt;0,P177,1E+99),IF(R177&gt;0,R177,1E+99),IF(T177&gt;0,T177,1E+99),IF(V177&gt;0,V177,1E+99),IF(X177&gt;0,X177,1E+99),IF(Z177&gt;0,Z177,1E+99),IF(AB177&gt;0,AB177,1E+99),IF(AD177&gt;0,AD177,1E+99),IF(AF177&gt;0,AF177,1E+99),IF(AH177&gt;0,AH177,1E+99),IF(AJ177&gt;0,AJ177,1E+99),IF(AL177&gt;0,AL177,1E+99),IF(AN177&gt;0,AN177,1E+99),IF(AP177&gt;0,AP177,1E+99),IF(AR177&gt;0,AR177,1E+99),IF(AT177&gt;0,AT177,1E+99),IF(AV177&gt;0,AV177,1E+99),IF(AX177&gt;0,AX177,1E+99),IF(AZ177&gt;0,AZ177,1E+99)),IF(m=1E+99,"",m))</x:f>
        <x:v>0.002</x:v>
      </x:c>
      <x:c r="BC177" s="12" t="e">
        <x:f>IF(BB177="","",INDEX({"v1.4.20","v1.4.20","v1.4.21","v1.4.21","v1.4.23","v1.4.23","v1.4.26","v1.4.26","v1.4.26.1","v1.4.26.1","v1.4.27","v1.4.27","v1.4.29","v1.4.29","v1.4.30","v1.4.30","v1.4.31","v1.4.31","v1.4.33","v1.4.33","v1.4.35","v1.4.35.2","v1.5","v1.5.1","v1.5.1"},MATCH(BB177,CHOOSE({1,2,3,4,5,6,7,8,9,10,11,12,13,14,15,16,17,18,19,20,21,22,23,24,25},D177,F177,H177,J177,L177,N177,P177,R177,T177,V177,X177,Z177,AB177,AD177,AF177,AH177,AJ177,AL177,AN177,AP177,AR177,AT177,AV177,AX177,AZ177),0)))</x:f>
      </x:c>
      <x:c r="BD177" s="14" t="n">
        <x:f>LET(m,MIN(IF(E177&gt;0,E177,1E+99),IF(G177&gt;0,G177,1E+99),IF(I177&gt;0,I177,1E+99),IF(K177&gt;0,K177,1E+99),IF(M177&gt;0,M177,1E+99),IF(O177&gt;0,O177,1E+99),IF(Q177&gt;0,Q177,1E+99),IF(S177&gt;0,S177,1E+99),IF(U177&gt;0,U177,1E+99),IF(W177&gt;0,W177,1E+99),IF(Y177&gt;0,Y177,1E+99),IF(AA177&gt;0,AA177,1E+99),IF(AC177&gt;0,AC177,1E+99),IF(AE177&gt;0,AE177,1E+99),IF(AG177&gt;0,AG177,1E+99),IF(AI177&gt;0,AI177,1E+99),IF(AK177&gt;0,AK177,1E+99),IF(AM177&gt;0,AM177,1E+99),IF(AO177&gt;0,AO177,1E+99),IF(AQ177&gt;0,AQ177,1E+99),IF(AS177&gt;0,AS177,1E+99),IF(AU177&gt;0,AU177,1E+99),IF(AW177&gt;0,AW177,1E+99),IF(AY177&gt;0,AY177,1E+99),IF(BA177&gt;0,BA177,1E+99)),IF(m=1E+99,"",m))</x:f>
        <x:v>97.51</x:v>
      </x:c>
      <x:c r="BE177" s="16" t="e">
        <x:f>IF(BD177="","",INDEX({"v1.4.20","v1.4.20","v1.4.21","v1.4.21","v1.4.23","v1.4.23","v1.4.26","v1.4.26","v1.4.26.1","v1.4.26.1","v1.4.27","v1.4.27","v1.4.29","v1.4.29","v1.4.30","v1.4.30","v1.4.31","v1.4.31","v1.4.33","v1.4.33","v1.4.35","v1.4.35.2","v1.5","v1.5.1","v1.5.1"},MATCH(BD177,CHOOSE({1,2,3,4,5,6,7,8,9,10,11,12,13,14,15,16,17,18,19,20,21,22,23,24,25},E177,G177,I177,K177,M177,O177,Q177,S177,U177,W177,Y177,AA177,AC177,AE177,AG177,AI177,AK177,AM177,AO177,AQ177,AS177,AU177,AW177,AY177,BA177),0)))</x:f>
      </x:c>
      <x:c r="BF177" s="10" t="n">
        <x:f>IFERROR((AX177-BB177)/BB177,"")</x:f>
        <x:v>1.5</x:v>
      </x:c>
      <x:c r="BG177" s="10" t="n">
        <x:f>IFERROR((AY177-BD177)/BD177,"")</x:f>
        <x:v>0.6494000615321505</x:v>
      </x:c>
    </x:row>
    <x:row r="178">
      <x:c r="A178" t="str">
        <x:v>Master List</x:v>
      </x:c>
      <x:c r="B178" t="str">
        <x:v>Create / Refresh All Templates</x:v>
      </x:c>
      <x:c r="C178" t="str">
        <x:v>No existing filter to remove: Template - Master List</x:v>
      </x:c>
      <x:c r="D178" s="8" t="n">
        <x:v>0.394</x:v>
      </x:c>
      <x:c r="E178" s="8" t="n">
        <x:v>117.387</x:v>
      </x:c>
      <x:c r="F178" s="8" t="n">
        <x:v>0.394</x:v>
      </x:c>
      <x:c r="G178" s="8" t="n">
        <x:v>117.387</x:v>
      </x:c>
      <x:c r="H178" s="8" t="n">
        <x:v>0.179</x:v>
      </x:c>
      <x:c r="I178" s="8" t="n">
        <x:v>150.497</x:v>
      </x:c>
      <x:c r="J178" s="8" t="n">
        <x:v>0.179</x:v>
      </x:c>
      <x:c r="K178" s="8" t="n">
        <x:v>150.497</x:v>
      </x:c>
      <x:c r="L178" s="8" t="n">
        <x:v>0.197</x:v>
      </x:c>
      <x:c r="M178" s="8" t="n">
        <x:v>145.101</x:v>
      </x:c>
      <x:c r="N178" s="8" t="n">
        <x:v>0.197</x:v>
      </x:c>
      <x:c r="O178" s="8" t="n">
        <x:v>145.101</x:v>
      </x:c>
      <x:c r="P178" s="8" t="n">
        <x:v>0.182</x:v>
      </x:c>
      <x:c r="Q178" s="8" t="n">
        <x:v>97.692</x:v>
      </x:c>
      <x:c r="R178" s="8" t="n">
        <x:v>0.182</x:v>
      </x:c>
      <x:c r="S178" s="8" t="n">
        <x:v>97.692</x:v>
      </x:c>
      <x:c r="T178" s="8" t="n">
        <x:v>1.322</x:v>
      </x:c>
      <x:c r="U178" s="8" t="n">
        <x:v>119.008</x:v>
      </x:c>
      <x:c r="V178" s="8" t="n">
        <x:v>1.322</x:v>
      </x:c>
      <x:c r="W178" s="8" t="n">
        <x:v>119.008</x:v>
      </x:c>
      <x:c r="X178" s="8" t="n">
        <x:v>0.321</x:v>
      </x:c>
      <x:c r="Y178" s="8" t="n">
        <x:v>179.756</x:v>
      </x:c>
      <x:c r="Z178" s="8" t="n">
        <x:v>0.321</x:v>
      </x:c>
      <x:c r="AA178" s="8" t="n">
        <x:v>179.756</x:v>
      </x:c>
      <x:c r="AB178" s="8" t="n">
        <x:v>0.188</x:v>
      </x:c>
      <x:c r="AC178" s="8" t="n">
        <x:v>164.47</x:v>
      </x:c>
      <x:c r="AD178" s="8" t="n">
        <x:v>0.188</x:v>
      </x:c>
      <x:c r="AE178" s="8" t="n">
        <x:v>164.47</x:v>
      </x:c>
      <x:c r="AF178" s="8" t="n">
        <x:v>0.121</x:v>
      </x:c>
      <x:c r="AG178" s="8" t="n">
        <x:v>169.122</x:v>
      </x:c>
      <x:c r="AH178" s="8"/>
      <x:c r="AI178" s="8"/>
      <x:c r="AJ178" s="8" t="n">
        <x:v>0.163</x:v>
      </x:c>
      <x:c r="AK178" s="8" t="n">
        <x:v>121.053</x:v>
      </x:c>
      <x:c r="AL178" s="8" t="n">
        <x:v>0.163</x:v>
      </x:c>
      <x:c r="AM178" s="8" t="n">
        <x:v>121.053</x:v>
      </x:c>
      <x:c r="AN178" s="8" t="n">
        <x:v>0.251</x:v>
      </x:c>
      <x:c r="AO178" s="8" t="n">
        <x:v>118.665</x:v>
      </x:c>
      <x:c r="AP178" s="8" t="n">
        <x:v>0.251</x:v>
      </x:c>
      <x:c r="AQ178" s="8" t="n">
        <x:v>118.665</x:v>
      </x:c>
      <x:c r="AR178" s="8" t="n">
        <x:v>0.224</x:v>
      </x:c>
      <x:c r="AS178" s="8" t="n">
        <x:v>178.616</x:v>
      </x:c>
      <x:c r="AT178" s="8" t="n">
        <x:v>0.17</x:v>
      </x:c>
      <x:c r="AU178" s="8" t="n">
        <x:v>130.107</x:v>
      </x:c>
      <x:c r="AV178" s="8" t="n">
        <x:v>0.202</x:v>
      </x:c>
      <x:c r="AW178" s="8" t="n">
        <x:v>155.433</x:v>
      </x:c>
      <x:c r="AX178" s="8" t="n">
        <x:v>0.252</x:v>
      </x:c>
      <x:c r="AY178" s="8" t="n">
        <x:v>161.085</x:v>
      </x:c>
      <x:c r="AZ178" s="8" t="n">
        <x:v>0.252</x:v>
      </x:c>
      <x:c r="BA178" s="8" t="n">
        <x:v>161.085</x:v>
      </x:c>
      <x:c r="BB178" s="8" t="n">
        <x:f>LET(m,MIN(IF(D178&gt;0,D178,1E+99),IF(F178&gt;0,F178,1E+99),IF(H178&gt;0,H178,1E+99),IF(J178&gt;0,J178,1E+99),IF(L178&gt;0,L178,1E+99),IF(N178&gt;0,N178,1E+99),IF(P178&gt;0,P178,1E+99),IF(R178&gt;0,R178,1E+99),IF(T178&gt;0,T178,1E+99),IF(V178&gt;0,V178,1E+99),IF(X178&gt;0,X178,1E+99),IF(Z178&gt;0,Z178,1E+99),IF(AB178&gt;0,AB178,1E+99),IF(AD178&gt;0,AD178,1E+99),IF(AF178&gt;0,AF178,1E+99),IF(AH178&gt;0,AH178,1E+99),IF(AJ178&gt;0,AJ178,1E+99),IF(AL178&gt;0,AL178,1E+99),IF(AN178&gt;0,AN178,1E+99),IF(AP178&gt;0,AP178,1E+99),IF(AR178&gt;0,AR178,1E+99),IF(AT178&gt;0,AT178,1E+99),IF(AV178&gt;0,AV178,1E+99),IF(AX178&gt;0,AX178,1E+99),IF(AZ178&gt;0,AZ178,1E+99)),IF(m=1E+99,"",m))</x:f>
        <x:v>0.121</x:v>
      </x:c>
      <x:c r="BC178" s="12" t="e">
        <x:f>IF(BB178="","",INDEX({"v1.4.20","v1.4.20","v1.4.21","v1.4.21","v1.4.23","v1.4.23","v1.4.26","v1.4.26","v1.4.26.1","v1.4.26.1","v1.4.27","v1.4.27","v1.4.29","v1.4.29","v1.4.30","v1.4.30","v1.4.31","v1.4.31","v1.4.33","v1.4.33","v1.4.35","v1.4.35.2","v1.5","v1.5.1","v1.5.1"},MATCH(BB178,CHOOSE({1,2,3,4,5,6,7,8,9,10,11,12,13,14,15,16,17,18,19,20,21,22,23,24,25},D178,F178,H178,J178,L178,N178,P178,R178,T178,V178,X178,Z178,AB178,AD178,AF178,AH178,AJ178,AL178,AN178,AP178,AR178,AT178,AV178,AX178,AZ178),0)))</x:f>
      </x:c>
      <x:c r="BD178" s="14" t="n">
        <x:f>LET(m,MIN(IF(E178&gt;0,E178,1E+99),IF(G178&gt;0,G178,1E+99),IF(I178&gt;0,I178,1E+99),IF(K178&gt;0,K178,1E+99),IF(M178&gt;0,M178,1E+99),IF(O178&gt;0,O178,1E+99),IF(Q178&gt;0,Q178,1E+99),IF(S178&gt;0,S178,1E+99),IF(U178&gt;0,U178,1E+99),IF(W178&gt;0,W178,1E+99),IF(Y178&gt;0,Y178,1E+99),IF(AA178&gt;0,AA178,1E+99),IF(AC178&gt;0,AC178,1E+99),IF(AE178&gt;0,AE178,1E+99),IF(AG178&gt;0,AG178,1E+99),IF(AI178&gt;0,AI178,1E+99),IF(AK178&gt;0,AK178,1E+99),IF(AM178&gt;0,AM178,1E+99),IF(AO178&gt;0,AO178,1E+99),IF(AQ178&gt;0,AQ178,1E+99),IF(AS178&gt;0,AS178,1E+99),IF(AU178&gt;0,AU178,1E+99),IF(AW178&gt;0,AW178,1E+99),IF(AY178&gt;0,AY178,1E+99),IF(BA178&gt;0,BA178,1E+99)),IF(m=1E+99,"",m))</x:f>
        <x:v>97.692</x:v>
      </x:c>
      <x:c r="BE178" s="16" t="e">
        <x:f>IF(BD178="","",INDEX({"v1.4.20","v1.4.20","v1.4.21","v1.4.21","v1.4.23","v1.4.23","v1.4.26","v1.4.26","v1.4.26.1","v1.4.26.1","v1.4.27","v1.4.27","v1.4.29","v1.4.29","v1.4.30","v1.4.30","v1.4.31","v1.4.31","v1.4.33","v1.4.33","v1.4.35","v1.4.35.2","v1.5","v1.5.1","v1.5.1"},MATCH(BD178,CHOOSE({1,2,3,4,5,6,7,8,9,10,11,12,13,14,15,16,17,18,19,20,21,22,23,24,25},E178,G178,I178,K178,M178,O178,Q178,S178,U178,W178,Y178,AA178,AC178,AE178,AG178,AI178,AK178,AM178,AO178,AQ178,AS178,AU178,AW178,AY178,BA178),0)))</x:f>
      </x:c>
      <x:c r="BF178" s="10" t="n">
        <x:f>IFERROR((AX178-BB178)/BB178,"")</x:f>
        <x:v>1.0826446280991737</x:v>
      </x:c>
      <x:c r="BG178" s="10" t="n">
        <x:f>IFERROR((AY178-BD178)/BD178,"")</x:f>
        <x:v>0.6489067682102938</x:v>
      </x:c>
    </x:row>
    <x:row r="179">
      <x:c r="A179" t="str">
        <x:v>Master List</x:v>
      </x:c>
      <x:c r="B179" t="str">
        <x:v>Create / Refresh All Templates</x:v>
      </x:c>
      <x:c r="C179" t="str">
        <x:v>Create filter: Template - Master List</x:v>
      </x:c>
      <x:c r="D179" s="8" t="n">
        <x:v>2.852</x:v>
      </x:c>
      <x:c r="E179" s="8" t="n">
        <x:v>120.239</x:v>
      </x:c>
      <x:c r="F179" s="8" t="n">
        <x:v>2.852</x:v>
      </x:c>
      <x:c r="G179" s="8" t="n">
        <x:v>120.239</x:v>
      </x:c>
      <x:c r="H179" s="8" t="n">
        <x:v>2.166</x:v>
      </x:c>
      <x:c r="I179" s="8" t="n">
        <x:v>152.663</x:v>
      </x:c>
      <x:c r="J179" s="8" t="n">
        <x:v>2.166</x:v>
      </x:c>
      <x:c r="K179" s="8" t="n">
        <x:v>152.663</x:v>
      </x:c>
      <x:c r="L179" s="8" t="n">
        <x:v>3.106</x:v>
      </x:c>
      <x:c r="M179" s="8" t="n">
        <x:v>148.207</x:v>
      </x:c>
      <x:c r="N179" s="8" t="n">
        <x:v>3.106</x:v>
      </x:c>
      <x:c r="O179" s="8" t="n">
        <x:v>148.207</x:v>
      </x:c>
      <x:c r="P179" s="8" t="n">
        <x:v>1.585</x:v>
      </x:c>
      <x:c r="Q179" s="8" t="n">
        <x:v>99.277</x:v>
      </x:c>
      <x:c r="R179" s="8" t="n">
        <x:v>1.585</x:v>
      </x:c>
      <x:c r="S179" s="8" t="n">
        <x:v>99.277</x:v>
      </x:c>
      <x:c r="T179" s="8" t="n">
        <x:v>1.536</x:v>
      </x:c>
      <x:c r="U179" s="8" t="n">
        <x:v>120.544</x:v>
      </x:c>
      <x:c r="V179" s="8" t="n">
        <x:v>1.536</x:v>
      </x:c>
      <x:c r="W179" s="8" t="n">
        <x:v>120.544</x:v>
      </x:c>
      <x:c r="X179" s="8" t="n">
        <x:v>3.027</x:v>
      </x:c>
      <x:c r="Y179" s="8" t="n">
        <x:v>182.783</x:v>
      </x:c>
      <x:c r="Z179" s="8" t="n">
        <x:v>3.027</x:v>
      </x:c>
      <x:c r="AA179" s="8" t="n">
        <x:v>182.783</x:v>
      </x:c>
      <x:c r="AB179" s="8" t="n">
        <x:v>2.629</x:v>
      </x:c>
      <x:c r="AC179" s="8" t="n">
        <x:v>167.099</x:v>
      </x:c>
      <x:c r="AD179" s="8" t="n">
        <x:v>2.629</x:v>
      </x:c>
      <x:c r="AE179" s="8" t="n">
        <x:v>167.099</x:v>
      </x:c>
      <x:c r="AF179" s="8" t="n">
        <x:v>2.695</x:v>
      </x:c>
      <x:c r="AG179" s="8" t="n">
        <x:v>171.817</x:v>
      </x:c>
      <x:c r="AH179" s="8"/>
      <x:c r="AI179" s="8"/>
      <x:c r="AJ179" s="8" t="n">
        <x:v>2.75</x:v>
      </x:c>
      <x:c r="AK179" s="8" t="n">
        <x:v>123.803</x:v>
      </x:c>
      <x:c r="AL179" s="8" t="n">
        <x:v>2.75</x:v>
      </x:c>
      <x:c r="AM179" s="8" t="n">
        <x:v>123.803</x:v>
      </x:c>
      <x:c r="AN179" s="8" t="n">
        <x:v>2.001</x:v>
      </x:c>
      <x:c r="AO179" s="8" t="n">
        <x:v>120.666</x:v>
      </x:c>
      <x:c r="AP179" s="8" t="n">
        <x:v>2.001</x:v>
      </x:c>
      <x:c r="AQ179" s="8" t="n">
        <x:v>120.666</x:v>
      </x:c>
      <x:c r="AR179" s="8" t="n">
        <x:v>2.683</x:v>
      </x:c>
      <x:c r="AS179" s="8" t="n">
        <x:v>181.299</x:v>
      </x:c>
      <x:c r="AT179" s="8" t="n">
        <x:v>1.695</x:v>
      </x:c>
      <x:c r="AU179" s="8" t="n">
        <x:v>131.802</x:v>
      </x:c>
      <x:c r="AV179" s="8" t="n">
        <x:v>3.265</x:v>
      </x:c>
      <x:c r="AW179" s="8" t="n">
        <x:v>158.698</x:v>
      </x:c>
      <x:c r="AX179" s="8" t="n">
        <x:v>2.914</x:v>
      </x:c>
      <x:c r="AY179" s="8" t="n">
        <x:v>163.999</x:v>
      </x:c>
      <x:c r="AZ179" s="8" t="n">
        <x:v>2.914</x:v>
      </x:c>
      <x:c r="BA179" s="8" t="n">
        <x:v>163.999</x:v>
      </x:c>
      <x:c r="BB179" s="8" t="n">
        <x:f>LET(m,MIN(IF(D179&gt;0,D179,1E+99),IF(F179&gt;0,F179,1E+99),IF(H179&gt;0,H179,1E+99),IF(J179&gt;0,J179,1E+99),IF(L179&gt;0,L179,1E+99),IF(N179&gt;0,N179,1E+99),IF(P179&gt;0,P179,1E+99),IF(R179&gt;0,R179,1E+99),IF(T179&gt;0,T179,1E+99),IF(V179&gt;0,V179,1E+99),IF(X179&gt;0,X179,1E+99),IF(Z179&gt;0,Z179,1E+99),IF(AB179&gt;0,AB179,1E+99),IF(AD179&gt;0,AD179,1E+99),IF(AF179&gt;0,AF179,1E+99),IF(AH179&gt;0,AH179,1E+99),IF(AJ179&gt;0,AJ179,1E+99),IF(AL179&gt;0,AL179,1E+99),IF(AN179&gt;0,AN179,1E+99),IF(AP179&gt;0,AP179,1E+99),IF(AR179&gt;0,AR179,1E+99),IF(AT179&gt;0,AT179,1E+99),IF(AV179&gt;0,AV179,1E+99),IF(AX179&gt;0,AX179,1E+99),IF(AZ179&gt;0,AZ179,1E+99)),IF(m=1E+99,"",m))</x:f>
        <x:v>1.536</x:v>
      </x:c>
      <x:c r="BC179" s="12" t="e">
        <x:f>IF(BB179="","",INDEX({"v1.4.20","v1.4.20","v1.4.21","v1.4.21","v1.4.23","v1.4.23","v1.4.26","v1.4.26","v1.4.26.1","v1.4.26.1","v1.4.27","v1.4.27","v1.4.29","v1.4.29","v1.4.30","v1.4.30","v1.4.31","v1.4.31","v1.4.33","v1.4.33","v1.4.35","v1.4.35.2","v1.5","v1.5.1","v1.5.1"},MATCH(BB179,CHOOSE({1,2,3,4,5,6,7,8,9,10,11,12,13,14,15,16,17,18,19,20,21,22,23,24,25},D179,F179,H179,J179,L179,N179,P179,R179,T179,V179,X179,Z179,AB179,AD179,AF179,AH179,AJ179,AL179,AN179,AP179,AR179,AT179,AV179,AX179,AZ179),0)))</x:f>
      </x:c>
      <x:c r="BD179" s="14" t="n">
        <x:f>LET(m,MIN(IF(E179&gt;0,E179,1E+99),IF(G179&gt;0,G179,1E+99),IF(I179&gt;0,I179,1E+99),IF(K179&gt;0,K179,1E+99),IF(M179&gt;0,M179,1E+99),IF(O179&gt;0,O179,1E+99),IF(Q179&gt;0,Q179,1E+99),IF(S179&gt;0,S179,1E+99),IF(U179&gt;0,U179,1E+99),IF(W179&gt;0,W179,1E+99),IF(Y179&gt;0,Y179,1E+99),IF(AA179&gt;0,AA179,1E+99),IF(AC179&gt;0,AC179,1E+99),IF(AE179&gt;0,AE179,1E+99),IF(AG179&gt;0,AG179,1E+99),IF(AI179&gt;0,AI179,1E+99),IF(AK179&gt;0,AK179,1E+99),IF(AM179&gt;0,AM179,1E+99),IF(AO179&gt;0,AO179,1E+99),IF(AQ179&gt;0,AQ179,1E+99),IF(AS179&gt;0,AS179,1E+99),IF(AU179&gt;0,AU179,1E+99),IF(AW179&gt;0,AW179,1E+99),IF(AY179&gt;0,AY179,1E+99),IF(BA179&gt;0,BA179,1E+99)),IF(m=1E+99,"",m))</x:f>
        <x:v>99.277</x:v>
      </x:c>
      <x:c r="BE179" s="16" t="e">
        <x:f>IF(BD179="","",INDEX({"v1.4.20","v1.4.20","v1.4.21","v1.4.21","v1.4.23","v1.4.23","v1.4.26","v1.4.26","v1.4.26.1","v1.4.26.1","v1.4.27","v1.4.27","v1.4.29","v1.4.29","v1.4.30","v1.4.30","v1.4.31","v1.4.31","v1.4.33","v1.4.33","v1.4.35","v1.4.35.2","v1.5","v1.5.1","v1.5.1"},MATCH(BD179,CHOOSE({1,2,3,4,5,6,7,8,9,10,11,12,13,14,15,16,17,18,19,20,21,22,23,24,25},E179,G179,I179,K179,M179,O179,Q179,S179,U179,W179,Y179,AA179,AC179,AE179,AG179,AI179,AK179,AM179,AO179,AQ179,AS179,AU179,AW179,AY179,BA179),0)))</x:f>
      </x:c>
      <x:c r="BF179" s="10" t="n">
        <x:f>IFERROR((AX179-BB179)/BB179,"")</x:f>
        <x:v>0.8971354166666667</x:v>
      </x:c>
      <x:c r="BG179" s="10" t="n">
        <x:f>IFERROR((AY179-BD179)/BD179,"")</x:f>
        <x:v>0.6519334790535571</x:v>
      </x:c>
    </x:row>
    <x:row r="180">
      <x:c r="A180" t="str">
        <x:v>Master List</x:v>
      </x:c>
      <x:c r="B180" t="str">
        <x:v>Create / Refresh All Templates</x:v>
      </x:c>
      <x:c r="C180" t="str">
        <x:v>Apply row heights skipped for template: Template - Master List</x:v>
      </x:c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  <x:c r="AA180" s="8"/>
      <x:c r="AB180" s="8"/>
      <x:c r="AC180" s="8"/>
      <x:c r="AD180" s="8"/>
      <x:c r="AE180" s="8"/>
      <x:c r="AF180" s="8"/>
      <x:c r="AG180" s="8"/>
      <x:c r="AH180" s="8"/>
      <x:c r="AI180" s="8"/>
      <x:c r="AJ180" s="8"/>
      <x:c r="AK180" s="8"/>
      <x:c r="AL180" s="8"/>
      <x:c r="AM180" s="8"/>
      <x:c r="AN180" s="8"/>
      <x:c r="AO180" s="8"/>
      <x:c r="AP180" s="8"/>
      <x:c r="AQ180" s="8"/>
      <x:c r="AR180" s="8"/>
      <x:c r="AS180" s="8"/>
      <x:c r="AT180" s="8"/>
      <x:c r="AU180" s="8"/>
      <x:c r="AV180" s="8" t="n">
        <x:v>0</x:v>
      </x:c>
      <x:c r="AW180" s="8" t="n">
        <x:v>158.698</x:v>
      </x:c>
      <x:c r="AX180" s="8" t="n">
        <x:v>0</x:v>
      </x:c>
      <x:c r="AY180" s="8" t="n">
        <x:v>163.999</x:v>
      </x:c>
      <x:c r="AZ180" s="8" t="n">
        <x:v>0</x:v>
      </x:c>
      <x:c r="BA180" s="8" t="n">
        <x:v>163.999</x:v>
      </x:c>
      <x:c r="BB180" s="8" t="str">
        <x:f>LET(m,MIN(IF(D180&gt;0,D180,1E+99),IF(F180&gt;0,F180,1E+99),IF(H180&gt;0,H180,1E+99),IF(J180&gt;0,J180,1E+99),IF(L180&gt;0,L180,1E+99),IF(N180&gt;0,N180,1E+99),IF(P180&gt;0,P180,1E+99),IF(R180&gt;0,R180,1E+99),IF(T180&gt;0,T180,1E+99),IF(V180&gt;0,V180,1E+99),IF(X180&gt;0,X180,1E+99),IF(Z180&gt;0,Z180,1E+99),IF(AB180&gt;0,AB180,1E+99),IF(AD180&gt;0,AD180,1E+99),IF(AF180&gt;0,AF180,1E+99),IF(AH180&gt;0,AH180,1E+99),IF(AJ180&gt;0,AJ180,1E+99),IF(AL180&gt;0,AL180,1E+99),IF(AN180&gt;0,AN180,1E+99),IF(AP180&gt;0,AP180,1E+99),IF(AR180&gt;0,AR180,1E+99),IF(AT180&gt;0,AT180,1E+99),IF(AV180&gt;0,AV180,1E+99),IF(AX180&gt;0,AX180,1E+99),IF(AZ180&gt;0,AZ180,1E+99)),IF(m=1E+99,"",m))</x:f>
      </x:c>
      <x:c r="BC180" s="12" t="str">
        <x:f>IF(BB180="","",INDEX({"v1.4.20","v1.4.20","v1.4.21","v1.4.21","v1.4.23","v1.4.23","v1.4.26","v1.4.26","v1.4.26.1","v1.4.26.1","v1.4.27","v1.4.27","v1.4.29","v1.4.29","v1.4.30","v1.4.30","v1.4.31","v1.4.31","v1.4.33","v1.4.33","v1.4.35","v1.4.35.2","v1.5","v1.5.1","v1.5.1"},MATCH(BB180,CHOOSE({1,2,3,4,5,6,7,8,9,10,11,12,13,14,15,16,17,18,19,20,21,22,23,24,25},D180,F180,H180,J180,L180,N180,P180,R180,T180,V180,X180,Z180,AB180,AD180,AF180,AH180,AJ180,AL180,AN180,AP180,AR180,AT180,AV180,AX180,AZ180),0)))</x:f>
      </x:c>
      <x:c r="BD180" s="14" t="n">
        <x:f>LET(m,MIN(IF(E180&gt;0,E180,1E+99),IF(G180&gt;0,G180,1E+99),IF(I180&gt;0,I180,1E+99),IF(K180&gt;0,K180,1E+99),IF(M180&gt;0,M180,1E+99),IF(O180&gt;0,O180,1E+99),IF(Q180&gt;0,Q180,1E+99),IF(S180&gt;0,S180,1E+99),IF(U180&gt;0,U180,1E+99),IF(W180&gt;0,W180,1E+99),IF(Y180&gt;0,Y180,1E+99),IF(AA180&gt;0,AA180,1E+99),IF(AC180&gt;0,AC180,1E+99),IF(AE180&gt;0,AE180,1E+99),IF(AG180&gt;0,AG180,1E+99),IF(AI180&gt;0,AI180,1E+99),IF(AK180&gt;0,AK180,1E+99),IF(AM180&gt;0,AM180,1E+99),IF(AO180&gt;0,AO180,1E+99),IF(AQ180&gt;0,AQ180,1E+99),IF(AS180&gt;0,AS180,1E+99),IF(AU180&gt;0,AU180,1E+99),IF(AW180&gt;0,AW180,1E+99),IF(AY180&gt;0,AY180,1E+99),IF(BA180&gt;0,BA180,1E+99)),IF(m=1E+99,"",m))</x:f>
        <x:v>158.698</x:v>
      </x:c>
      <x:c r="BE180" s="16" t="e">
        <x:f>IF(BD180="","",INDEX({"v1.4.20","v1.4.20","v1.4.21","v1.4.21","v1.4.23","v1.4.23","v1.4.26","v1.4.26","v1.4.26.1","v1.4.26.1","v1.4.27","v1.4.27","v1.4.29","v1.4.29","v1.4.30","v1.4.30","v1.4.31","v1.4.31","v1.4.33","v1.4.33","v1.4.35","v1.4.35.2","v1.5","v1.5.1","v1.5.1"},MATCH(BD180,CHOOSE({1,2,3,4,5,6,7,8,9,10,11,12,13,14,15,16,17,18,19,20,21,22,23,24,25},E180,G180,I180,K180,M180,O180,Q180,S180,U180,W180,Y180,AA180,AC180,AE180,AG180,AI180,AK180,AM180,AO180,AQ180,AS180,AU180,AW180,AY180,BA180),0)))</x:f>
      </x:c>
      <x:c r="BF180" s="10" t="str">
        <x:f>IFERROR((AX180-BB180)/BB180,"")</x:f>
      </x:c>
      <x:c r="BG180" s="10" t="n">
        <x:f>IFERROR((AY180-BD180)/BD180,"")</x:f>
        <x:v>0.033403067461467616</x:v>
      </x:c>
    </x:row>
    <x:row r="181">
      <x:c r="A181" t="str">
        <x:v>Master List</x:v>
      </x:c>
      <x:c r="B181" t="str">
        <x:v>Create / Refresh All Templates</x:v>
      </x:c>
      <x:c r="C181" t="str">
        <x:v>Apply full template formatting: Template - Master List</x:v>
      </x:c>
      <x:c r="D181" s="8" t="n">
        <x:v>0</x:v>
      </x:c>
      <x:c r="E181" s="8" t="n">
        <x:v>120.245</x:v>
      </x:c>
      <x:c r="F181" s="8" t="n">
        <x:v>0</x:v>
      </x:c>
      <x:c r="G181" s="8" t="n">
        <x:v>120.245</x:v>
      </x:c>
      <x:c r="H181" s="8" t="n">
        <x:v>0</x:v>
      </x:c>
      <x:c r="I181" s="8" t="n">
        <x:v>152.67</x:v>
      </x:c>
      <x:c r="J181" s="8" t="n">
        <x:v>0</x:v>
      </x:c>
      <x:c r="K181" s="8" t="n">
        <x:v>152.67</x:v>
      </x:c>
      <x:c r="L181" s="8" t="n">
        <x:v>0</x:v>
      </x:c>
      <x:c r="M181" s="8" t="n">
        <x:v>148.218</x:v>
      </x:c>
      <x:c r="N181" s="8" t="n">
        <x:v>0</x:v>
      </x:c>
      <x:c r="O181" s="8" t="n">
        <x:v>148.218</x:v>
      </x:c>
      <x:c r="P181" s="8" t="n">
        <x:v>0</x:v>
      </x:c>
      <x:c r="Q181" s="8" t="n">
        <x:v>99.283</x:v>
      </x:c>
      <x:c r="R181" s="8" t="n">
        <x:v>0</x:v>
      </x:c>
      <x:c r="S181" s="8" t="n">
        <x:v>99.283</x:v>
      </x:c>
      <x:c r="T181" s="8" t="n">
        <x:v>0</x:v>
      </x:c>
      <x:c r="U181" s="8" t="n">
        <x:v>121.248</x:v>
      </x:c>
      <x:c r="V181" s="8" t="n">
        <x:v>0</x:v>
      </x:c>
      <x:c r="W181" s="8" t="n">
        <x:v>121.248</x:v>
      </x:c>
      <x:c r="X181" s="8" t="n">
        <x:v>0</x:v>
      </x:c>
      <x:c r="Y181" s="8" t="n">
        <x:v>182.79</x:v>
      </x:c>
      <x:c r="Z181" s="8" t="n">
        <x:v>0</x:v>
      </x:c>
      <x:c r="AA181" s="8" t="n">
        <x:v>182.79</x:v>
      </x:c>
      <x:c r="AB181" s="8" t="n">
        <x:v>0</x:v>
      </x:c>
      <x:c r="AC181" s="8" t="n">
        <x:v>168.116</x:v>
      </x:c>
      <x:c r="AD181" s="8" t="n">
        <x:v>0</x:v>
      </x:c>
      <x:c r="AE181" s="8" t="n">
        <x:v>168.116</x:v>
      </x:c>
      <x:c r="AF181" s="8" t="n">
        <x:v>0</x:v>
      </x:c>
      <x:c r="AG181" s="8" t="n">
        <x:v>173.02</x:v>
      </x:c>
      <x:c r="AH181" s="8"/>
      <x:c r="AI181" s="8"/>
      <x:c r="AJ181" s="8" t="n">
        <x:v>0</x:v>
      </x:c>
      <x:c r="AK181" s="8" t="n">
        <x:v>125.045</x:v>
      </x:c>
      <x:c r="AL181" s="8" t="n">
        <x:v>0</x:v>
      </x:c>
      <x:c r="AM181" s="8" t="n">
        <x:v>125.045</x:v>
      </x:c>
      <x:c r="AN181" s="8" t="n">
        <x:v>0</x:v>
      </x:c>
      <x:c r="AO181" s="8" t="n">
        <x:v>121.37</x:v>
      </x:c>
      <x:c r="AP181" s="8" t="n">
        <x:v>0</x:v>
      </x:c>
      <x:c r="AQ181" s="8" t="n">
        <x:v>121.37</x:v>
      </x:c>
      <x:c r="AR181" s="8" t="n">
        <x:v>0</x:v>
      </x:c>
      <x:c r="AS181" s="8" t="n">
        <x:v>181.314</x:v>
      </x:c>
      <x:c r="AT181" s="8" t="n">
        <x:v>0</x:v>
      </x:c>
      <x:c r="AU181" s="8" t="n">
        <x:v>131.815</x:v>
      </x:c>
      <x:c r="AV181" s="8" t="n">
        <x:v>0</x:v>
      </x:c>
      <x:c r="AW181" s="8" t="n">
        <x:v>158.698</x:v>
      </x:c>
      <x:c r="AX181" s="8" t="n">
        <x:v>0</x:v>
      </x:c>
      <x:c r="AY181" s="8" t="n">
        <x:v>163.999</x:v>
      </x:c>
      <x:c r="AZ181" s="8" t="n">
        <x:v>0</x:v>
      </x:c>
      <x:c r="BA181" s="8" t="n">
        <x:v>163.999</x:v>
      </x:c>
      <x:c r="BB181" s="8" t="str">
        <x:f>LET(m,MIN(IF(D181&gt;0,D181,1E+99),IF(F181&gt;0,F181,1E+99),IF(H181&gt;0,H181,1E+99),IF(J181&gt;0,J181,1E+99),IF(L181&gt;0,L181,1E+99),IF(N181&gt;0,N181,1E+99),IF(P181&gt;0,P181,1E+99),IF(R181&gt;0,R181,1E+99),IF(T181&gt;0,T181,1E+99),IF(V181&gt;0,V181,1E+99),IF(X181&gt;0,X181,1E+99),IF(Z181&gt;0,Z181,1E+99),IF(AB181&gt;0,AB181,1E+99),IF(AD181&gt;0,AD181,1E+99),IF(AF181&gt;0,AF181,1E+99),IF(AH181&gt;0,AH181,1E+99),IF(AJ181&gt;0,AJ181,1E+99),IF(AL181&gt;0,AL181,1E+99),IF(AN181&gt;0,AN181,1E+99),IF(AP181&gt;0,AP181,1E+99),IF(AR181&gt;0,AR181,1E+99),IF(AT181&gt;0,AT181,1E+99),IF(AV181&gt;0,AV181,1E+99),IF(AX181&gt;0,AX181,1E+99),IF(AZ181&gt;0,AZ181,1E+99)),IF(m=1E+99,"",m))</x:f>
      </x:c>
      <x:c r="BC181" s="12" t="str">
        <x:f>IF(BB181="","",INDEX({"v1.4.20","v1.4.20","v1.4.21","v1.4.21","v1.4.23","v1.4.23","v1.4.26","v1.4.26","v1.4.26.1","v1.4.26.1","v1.4.27","v1.4.27","v1.4.29","v1.4.29","v1.4.30","v1.4.30","v1.4.31","v1.4.31","v1.4.33","v1.4.33","v1.4.35","v1.4.35.2","v1.5","v1.5.1","v1.5.1"},MATCH(BB181,CHOOSE({1,2,3,4,5,6,7,8,9,10,11,12,13,14,15,16,17,18,19,20,21,22,23,24,25},D181,F181,H181,J181,L181,N181,P181,R181,T181,V181,X181,Z181,AB181,AD181,AF181,AH181,AJ181,AL181,AN181,AP181,AR181,AT181,AV181,AX181,AZ181),0)))</x:f>
      </x:c>
      <x:c r="BD181" s="14" t="n">
        <x:f>LET(m,MIN(IF(E181&gt;0,E181,1E+99),IF(G181&gt;0,G181,1E+99),IF(I181&gt;0,I181,1E+99),IF(K181&gt;0,K181,1E+99),IF(M181&gt;0,M181,1E+99),IF(O181&gt;0,O181,1E+99),IF(Q181&gt;0,Q181,1E+99),IF(S181&gt;0,S181,1E+99),IF(U181&gt;0,U181,1E+99),IF(W181&gt;0,W181,1E+99),IF(Y181&gt;0,Y181,1E+99),IF(AA181&gt;0,AA181,1E+99),IF(AC181&gt;0,AC181,1E+99),IF(AE181&gt;0,AE181,1E+99),IF(AG181&gt;0,AG181,1E+99),IF(AI181&gt;0,AI181,1E+99),IF(AK181&gt;0,AK181,1E+99),IF(AM181&gt;0,AM181,1E+99),IF(AO181&gt;0,AO181,1E+99),IF(AQ181&gt;0,AQ181,1E+99),IF(AS181&gt;0,AS181,1E+99),IF(AU181&gt;0,AU181,1E+99),IF(AW181&gt;0,AW181,1E+99),IF(AY181&gt;0,AY181,1E+99),IF(BA181&gt;0,BA181,1E+99)),IF(m=1E+99,"",m))</x:f>
        <x:v>99.283</x:v>
      </x:c>
      <x:c r="BE181" s="16" t="e">
        <x:f>IF(BD181="","",INDEX({"v1.4.20","v1.4.20","v1.4.21","v1.4.21","v1.4.23","v1.4.23","v1.4.26","v1.4.26","v1.4.26.1","v1.4.26.1","v1.4.27","v1.4.27","v1.4.29","v1.4.29","v1.4.30","v1.4.30","v1.4.31","v1.4.31","v1.4.33","v1.4.33","v1.4.35","v1.4.35.2","v1.5","v1.5.1","v1.5.1"},MATCH(BD181,CHOOSE({1,2,3,4,5,6,7,8,9,10,11,12,13,14,15,16,17,18,19,20,21,22,23,24,25},E181,G181,I181,K181,M181,O181,Q181,S181,U181,W181,Y181,AA181,AC181,AE181,AG181,AI181,AK181,AM181,AO181,AQ181,AS181,AU181,AW181,AY181,BA181),0)))</x:f>
      </x:c>
      <x:c r="BF181" s="10" t="str">
        <x:f>IFERROR((AX181-BB181)/BB181,"")</x:f>
      </x:c>
      <x:c r="BG181" s="10" t="n">
        <x:f>IFERROR((AY181-BD181)/BD181,"")</x:f>
        <x:v>0.6518336472507881</x:v>
      </x:c>
    </x:row>
    <x:row r="182">
      <x:c r="A182" t="str">
        <x:v>Master List</x:v>
      </x:c>
      <x:c r="B182" t="str">
        <x:v>Create / Refresh All Templates</x:v>
      </x:c>
      <x:c r="C182" t="str">
        <x:v>Write metadata/signature: Template - Master List</x:v>
      </x:c>
      <x:c r="D182" s="8" t="n">
        <x:v>0.15</x:v>
      </x:c>
      <x:c r="E182" s="8" t="n">
        <x:v>120.395</x:v>
      </x:c>
      <x:c r="F182" s="8" t="n">
        <x:v>0.15</x:v>
      </x:c>
      <x:c r="G182" s="8" t="n">
        <x:v>120.395</x:v>
      </x:c>
      <x:c r="H182" s="8" t="n">
        <x:v>0.052</x:v>
      </x:c>
      <x:c r="I182" s="8" t="n">
        <x:v>152.722</x:v>
      </x:c>
      <x:c r="J182" s="8" t="n">
        <x:v>0.052</x:v>
      </x:c>
      <x:c r="K182" s="8" t="n">
        <x:v>152.722</x:v>
      </x:c>
      <x:c r="L182" s="8" t="n">
        <x:v>0.059</x:v>
      </x:c>
      <x:c r="M182" s="8" t="n">
        <x:v>148.277</x:v>
      </x:c>
      <x:c r="N182" s="8" t="n">
        <x:v>0.059</x:v>
      </x:c>
      <x:c r="O182" s="8" t="n">
        <x:v>148.277</x:v>
      </x:c>
      <x:c r="P182" s="8" t="n">
        <x:v>0.065</x:v>
      </x:c>
      <x:c r="Q182" s="8" t="n">
        <x:v>99.348</x:v>
      </x:c>
      <x:c r="R182" s="8" t="n">
        <x:v>0.065</x:v>
      </x:c>
      <x:c r="S182" s="8" t="n">
        <x:v>99.348</x:v>
      </x:c>
      <x:c r="T182" s="8" t="n">
        <x:v>0.252</x:v>
      </x:c>
      <x:c r="U182" s="8" t="n">
        <x:v>121.5</x:v>
      </x:c>
      <x:c r="V182" s="8" t="n">
        <x:v>0.252</x:v>
      </x:c>
      <x:c r="W182" s="8" t="n">
        <x:v>121.5</x:v>
      </x:c>
      <x:c r="X182" s="8" t="n">
        <x:v>0.072</x:v>
      </x:c>
      <x:c r="Y182" s="8" t="n">
        <x:v>182.862</x:v>
      </x:c>
      <x:c r="Z182" s="8" t="n">
        <x:v>0.072</x:v>
      </x:c>
      <x:c r="AA182" s="8" t="n">
        <x:v>182.862</x:v>
      </x:c>
      <x:c r="AB182" s="8" t="n">
        <x:v>0.06</x:v>
      </x:c>
      <x:c r="AC182" s="8" t="n">
        <x:v>168.176</x:v>
      </x:c>
      <x:c r="AD182" s="8" t="n">
        <x:v>0.06</x:v>
      </x:c>
      <x:c r="AE182" s="8" t="n">
        <x:v>168.176</x:v>
      </x:c>
      <x:c r="AF182" s="8" t="n">
        <x:v>0.12</x:v>
      </x:c>
      <x:c r="AG182" s="8" t="n">
        <x:v>173.14</x:v>
      </x:c>
      <x:c r="AH182" s="8"/>
      <x:c r="AI182" s="8"/>
      <x:c r="AJ182" s="8" t="n">
        <x:v>0.065</x:v>
      </x:c>
      <x:c r="AK182" s="8" t="n">
        <x:v>125.11</x:v>
      </x:c>
      <x:c r="AL182" s="8" t="n">
        <x:v>0.065</x:v>
      </x:c>
      <x:c r="AM182" s="8" t="n">
        <x:v>125.11</x:v>
      </x:c>
      <x:c r="AN182" s="8" t="n">
        <x:v>0.054</x:v>
      </x:c>
      <x:c r="AO182" s="8" t="n">
        <x:v>121.424</x:v>
      </x:c>
      <x:c r="AP182" s="8" t="n">
        <x:v>0.054</x:v>
      </x:c>
      <x:c r="AQ182" s="8" t="n">
        <x:v>121.424</x:v>
      </x:c>
      <x:c r="AR182" s="8" t="n">
        <x:v>0.141</x:v>
      </x:c>
      <x:c r="AS182" s="8" t="n">
        <x:v>181.455</x:v>
      </x:c>
      <x:c r="AT182" s="8" t="n">
        <x:v>0.068</x:v>
      </x:c>
      <x:c r="AU182" s="8" t="n">
        <x:v>131.883</x:v>
      </x:c>
      <x:c r="AV182" s="8" t="n">
        <x:v>0.144</x:v>
      </x:c>
      <x:c r="AW182" s="8" t="n">
        <x:v>158.842</x:v>
      </x:c>
      <x:c r="AX182" s="8" t="n">
        <x:v>0.181</x:v>
      </x:c>
      <x:c r="AY182" s="8" t="n">
        <x:v>164.18</x:v>
      </x:c>
      <x:c r="AZ182" s="8" t="n">
        <x:v>0.181</x:v>
      </x:c>
      <x:c r="BA182" s="8" t="n">
        <x:v>164.18</x:v>
      </x:c>
      <x:c r="BB182" s="8" t="n">
        <x:f>LET(m,MIN(IF(D182&gt;0,D182,1E+99),IF(F182&gt;0,F182,1E+99),IF(H182&gt;0,H182,1E+99),IF(J182&gt;0,J182,1E+99),IF(L182&gt;0,L182,1E+99),IF(N182&gt;0,N182,1E+99),IF(P182&gt;0,P182,1E+99),IF(R182&gt;0,R182,1E+99),IF(T182&gt;0,T182,1E+99),IF(V182&gt;0,V182,1E+99),IF(X182&gt;0,X182,1E+99),IF(Z182&gt;0,Z182,1E+99),IF(AB182&gt;0,AB182,1E+99),IF(AD182&gt;0,AD182,1E+99),IF(AF182&gt;0,AF182,1E+99),IF(AH182&gt;0,AH182,1E+99),IF(AJ182&gt;0,AJ182,1E+99),IF(AL182&gt;0,AL182,1E+99),IF(AN182&gt;0,AN182,1E+99),IF(AP182&gt;0,AP182,1E+99),IF(AR182&gt;0,AR182,1E+99),IF(AT182&gt;0,AT182,1E+99),IF(AV182&gt;0,AV182,1E+99),IF(AX182&gt;0,AX182,1E+99),IF(AZ182&gt;0,AZ182,1E+99)),IF(m=1E+99,"",m))</x:f>
        <x:v>0.052</x:v>
      </x:c>
      <x:c r="BC182" s="12" t="e">
        <x:f>IF(BB182="","",INDEX({"v1.4.20","v1.4.20","v1.4.21","v1.4.21","v1.4.23","v1.4.23","v1.4.26","v1.4.26","v1.4.26.1","v1.4.26.1","v1.4.27","v1.4.27","v1.4.29","v1.4.29","v1.4.30","v1.4.30","v1.4.31","v1.4.31","v1.4.33","v1.4.33","v1.4.35","v1.4.35.2","v1.5","v1.5.1","v1.5.1"},MATCH(BB182,CHOOSE({1,2,3,4,5,6,7,8,9,10,11,12,13,14,15,16,17,18,19,20,21,22,23,24,25},D182,F182,H182,J182,L182,N182,P182,R182,T182,V182,X182,Z182,AB182,AD182,AF182,AH182,AJ182,AL182,AN182,AP182,AR182,AT182,AV182,AX182,AZ182),0)))</x:f>
      </x:c>
      <x:c r="BD182" s="14" t="n">
        <x:f>LET(m,MIN(IF(E182&gt;0,E182,1E+99),IF(G182&gt;0,G182,1E+99),IF(I182&gt;0,I182,1E+99),IF(K182&gt;0,K182,1E+99),IF(M182&gt;0,M182,1E+99),IF(O182&gt;0,O182,1E+99),IF(Q182&gt;0,Q182,1E+99),IF(S182&gt;0,S182,1E+99),IF(U182&gt;0,U182,1E+99),IF(W182&gt;0,W182,1E+99),IF(Y182&gt;0,Y182,1E+99),IF(AA182&gt;0,AA182,1E+99),IF(AC182&gt;0,AC182,1E+99),IF(AE182&gt;0,AE182,1E+99),IF(AG182&gt;0,AG182,1E+99),IF(AI182&gt;0,AI182,1E+99),IF(AK182&gt;0,AK182,1E+99),IF(AM182&gt;0,AM182,1E+99),IF(AO182&gt;0,AO182,1E+99),IF(AQ182&gt;0,AQ182,1E+99),IF(AS182&gt;0,AS182,1E+99),IF(AU182&gt;0,AU182,1E+99),IF(AW182&gt;0,AW182,1E+99),IF(AY182&gt;0,AY182,1E+99),IF(BA182&gt;0,BA182,1E+99)),IF(m=1E+99,"",m))</x:f>
        <x:v>99.348</x:v>
      </x:c>
      <x:c r="BE182" s="16" t="e">
        <x:f>IF(BD182="","",INDEX({"v1.4.20","v1.4.20","v1.4.21","v1.4.21","v1.4.23","v1.4.23","v1.4.26","v1.4.26","v1.4.26.1","v1.4.26.1","v1.4.27","v1.4.27","v1.4.29","v1.4.29","v1.4.30","v1.4.30","v1.4.31","v1.4.31","v1.4.33","v1.4.33","v1.4.35","v1.4.35.2","v1.5","v1.5.1","v1.5.1"},MATCH(BD182,CHOOSE({1,2,3,4,5,6,7,8,9,10,11,12,13,14,15,16,17,18,19,20,21,22,23,24,25},E182,G182,I182,K182,M182,O182,Q182,S182,U182,W182,Y182,AA182,AC182,AE182,AG182,AI182,AK182,AM182,AO182,AQ182,AS182,AU182,AW182,AY182,BA182),0)))</x:f>
      </x:c>
      <x:c r="BF182" s="10" t="n">
        <x:f>IFERROR((AX182-BB182)/BB182,"")</x:f>
        <x:v>2.480769230769231</x:v>
      </x:c>
      <x:c r="BG182" s="10" t="n">
        <x:f>IFERROR((AY182-BD182)/BD182,"")</x:f>
        <x:v>0.6525747876152516</x:v>
      </x:c>
    </x:row>
    <x:row r="183">
      <x:c r="A183" t="str">
        <x:v>Master List</x:v>
      </x:c>
      <x:c r="B183" t="str">
        <x:v>Create / Refresh All Templates</x:v>
      </x:c>
      <x:c r="C183" t="str">
        <x:v>Ensure frozen rows: Template - Master List</x:v>
      </x:c>
      <x:c r="D183" s="8" t="n">
        <x:v>0.979</x:v>
      </x:c>
      <x:c r="E183" s="8" t="n">
        <x:v>121.374</x:v>
      </x:c>
      <x:c r="F183" s="8" t="n">
        <x:v>0.979</x:v>
      </x:c>
      <x:c r="G183" s="8" t="n">
        <x:v>121.374</x:v>
      </x:c>
      <x:c r="H183" s="8" t="n">
        <x:v>1.054</x:v>
      </x:c>
      <x:c r="I183" s="8" t="n">
        <x:v>153.776</x:v>
      </x:c>
      <x:c r="J183" s="8" t="n">
        <x:v>1.054</x:v>
      </x:c>
      <x:c r="K183" s="8" t="n">
        <x:v>153.776</x:v>
      </x:c>
      <x:c r="L183" s="8" t="n">
        <x:v>1.469</x:v>
      </x:c>
      <x:c r="M183" s="8" t="n">
        <x:v>149.746</x:v>
      </x:c>
      <x:c r="N183" s="8" t="n">
        <x:v>1.469</x:v>
      </x:c>
      <x:c r="O183" s="8" t="n">
        <x:v>149.746</x:v>
      </x:c>
      <x:c r="P183" s="8" t="n">
        <x:v>0.596</x:v>
      </x:c>
      <x:c r="Q183" s="8" t="n">
        <x:v>99.944</x:v>
      </x:c>
      <x:c r="R183" s="8" t="n">
        <x:v>0.596</x:v>
      </x:c>
      <x:c r="S183" s="8" t="n">
        <x:v>99.944</x:v>
      </x:c>
      <x:c r="T183" s="8" t="n">
        <x:v>0.422</x:v>
      </x:c>
      <x:c r="U183" s="8" t="n">
        <x:v>121.922</x:v>
      </x:c>
      <x:c r="V183" s="8" t="n">
        <x:v>0.422</x:v>
      </x:c>
      <x:c r="W183" s="8" t="n">
        <x:v>121.922</x:v>
      </x:c>
      <x:c r="X183" s="8" t="n">
        <x:v>1.13</x:v>
      </x:c>
      <x:c r="Y183" s="8" t="n">
        <x:v>183.992</x:v>
      </x:c>
      <x:c r="Z183" s="8" t="n">
        <x:v>1.13</x:v>
      </x:c>
      <x:c r="AA183" s="8" t="n">
        <x:v>183.992</x:v>
      </x:c>
      <x:c r="AB183" s="8" t="n">
        <x:v>0.1</x:v>
      </x:c>
      <x:c r="AC183" s="8" t="n">
        <x:v>168.276</x:v>
      </x:c>
      <x:c r="AD183" s="8" t="n">
        <x:v>0.1</x:v>
      </x:c>
      <x:c r="AE183" s="8" t="n">
        <x:v>168.276</x:v>
      </x:c>
      <x:c r="AF183" s="8" t="n">
        <x:v>0.471</x:v>
      </x:c>
      <x:c r="AG183" s="8" t="n">
        <x:v>173.611</x:v>
      </x:c>
      <x:c r="AH183" s="8"/>
      <x:c r="AI183" s="8"/>
      <x:c r="AJ183" s="8" t="n">
        <x:v>0.113</x:v>
      </x:c>
      <x:c r="AK183" s="8" t="n">
        <x:v>125.223</x:v>
      </x:c>
      <x:c r="AL183" s="8" t="n">
        <x:v>0.113</x:v>
      </x:c>
      <x:c r="AM183" s="8" t="n">
        <x:v>125.223</x:v>
      </x:c>
      <x:c r="AN183" s="8" t="n">
        <x:v>0.15</x:v>
      </x:c>
      <x:c r="AO183" s="8" t="n">
        <x:v>121.574</x:v>
      </x:c>
      <x:c r="AP183" s="8" t="n">
        <x:v>0.15</x:v>
      </x:c>
      <x:c r="AQ183" s="8" t="n">
        <x:v>121.574</x:v>
      </x:c>
      <x:c r="AR183" s="8" t="n">
        <x:v>1.73</x:v>
      </x:c>
      <x:c r="AS183" s="8" t="n">
        <x:v>183.185</x:v>
      </x:c>
      <x:c r="AT183" s="8" t="n">
        <x:v>0.774</x:v>
      </x:c>
      <x:c r="AU183" s="8" t="n">
        <x:v>132.657</x:v>
      </x:c>
      <x:c r="AV183" s="8" t="n">
        <x:v>0.942</x:v>
      </x:c>
      <x:c r="AW183" s="8" t="n">
        <x:v>159.784</x:v>
      </x:c>
      <x:c r="AX183" s="8" t="n">
        <x:v>1.084</x:v>
      </x:c>
      <x:c r="AY183" s="8" t="n">
        <x:v>165.264</x:v>
      </x:c>
      <x:c r="AZ183" s="8" t="n">
        <x:v>1.084</x:v>
      </x:c>
      <x:c r="BA183" s="8" t="n">
        <x:v>165.264</x:v>
      </x:c>
      <x:c r="BB183" s="8" t="n">
        <x:f>LET(m,MIN(IF(D183&gt;0,D183,1E+99),IF(F183&gt;0,F183,1E+99),IF(H183&gt;0,H183,1E+99),IF(J183&gt;0,J183,1E+99),IF(L183&gt;0,L183,1E+99),IF(N183&gt;0,N183,1E+99),IF(P183&gt;0,P183,1E+99),IF(R183&gt;0,R183,1E+99),IF(T183&gt;0,T183,1E+99),IF(V183&gt;0,V183,1E+99),IF(X183&gt;0,X183,1E+99),IF(Z183&gt;0,Z183,1E+99),IF(AB183&gt;0,AB183,1E+99),IF(AD183&gt;0,AD183,1E+99),IF(AF183&gt;0,AF183,1E+99),IF(AH183&gt;0,AH183,1E+99),IF(AJ183&gt;0,AJ183,1E+99),IF(AL183&gt;0,AL183,1E+99),IF(AN183&gt;0,AN183,1E+99),IF(AP183&gt;0,AP183,1E+99),IF(AR183&gt;0,AR183,1E+99),IF(AT183&gt;0,AT183,1E+99),IF(AV183&gt;0,AV183,1E+99),IF(AX183&gt;0,AX183,1E+99),IF(AZ183&gt;0,AZ183,1E+99)),IF(m=1E+99,"",m))</x:f>
        <x:v>0.1</x:v>
      </x:c>
      <x:c r="BC183" s="12" t="e">
        <x:f>IF(BB183="","",INDEX({"v1.4.20","v1.4.20","v1.4.21","v1.4.21","v1.4.23","v1.4.23","v1.4.26","v1.4.26","v1.4.26.1","v1.4.26.1","v1.4.27","v1.4.27","v1.4.29","v1.4.29","v1.4.30","v1.4.30","v1.4.31","v1.4.31","v1.4.33","v1.4.33","v1.4.35","v1.4.35.2","v1.5","v1.5.1","v1.5.1"},MATCH(BB183,CHOOSE({1,2,3,4,5,6,7,8,9,10,11,12,13,14,15,16,17,18,19,20,21,22,23,24,25},D183,F183,H183,J183,L183,N183,P183,R183,T183,V183,X183,Z183,AB183,AD183,AF183,AH183,AJ183,AL183,AN183,AP183,AR183,AT183,AV183,AX183,AZ183),0)))</x:f>
      </x:c>
      <x:c r="BD183" s="14" t="n">
        <x:f>LET(m,MIN(IF(E183&gt;0,E183,1E+99),IF(G183&gt;0,G183,1E+99),IF(I183&gt;0,I183,1E+99),IF(K183&gt;0,K183,1E+99),IF(M183&gt;0,M183,1E+99),IF(O183&gt;0,O183,1E+99),IF(Q183&gt;0,Q183,1E+99),IF(S183&gt;0,S183,1E+99),IF(U183&gt;0,U183,1E+99),IF(W183&gt;0,W183,1E+99),IF(Y183&gt;0,Y183,1E+99),IF(AA183&gt;0,AA183,1E+99),IF(AC183&gt;0,AC183,1E+99),IF(AE183&gt;0,AE183,1E+99),IF(AG183&gt;0,AG183,1E+99),IF(AI183&gt;0,AI183,1E+99),IF(AK183&gt;0,AK183,1E+99),IF(AM183&gt;0,AM183,1E+99),IF(AO183&gt;0,AO183,1E+99),IF(AQ183&gt;0,AQ183,1E+99),IF(AS183&gt;0,AS183,1E+99),IF(AU183&gt;0,AU183,1E+99),IF(AW183&gt;0,AW183,1E+99),IF(AY183&gt;0,AY183,1E+99),IF(BA183&gt;0,BA183,1E+99)),IF(m=1E+99,"",m))</x:f>
        <x:v>99.944</x:v>
      </x:c>
      <x:c r="BE183" s="16" t="e">
        <x:f>IF(BD183="","",INDEX({"v1.4.20","v1.4.20","v1.4.21","v1.4.21","v1.4.23","v1.4.23","v1.4.26","v1.4.26","v1.4.26.1","v1.4.26.1","v1.4.27","v1.4.27","v1.4.29","v1.4.29","v1.4.30","v1.4.30","v1.4.31","v1.4.31","v1.4.33","v1.4.33","v1.4.35","v1.4.35.2","v1.5","v1.5.1","v1.5.1"},MATCH(BD183,CHOOSE({1,2,3,4,5,6,7,8,9,10,11,12,13,14,15,16,17,18,19,20,21,22,23,24,25},E183,G183,I183,K183,M183,O183,Q183,S183,U183,W183,Y183,AA183,AC183,AE183,AG183,AI183,AK183,AM183,AO183,AQ183,AS183,AU183,AW183,AY183,BA183),0)))</x:f>
      </x:c>
      <x:c r="BF183" s="10" t="n">
        <x:f>IFERROR((AX183-BB183)/BB183,"")</x:f>
        <x:v>9.84</x:v>
      </x:c>
      <x:c r="BG183" s="10" t="n">
        <x:f>IFERROR((AY183-BD183)/BD183,"")</x:f>
        <x:v>0.6535659969582968</x:v>
      </x:c>
    </x:row>
    <x:row r="184">
      <x:c r="A184" t="str">
        <x:v>Master List</x:v>
      </x:c>
      <x:c r="B184" t="str">
        <x:v>Create / Refresh All Templates</x:v>
      </x:c>
      <x:c r="C184" t="str">
        <x:v>Ensure frozen columns: Template - Master List</x:v>
      </x:c>
      <x:c r="D184" s="8" t="n">
        <x:v>0.552</x:v>
      </x:c>
      <x:c r="E184" s="8" t="n">
        <x:v>121.926</x:v>
      </x:c>
      <x:c r="F184" s="8" t="n">
        <x:v>0.552</x:v>
      </x:c>
      <x:c r="G184" s="8" t="n">
        <x:v>121.926</x:v>
      </x:c>
      <x:c r="H184" s="8" t="n">
        <x:v>0.709</x:v>
      </x:c>
      <x:c r="I184" s="8" t="n">
        <x:v>154.485</x:v>
      </x:c>
      <x:c r="J184" s="8" t="n">
        <x:v>0.709</x:v>
      </x:c>
      <x:c r="K184" s="8" t="n">
        <x:v>154.485</x:v>
      </x:c>
      <x:c r="L184" s="8" t="n">
        <x:v>0.845</x:v>
      </x:c>
      <x:c r="M184" s="8" t="n">
        <x:v>150.591</x:v>
      </x:c>
      <x:c r="N184" s="8" t="n">
        <x:v>0.845</x:v>
      </x:c>
      <x:c r="O184" s="8" t="n">
        <x:v>150.591</x:v>
      </x:c>
      <x:c r="P184" s="8" t="n">
        <x:v>1.356</x:v>
      </x:c>
      <x:c r="Q184" s="8" t="n">
        <x:v>101.3</x:v>
      </x:c>
      <x:c r="R184" s="8" t="n">
        <x:v>1.356</x:v>
      </x:c>
      <x:c r="S184" s="8" t="n">
        <x:v>101.3</x:v>
      </x:c>
      <x:c r="T184" s="8" t="n">
        <x:v>0.578</x:v>
      </x:c>
      <x:c r="U184" s="8" t="n">
        <x:v>122.5</x:v>
      </x:c>
      <x:c r="V184" s="8" t="n">
        <x:v>0.578</x:v>
      </x:c>
      <x:c r="W184" s="8" t="n">
        <x:v>122.5</x:v>
      </x:c>
      <x:c r="X184" s="8" t="n">
        <x:v>1.2</x:v>
      </x:c>
      <x:c r="Y184" s="8" t="n">
        <x:v>185.192</x:v>
      </x:c>
      <x:c r="Z184" s="8" t="n">
        <x:v>1.2</x:v>
      </x:c>
      <x:c r="AA184" s="8" t="n">
        <x:v>185.192</x:v>
      </x:c>
      <x:c r="AB184" s="8" t="n">
        <x:v>0.832</x:v>
      </x:c>
      <x:c r="AC184" s="8" t="n">
        <x:v>169.108</x:v>
      </x:c>
      <x:c r="AD184" s="8" t="n">
        <x:v>0.832</x:v>
      </x:c>
      <x:c r="AE184" s="8" t="n">
        <x:v>169.108</x:v>
      </x:c>
      <x:c r="AF184" s="8" t="n">
        <x:v>0.894</x:v>
      </x:c>
      <x:c r="AG184" s="8" t="n">
        <x:v>174.505</x:v>
      </x:c>
      <x:c r="AH184" s="8"/>
      <x:c r="AI184" s="8"/>
      <x:c r="AJ184" s="8" t="n">
        <x:v>0.86</x:v>
      </x:c>
      <x:c r="AK184" s="8" t="n">
        <x:v>126.083</x:v>
      </x:c>
      <x:c r="AL184" s="8" t="n">
        <x:v>0.86</x:v>
      </x:c>
      <x:c r="AM184" s="8" t="n">
        <x:v>126.083</x:v>
      </x:c>
      <x:c r="AN184" s="8" t="n">
        <x:v>0.653</x:v>
      </x:c>
      <x:c r="AO184" s="8" t="n">
        <x:v>122.227</x:v>
      </x:c>
      <x:c r="AP184" s="8" t="n">
        <x:v>0.653</x:v>
      </x:c>
      <x:c r="AQ184" s="8" t="n">
        <x:v>122.227</x:v>
      </x:c>
      <x:c r="AR184" s="8" t="n">
        <x:v>0.813</x:v>
      </x:c>
      <x:c r="AS184" s="8" t="n">
        <x:v>183.998</x:v>
      </x:c>
      <x:c r="AT184" s="8" t="n">
        <x:v>0.618</x:v>
      </x:c>
      <x:c r="AU184" s="8" t="n">
        <x:v>133.275</x:v>
      </x:c>
      <x:c r="AV184" s="8" t="n">
        <x:v>0.896</x:v>
      </x:c>
      <x:c r="AW184" s="8" t="n">
        <x:v>160.68</x:v>
      </x:c>
      <x:c r="AX184" s="8" t="n">
        <x:v>0.782</x:v>
      </x:c>
      <x:c r="AY184" s="8" t="n">
        <x:v>166.046</x:v>
      </x:c>
      <x:c r="AZ184" s="8" t="n">
        <x:v>0.782</x:v>
      </x:c>
      <x:c r="BA184" s="8" t="n">
        <x:v>166.046</x:v>
      </x:c>
      <x:c r="BB184" s="8" t="n">
        <x:f>LET(m,MIN(IF(D184&gt;0,D184,1E+99),IF(F184&gt;0,F184,1E+99),IF(H184&gt;0,H184,1E+99),IF(J184&gt;0,J184,1E+99),IF(L184&gt;0,L184,1E+99),IF(N184&gt;0,N184,1E+99),IF(P184&gt;0,P184,1E+99),IF(R184&gt;0,R184,1E+99),IF(T184&gt;0,T184,1E+99),IF(V184&gt;0,V184,1E+99),IF(X184&gt;0,X184,1E+99),IF(Z184&gt;0,Z184,1E+99),IF(AB184&gt;0,AB184,1E+99),IF(AD184&gt;0,AD184,1E+99),IF(AF184&gt;0,AF184,1E+99),IF(AH184&gt;0,AH184,1E+99),IF(AJ184&gt;0,AJ184,1E+99),IF(AL184&gt;0,AL184,1E+99),IF(AN184&gt;0,AN184,1E+99),IF(AP184&gt;0,AP184,1E+99),IF(AR184&gt;0,AR184,1E+99),IF(AT184&gt;0,AT184,1E+99),IF(AV184&gt;0,AV184,1E+99),IF(AX184&gt;0,AX184,1E+99),IF(AZ184&gt;0,AZ184,1E+99)),IF(m=1E+99,"",m))</x:f>
        <x:v>0.552</x:v>
      </x:c>
      <x:c r="BC184" s="12" t="str">
        <x:f>IF(BB184="","",INDEX({"v1.4.20","v1.4.20","v1.4.21","v1.4.21","v1.4.23","v1.4.23","v1.4.26","v1.4.26","v1.4.26.1","v1.4.26.1","v1.4.27","v1.4.27","v1.4.29","v1.4.29","v1.4.30","v1.4.30","v1.4.31","v1.4.31","v1.4.33","v1.4.33","v1.4.35","v1.4.35.2","v1.5","v1.5.1","v1.5.1"},MATCH(BB184,CHOOSE({1,2,3,4,5,6,7,8,9,10,11,12,13,14,15,16,17,18,19,20,21,22,23,24,25},D184,F184,H184,J184,L184,N184,P184,R184,T184,V184,X184,Z184,AB184,AD184,AF184,AH184,AJ184,AL184,AN184,AP184,AR184,AT184,AV184,AX184,AZ184),0)))</x:f>
        <x:v>v1.4.20</x:v>
      </x:c>
      <x:c r="BD184" s="14" t="n">
        <x:f>LET(m,MIN(IF(E184&gt;0,E184,1E+99),IF(G184&gt;0,G184,1E+99),IF(I184&gt;0,I184,1E+99),IF(K184&gt;0,K184,1E+99),IF(M184&gt;0,M184,1E+99),IF(O184&gt;0,O184,1E+99),IF(Q184&gt;0,Q184,1E+99),IF(S184&gt;0,S184,1E+99),IF(U184&gt;0,U184,1E+99),IF(W184&gt;0,W184,1E+99),IF(Y184&gt;0,Y184,1E+99),IF(AA184&gt;0,AA184,1E+99),IF(AC184&gt;0,AC184,1E+99),IF(AE184&gt;0,AE184,1E+99),IF(AG184&gt;0,AG184,1E+99),IF(AI184&gt;0,AI184,1E+99),IF(AK184&gt;0,AK184,1E+99),IF(AM184&gt;0,AM184,1E+99),IF(AO184&gt;0,AO184,1E+99),IF(AQ184&gt;0,AQ184,1E+99),IF(AS184&gt;0,AS184,1E+99),IF(AU184&gt;0,AU184,1E+99),IF(AW184&gt;0,AW184,1E+99),IF(AY184&gt;0,AY184,1E+99),IF(BA184&gt;0,BA184,1E+99)),IF(m=1E+99,"",m))</x:f>
        <x:v>101.3</x:v>
      </x:c>
      <x:c r="BE184" s="16" t="e">
        <x:f>IF(BD184="","",INDEX({"v1.4.20","v1.4.20","v1.4.21","v1.4.21","v1.4.23","v1.4.23","v1.4.26","v1.4.26","v1.4.26.1","v1.4.26.1","v1.4.27","v1.4.27","v1.4.29","v1.4.29","v1.4.30","v1.4.30","v1.4.31","v1.4.31","v1.4.33","v1.4.33","v1.4.35","v1.4.35.2","v1.5","v1.5.1","v1.5.1"},MATCH(BD184,CHOOSE({1,2,3,4,5,6,7,8,9,10,11,12,13,14,15,16,17,18,19,20,21,22,23,24,25},E184,G184,I184,K184,M184,O184,Q184,S184,U184,W184,Y184,AA184,AC184,AE184,AG184,AI184,AK184,AM184,AO184,AQ184,AS184,AU184,AW184,AY184,BA184),0)))</x:f>
      </x:c>
      <x:c r="BF184" s="10" t="n">
        <x:f>IFERROR((AX184-BB184)/BB184,"")</x:f>
        <x:v>0.4166666666666666</x:v>
      </x:c>
      <x:c r="BG184" s="10" t="n">
        <x:f>IFERROR((AY184-BD184)/BD184,"")</x:f>
        <x:v>0.6391510365251727</x:v>
      </x:c>
    </x:row>
    <x:row r="185">
      <x:c r="A185" t="str">
        <x:v>Master List</x:v>
      </x:c>
      <x:c r="B185" t="str">
        <x:v>Create / Refresh All Templates</x:v>
      </x:c>
      <x:c r="C185" t="str">
        <x:v>Ensure tab color: Template - Master List</x:v>
      </x:c>
      <x:c r="D185" s="8" t="n">
        <x:v>0.902</x:v>
      </x:c>
      <x:c r="E185" s="8" t="n">
        <x:v>122.828</x:v>
      </x:c>
      <x:c r="F185" s="8" t="n">
        <x:v>0.902</x:v>
      </x:c>
      <x:c r="G185" s="8" t="n">
        <x:v>122.828</x:v>
      </x:c>
      <x:c r="H185" s="8" t="n">
        <x:v>1.102</x:v>
      </x:c>
      <x:c r="I185" s="8" t="n">
        <x:v>155.587</x:v>
      </x:c>
      <x:c r="J185" s="8" t="n">
        <x:v>1.102</x:v>
      </x:c>
      <x:c r="K185" s="8" t="n">
        <x:v>155.587</x:v>
      </x:c>
      <x:c r="L185" s="8" t="n">
        <x:v>0.859</x:v>
      </x:c>
      <x:c r="M185" s="8" t="n">
        <x:v>151.45</x:v>
      </x:c>
      <x:c r="N185" s="8" t="n">
        <x:v>0.859</x:v>
      </x:c>
      <x:c r="O185" s="8" t="n">
        <x:v>151.45</x:v>
      </x:c>
      <x:c r="P185" s="8" t="n">
        <x:v>0.487</x:v>
      </x:c>
      <x:c r="Q185" s="8" t="n">
        <x:v>101.787</x:v>
      </x:c>
      <x:c r="R185" s="8" t="n">
        <x:v>0.487</x:v>
      </x:c>
      <x:c r="S185" s="8" t="n">
        <x:v>101.787</x:v>
      </x:c>
      <x:c r="T185" s="8" t="n">
        <x:v>0.595</x:v>
      </x:c>
      <x:c r="U185" s="8" t="n">
        <x:v>123.095</x:v>
      </x:c>
      <x:c r="V185" s="8" t="n">
        <x:v>0.595</x:v>
      </x:c>
      <x:c r="W185" s="8" t="n">
        <x:v>123.095</x:v>
      </x:c>
      <x:c r="X185" s="8" t="n">
        <x:v>1.048</x:v>
      </x:c>
      <x:c r="Y185" s="8" t="n">
        <x:v>186.24</x:v>
      </x:c>
      <x:c r="Z185" s="8" t="n">
        <x:v>1.048</x:v>
      </x:c>
      <x:c r="AA185" s="8" t="n">
        <x:v>186.24</x:v>
      </x:c>
      <x:c r="AB185" s="8" t="n">
        <x:v>1.368</x:v>
      </x:c>
      <x:c r="AC185" s="8" t="n">
        <x:v>170.476</x:v>
      </x:c>
      <x:c r="AD185" s="8" t="n">
        <x:v>1.368</x:v>
      </x:c>
      <x:c r="AE185" s="8" t="n">
        <x:v>170.476</x:v>
      </x:c>
      <x:c r="AF185" s="8" t="n">
        <x:v>0.84</x:v>
      </x:c>
      <x:c r="AG185" s="8" t="n">
        <x:v>175.345</x:v>
      </x:c>
      <x:c r="AH185" s="8"/>
      <x:c r="AI185" s="8"/>
      <x:c r="AJ185" s="8" t="n">
        <x:v>0.883</x:v>
      </x:c>
      <x:c r="AK185" s="8" t="n">
        <x:v>126.966</x:v>
      </x:c>
      <x:c r="AL185" s="8" t="n">
        <x:v>0.883</x:v>
      </x:c>
      <x:c r="AM185" s="8" t="n">
        <x:v>126.966</x:v>
      </x:c>
      <x:c r="AN185" s="8" t="n">
        <x:v>0.65</x:v>
      </x:c>
      <x:c r="AO185" s="8" t="n">
        <x:v>122.877</x:v>
      </x:c>
      <x:c r="AP185" s="8" t="n">
        <x:v>0.65</x:v>
      </x:c>
      <x:c r="AQ185" s="8" t="n">
        <x:v>122.877</x:v>
      </x:c>
      <x:c r="AR185" s="8" t="n">
        <x:v>1.574</x:v>
      </x:c>
      <x:c r="AS185" s="8" t="n">
        <x:v>185.572</x:v>
      </x:c>
      <x:c r="AT185" s="8" t="n">
        <x:v>0.625</x:v>
      </x:c>
      <x:c r="AU185" s="8" t="n">
        <x:v>133.9</x:v>
      </x:c>
      <x:c r="AV185" s="8" t="n">
        <x:v>0.858</x:v>
      </x:c>
      <x:c r="AW185" s="8" t="n">
        <x:v>161.538</x:v>
      </x:c>
      <x:c r="AX185" s="8" t="n">
        <x:v>0.796</x:v>
      </x:c>
      <x:c r="AY185" s="8" t="n">
        <x:v>166.842</x:v>
      </x:c>
      <x:c r="AZ185" s="8" t="n">
        <x:v>0.796</x:v>
      </x:c>
      <x:c r="BA185" s="8" t="n">
        <x:v>166.842</x:v>
      </x:c>
      <x:c r="BB185" s="8" t="n">
        <x:f>LET(m,MIN(IF(D185&gt;0,D185,1E+99),IF(F185&gt;0,F185,1E+99),IF(H185&gt;0,H185,1E+99),IF(J185&gt;0,J185,1E+99),IF(L185&gt;0,L185,1E+99),IF(N185&gt;0,N185,1E+99),IF(P185&gt;0,P185,1E+99),IF(R185&gt;0,R185,1E+99),IF(T185&gt;0,T185,1E+99),IF(V185&gt;0,V185,1E+99),IF(X185&gt;0,X185,1E+99),IF(Z185&gt;0,Z185,1E+99),IF(AB185&gt;0,AB185,1E+99),IF(AD185&gt;0,AD185,1E+99),IF(AF185&gt;0,AF185,1E+99),IF(AH185&gt;0,AH185,1E+99),IF(AJ185&gt;0,AJ185,1E+99),IF(AL185&gt;0,AL185,1E+99),IF(AN185&gt;0,AN185,1E+99),IF(AP185&gt;0,AP185,1E+99),IF(AR185&gt;0,AR185,1E+99),IF(AT185&gt;0,AT185,1E+99),IF(AV185&gt;0,AV185,1E+99),IF(AX185&gt;0,AX185,1E+99),IF(AZ185&gt;0,AZ185,1E+99)),IF(m=1E+99,"",m))</x:f>
        <x:v>0.487</x:v>
      </x:c>
      <x:c r="BC185" s="12" t="e">
        <x:f>IF(BB185="","",INDEX({"v1.4.20","v1.4.20","v1.4.21","v1.4.21","v1.4.23","v1.4.23","v1.4.26","v1.4.26","v1.4.26.1","v1.4.26.1","v1.4.27","v1.4.27","v1.4.29","v1.4.29","v1.4.30","v1.4.30","v1.4.31","v1.4.31","v1.4.33","v1.4.33","v1.4.35","v1.4.35.2","v1.5","v1.5.1","v1.5.1"},MATCH(BB185,CHOOSE({1,2,3,4,5,6,7,8,9,10,11,12,13,14,15,16,17,18,19,20,21,22,23,24,25},D185,F185,H185,J185,L185,N185,P185,R185,T185,V185,X185,Z185,AB185,AD185,AF185,AH185,AJ185,AL185,AN185,AP185,AR185,AT185,AV185,AX185,AZ185),0)))</x:f>
      </x:c>
      <x:c r="BD185" s="14" t="n">
        <x:f>LET(m,MIN(IF(E185&gt;0,E185,1E+99),IF(G185&gt;0,G185,1E+99),IF(I185&gt;0,I185,1E+99),IF(K185&gt;0,K185,1E+99),IF(M185&gt;0,M185,1E+99),IF(O185&gt;0,O185,1E+99),IF(Q185&gt;0,Q185,1E+99),IF(S185&gt;0,S185,1E+99),IF(U185&gt;0,U185,1E+99),IF(W185&gt;0,W185,1E+99),IF(Y185&gt;0,Y185,1E+99),IF(AA185&gt;0,AA185,1E+99),IF(AC185&gt;0,AC185,1E+99),IF(AE185&gt;0,AE185,1E+99),IF(AG185&gt;0,AG185,1E+99),IF(AI185&gt;0,AI185,1E+99),IF(AK185&gt;0,AK185,1E+99),IF(AM185&gt;0,AM185,1E+99),IF(AO185&gt;0,AO185,1E+99),IF(AQ185&gt;0,AQ185,1E+99),IF(AS185&gt;0,AS185,1E+99),IF(AU185&gt;0,AU185,1E+99),IF(AW185&gt;0,AW185,1E+99),IF(AY185&gt;0,AY185,1E+99),IF(BA185&gt;0,BA185,1E+99)),IF(m=1E+99,"",m))</x:f>
        <x:v>101.787</x:v>
      </x:c>
      <x:c r="BE185" s="16" t="e">
        <x:f>IF(BD185="","",INDEX({"v1.4.20","v1.4.20","v1.4.21","v1.4.21","v1.4.23","v1.4.23","v1.4.26","v1.4.26","v1.4.26.1","v1.4.26.1","v1.4.27","v1.4.27","v1.4.29","v1.4.29","v1.4.30","v1.4.30","v1.4.31","v1.4.31","v1.4.33","v1.4.33","v1.4.35","v1.4.35.2","v1.5","v1.5.1","v1.5.1"},MATCH(BD185,CHOOSE({1,2,3,4,5,6,7,8,9,10,11,12,13,14,15,16,17,18,19,20,21,22,23,24,25},E185,G185,I185,K185,M185,O185,Q185,S185,U185,W185,Y185,AA185,AC185,AE185,AG185,AI185,AK185,AM185,AO185,AQ185,AS185,AU185,AW185,AY185,BA185),0)))</x:f>
      </x:c>
      <x:c r="BF185" s="10" t="n">
        <x:f>IFERROR((AX185-BB185)/BB185,"")</x:f>
        <x:v>0.6344969199178646</x:v>
      </x:c>
      <x:c r="BG185" s="10" t="n">
        <x:f>IFERROR((AY185-BD185)/BD185,"")</x:f>
        <x:v>0.6391287688997613</x:v>
      </x:c>
    </x:row>
    <x:row r="186">
      <x:c r="A186" t="str">
        <x:v>Master List</x:v>
      </x:c>
      <x:c r="B186" t="str">
        <x:v>Create / Refresh All Templates</x:v>
      </x:c>
      <x:c r="C186" t="str">
        <x:v>Final date/number format enforcement: Template - Master List</x:v>
      </x:c>
      <x:c r="D186" s="8" t="n">
        <x:v>0.922</x:v>
      </x:c>
      <x:c r="E186" s="8" t="n">
        <x:v>123.75</x:v>
      </x:c>
      <x:c r="F186" s="8" t="n">
        <x:v>0.922</x:v>
      </x:c>
      <x:c r="G186" s="8" t="n">
        <x:v>123.75</x:v>
      </x:c>
      <x:c r="H186" s="8" t="n">
        <x:v>1.317</x:v>
      </x:c>
      <x:c r="I186" s="8" t="n">
        <x:v>156.904</x:v>
      </x:c>
      <x:c r="J186" s="8" t="n">
        <x:v>1.317</x:v>
      </x:c>
      <x:c r="K186" s="8" t="n">
        <x:v>156.904</x:v>
      </x:c>
      <x:c r="L186" s="8" t="n">
        <x:v>1.289</x:v>
      </x:c>
      <x:c r="M186" s="8" t="n">
        <x:v>152.739</x:v>
      </x:c>
      <x:c r="N186" s="8" t="n">
        <x:v>1.289</x:v>
      </x:c>
      <x:c r="O186" s="8" t="n">
        <x:v>152.739</x:v>
      </x:c>
      <x:c r="P186" s="8" t="n">
        <x:v>1.05</x:v>
      </x:c>
      <x:c r="Q186" s="8" t="n">
        <x:v>102.837</x:v>
      </x:c>
      <x:c r="R186" s="8" t="n">
        <x:v>1.05</x:v>
      </x:c>
      <x:c r="S186" s="8" t="n">
        <x:v>102.837</x:v>
      </x:c>
      <x:c r="T186" s="8" t="n">
        <x:v>1.192</x:v>
      </x:c>
      <x:c r="U186" s="8" t="n">
        <x:v>124.287</x:v>
      </x:c>
      <x:c r="V186" s="8" t="n">
        <x:v>1.192</x:v>
      </x:c>
      <x:c r="W186" s="8" t="n">
        <x:v>124.287</x:v>
      </x:c>
      <x:c r="X186" s="8" t="n">
        <x:v>1.341</x:v>
      </x:c>
      <x:c r="Y186" s="8" t="n">
        <x:v>187.581</x:v>
      </x:c>
      <x:c r="Z186" s="8" t="n">
        <x:v>1.341</x:v>
      </x:c>
      <x:c r="AA186" s="8" t="n">
        <x:v>187.581</x:v>
      </x:c>
      <x:c r="AB186" s="8" t="n">
        <x:v>0.921</x:v>
      </x:c>
      <x:c r="AC186" s="8" t="n">
        <x:v>171.397</x:v>
      </x:c>
      <x:c r="AD186" s="8" t="n">
        <x:v>0.921</x:v>
      </x:c>
      <x:c r="AE186" s="8" t="n">
        <x:v>171.397</x:v>
      </x:c>
      <x:c r="AF186" s="8" t="n">
        <x:v>1.009</x:v>
      </x:c>
      <x:c r="AG186" s="8" t="n">
        <x:v>176.354</x:v>
      </x:c>
      <x:c r="AH186" s="8"/>
      <x:c r="AI186" s="8"/>
      <x:c r="AJ186" s="8" t="n">
        <x:v>0.923</x:v>
      </x:c>
      <x:c r="AK186" s="8" t="n">
        <x:v>127.889</x:v>
      </x:c>
      <x:c r="AL186" s="8" t="n">
        <x:v>0.923</x:v>
      </x:c>
      <x:c r="AM186" s="8" t="n">
        <x:v>127.889</x:v>
      </x:c>
      <x:c r="AN186" s="8" t="n">
        <x:v>0.914</x:v>
      </x:c>
      <x:c r="AO186" s="8" t="n">
        <x:v>123.791</x:v>
      </x:c>
      <x:c r="AP186" s="8" t="n">
        <x:v>0.914</x:v>
      </x:c>
      <x:c r="AQ186" s="8" t="n">
        <x:v>123.791</x:v>
      </x:c>
      <x:c r="AR186" s="8" t="n">
        <x:v>1.247</x:v>
      </x:c>
      <x:c r="AS186" s="8" t="n">
        <x:v>186.819</x:v>
      </x:c>
      <x:c r="AT186" s="8" t="n">
        <x:v>0.831</x:v>
      </x:c>
      <x:c r="AU186" s="8" t="n">
        <x:v>134.731</x:v>
      </x:c>
      <x:c r="AV186" s="8" t="n">
        <x:v>1.024</x:v>
      </x:c>
      <x:c r="AW186" s="8" t="n">
        <x:v>162.562</x:v>
      </x:c>
      <x:c r="AX186" s="8" t="n">
        <x:v>1.002</x:v>
      </x:c>
      <x:c r="AY186" s="8" t="n">
        <x:v>167.844</x:v>
      </x:c>
      <x:c r="AZ186" s="8" t="n">
        <x:v>1.002</x:v>
      </x:c>
      <x:c r="BA186" s="8" t="n">
        <x:v>167.844</x:v>
      </x:c>
      <x:c r="BB186" s="8" t="n">
        <x:f>LET(m,MIN(IF(D186&gt;0,D186,1E+99),IF(F186&gt;0,F186,1E+99),IF(H186&gt;0,H186,1E+99),IF(J186&gt;0,J186,1E+99),IF(L186&gt;0,L186,1E+99),IF(N186&gt;0,N186,1E+99),IF(P186&gt;0,P186,1E+99),IF(R186&gt;0,R186,1E+99),IF(T186&gt;0,T186,1E+99),IF(V186&gt;0,V186,1E+99),IF(X186&gt;0,X186,1E+99),IF(Z186&gt;0,Z186,1E+99),IF(AB186&gt;0,AB186,1E+99),IF(AD186&gt;0,AD186,1E+99),IF(AF186&gt;0,AF186,1E+99),IF(AH186&gt;0,AH186,1E+99),IF(AJ186&gt;0,AJ186,1E+99),IF(AL186&gt;0,AL186,1E+99),IF(AN186&gt;0,AN186,1E+99),IF(AP186&gt;0,AP186,1E+99),IF(AR186&gt;0,AR186,1E+99),IF(AT186&gt;0,AT186,1E+99),IF(AV186&gt;0,AV186,1E+99),IF(AX186&gt;0,AX186,1E+99),IF(AZ186&gt;0,AZ186,1E+99)),IF(m=1E+99,"",m))</x:f>
        <x:v>0.831</x:v>
      </x:c>
      <x:c r="BC186" s="12" t="e">
        <x:f>IF(BB186="","",INDEX({"v1.4.20","v1.4.20","v1.4.21","v1.4.21","v1.4.23","v1.4.23","v1.4.26","v1.4.26","v1.4.26.1","v1.4.26.1","v1.4.27","v1.4.27","v1.4.29","v1.4.29","v1.4.30","v1.4.30","v1.4.31","v1.4.31","v1.4.33","v1.4.33","v1.4.35","v1.4.35.2","v1.5","v1.5.1","v1.5.1"},MATCH(BB186,CHOOSE({1,2,3,4,5,6,7,8,9,10,11,12,13,14,15,16,17,18,19,20,21,22,23,24,25},D186,F186,H186,J186,L186,N186,P186,R186,T186,V186,X186,Z186,AB186,AD186,AF186,AH186,AJ186,AL186,AN186,AP186,AR186,AT186,AV186,AX186,AZ186),0)))</x:f>
      </x:c>
      <x:c r="BD186" s="14" t="n">
        <x:f>LET(m,MIN(IF(E186&gt;0,E186,1E+99),IF(G186&gt;0,G186,1E+99),IF(I186&gt;0,I186,1E+99),IF(K186&gt;0,K186,1E+99),IF(M186&gt;0,M186,1E+99),IF(O186&gt;0,O186,1E+99),IF(Q186&gt;0,Q186,1E+99),IF(S186&gt;0,S186,1E+99),IF(U186&gt;0,U186,1E+99),IF(W186&gt;0,W186,1E+99),IF(Y186&gt;0,Y186,1E+99),IF(AA186&gt;0,AA186,1E+99),IF(AC186&gt;0,AC186,1E+99),IF(AE186&gt;0,AE186,1E+99),IF(AG186&gt;0,AG186,1E+99),IF(AI186&gt;0,AI186,1E+99),IF(AK186&gt;0,AK186,1E+99),IF(AM186&gt;0,AM186,1E+99),IF(AO186&gt;0,AO186,1E+99),IF(AQ186&gt;0,AQ186,1E+99),IF(AS186&gt;0,AS186,1E+99),IF(AU186&gt;0,AU186,1E+99),IF(AW186&gt;0,AW186,1E+99),IF(AY186&gt;0,AY186,1E+99),IF(BA186&gt;0,BA186,1E+99)),IF(m=1E+99,"",m))</x:f>
        <x:v>102.837</x:v>
      </x:c>
      <x:c r="BE186" s="16" t="e">
        <x:f>IF(BD186="","",INDEX({"v1.4.20","v1.4.20","v1.4.21","v1.4.21","v1.4.23","v1.4.23","v1.4.26","v1.4.26","v1.4.26.1","v1.4.26.1","v1.4.27","v1.4.27","v1.4.29","v1.4.29","v1.4.30","v1.4.30","v1.4.31","v1.4.31","v1.4.33","v1.4.33","v1.4.35","v1.4.35.2","v1.5","v1.5.1","v1.5.1"},MATCH(BD186,CHOOSE({1,2,3,4,5,6,7,8,9,10,11,12,13,14,15,16,17,18,19,20,21,22,23,24,25},E186,G186,I186,K186,M186,O186,Q186,S186,U186,W186,Y186,AA186,AC186,AE186,AG186,AI186,AK186,AM186,AO186,AQ186,AS186,AU186,AW186,AY186,BA186),0)))</x:f>
      </x:c>
      <x:c r="BF186" s="10" t="n">
        <x:f>IFERROR((AX186-BB186)/BB186,"")</x:f>
        <x:v>0.20577617328519862</x:v>
      </x:c>
      <x:c r="BG186" s="10" t="n">
        <x:f>IFERROR((AY186-BD186)/BD186,"")</x:f>
        <x:v>0.632136293357449</x:v>
      </x:c>
    </x:row>
    <x:row r="187">
      <x:c r="A187" t="str">
        <x:v>Master List</x:v>
      </x:c>
      <x:c r="B187" t="str">
        <x:v>Create / Refresh All Templates</x:v>
      </x:c>
      <x:c r="C187" t="str">
        <x:v>Hide template: Template - Master List</x:v>
      </x:c>
      <x:c r="D187" s="8" t="n">
        <x:v>1.726</x:v>
      </x:c>
      <x:c r="E187" s="8" t="n">
        <x:v>125.476</x:v>
      </x:c>
      <x:c r="F187" s="8" t="n">
        <x:v>1.726</x:v>
      </x:c>
      <x:c r="G187" s="8" t="n">
        <x:v>125.476</x:v>
      </x:c>
      <x:c r="H187" s="8" t="n">
        <x:v>1.939</x:v>
      </x:c>
      <x:c r="I187" s="8" t="n">
        <x:v>158.843</x:v>
      </x:c>
      <x:c r="J187" s="8" t="n">
        <x:v>1.939</x:v>
      </x:c>
      <x:c r="K187" s="8" t="n">
        <x:v>158.843</x:v>
      </x:c>
      <x:c r="L187" s="8" t="n">
        <x:v>2.056</x:v>
      </x:c>
      <x:c r="M187" s="8" t="n">
        <x:v>154.795</x:v>
      </x:c>
      <x:c r="N187" s="8" t="n">
        <x:v>2.056</x:v>
      </x:c>
      <x:c r="O187" s="8" t="n">
        <x:v>154.795</x:v>
      </x:c>
      <x:c r="P187" s="8" t="n">
        <x:v>0.929</x:v>
      </x:c>
      <x:c r="Q187" s="8" t="n">
        <x:v>103.766</x:v>
      </x:c>
      <x:c r="R187" s="8" t="n">
        <x:v>0.929</x:v>
      </x:c>
      <x:c r="S187" s="8" t="n">
        <x:v>103.766</x:v>
      </x:c>
      <x:c r="T187" s="8" t="n">
        <x:v>1.148</x:v>
      </x:c>
      <x:c r="U187" s="8" t="n">
        <x:v>125.435</x:v>
      </x:c>
      <x:c r="V187" s="8" t="n">
        <x:v>1.148</x:v>
      </x:c>
      <x:c r="W187" s="8" t="n">
        <x:v>125.435</x:v>
      </x:c>
      <x:c r="X187" s="8" t="n">
        <x:v>2.507</x:v>
      </x:c>
      <x:c r="Y187" s="8" t="n">
        <x:v>190.088</x:v>
      </x:c>
      <x:c r="Z187" s="8" t="n">
        <x:v>2.507</x:v>
      </x:c>
      <x:c r="AA187" s="8" t="n">
        <x:v>190.088</x:v>
      </x:c>
      <x:c r="AB187" s="8" t="n">
        <x:v>2.315</x:v>
      </x:c>
      <x:c r="AC187" s="8" t="n">
        <x:v>173.712</x:v>
      </x:c>
      <x:c r="AD187" s="8" t="n">
        <x:v>2.315</x:v>
      </x:c>
      <x:c r="AE187" s="8" t="n">
        <x:v>173.712</x:v>
      </x:c>
      <x:c r="AF187" s="8" t="n">
        <x:v>2.359</x:v>
      </x:c>
      <x:c r="AG187" s="8" t="n">
        <x:v>178.713</x:v>
      </x:c>
      <x:c r="AH187" s="8"/>
      <x:c r="AI187" s="8"/>
      <x:c r="AJ187" s="8" t="n">
        <x:v>2.339</x:v>
      </x:c>
      <x:c r="AK187" s="8" t="n">
        <x:v>130.228</x:v>
      </x:c>
      <x:c r="AL187" s="8" t="n">
        <x:v>2.339</x:v>
      </x:c>
      <x:c r="AM187" s="8" t="n">
        <x:v>130.228</x:v>
      </x:c>
      <x:c r="AN187" s="8" t="n">
        <x:v>2.56</x:v>
      </x:c>
      <x:c r="AO187" s="8" t="n">
        <x:v>126.351</x:v>
      </x:c>
      <x:c r="AP187" s="8" t="n">
        <x:v>2.56</x:v>
      </x:c>
      <x:c r="AQ187" s="8" t="n">
        <x:v>126.351</x:v>
      </x:c>
      <x:c r="AR187" s="8" t="n">
        <x:v>2.629</x:v>
      </x:c>
      <x:c r="AS187" s="8" t="n">
        <x:v>189.448</x:v>
      </x:c>
      <x:c r="AT187" s="8" t="n">
        <x:v>1.655</x:v>
      </x:c>
      <x:c r="AU187" s="8" t="n">
        <x:v>136.386</x:v>
      </x:c>
      <x:c r="AV187" s="8" t="n">
        <x:v>2.847</x:v>
      </x:c>
      <x:c r="AW187" s="8" t="n">
        <x:v>165.409</x:v>
      </x:c>
      <x:c r="AX187" s="8" t="n">
        <x:v>2.462</x:v>
      </x:c>
      <x:c r="AY187" s="8" t="n">
        <x:v>170.306</x:v>
      </x:c>
      <x:c r="AZ187" s="8" t="n">
        <x:v>2.462</x:v>
      </x:c>
      <x:c r="BA187" s="8" t="n">
        <x:v>170.306</x:v>
      </x:c>
      <x:c r="BB187" s="8" t="n">
        <x:f>LET(m,MIN(IF(D187&gt;0,D187,1E+99),IF(F187&gt;0,F187,1E+99),IF(H187&gt;0,H187,1E+99),IF(J187&gt;0,J187,1E+99),IF(L187&gt;0,L187,1E+99),IF(N187&gt;0,N187,1E+99),IF(P187&gt;0,P187,1E+99),IF(R187&gt;0,R187,1E+99),IF(T187&gt;0,T187,1E+99),IF(V187&gt;0,V187,1E+99),IF(X187&gt;0,X187,1E+99),IF(Z187&gt;0,Z187,1E+99),IF(AB187&gt;0,AB187,1E+99),IF(AD187&gt;0,AD187,1E+99),IF(AF187&gt;0,AF187,1E+99),IF(AH187&gt;0,AH187,1E+99),IF(AJ187&gt;0,AJ187,1E+99),IF(AL187&gt;0,AL187,1E+99),IF(AN187&gt;0,AN187,1E+99),IF(AP187&gt;0,AP187,1E+99),IF(AR187&gt;0,AR187,1E+99),IF(AT187&gt;0,AT187,1E+99),IF(AV187&gt;0,AV187,1E+99),IF(AX187&gt;0,AX187,1E+99),IF(AZ187&gt;0,AZ187,1E+99)),IF(m=1E+99,"",m))</x:f>
        <x:v>0.929</x:v>
      </x:c>
      <x:c r="BC187" s="12" t="e">
        <x:f>IF(BB187="","",INDEX({"v1.4.20","v1.4.20","v1.4.21","v1.4.21","v1.4.23","v1.4.23","v1.4.26","v1.4.26","v1.4.26.1","v1.4.26.1","v1.4.27","v1.4.27","v1.4.29","v1.4.29","v1.4.30","v1.4.30","v1.4.31","v1.4.31","v1.4.33","v1.4.33","v1.4.35","v1.4.35.2","v1.5","v1.5.1","v1.5.1"},MATCH(BB187,CHOOSE({1,2,3,4,5,6,7,8,9,10,11,12,13,14,15,16,17,18,19,20,21,22,23,24,25},D187,F187,H187,J187,L187,N187,P187,R187,T187,V187,X187,Z187,AB187,AD187,AF187,AH187,AJ187,AL187,AN187,AP187,AR187,AT187,AV187,AX187,AZ187),0)))</x:f>
      </x:c>
      <x:c r="BD187" s="14" t="n">
        <x:f>LET(m,MIN(IF(E187&gt;0,E187,1E+99),IF(G187&gt;0,G187,1E+99),IF(I187&gt;0,I187,1E+99),IF(K187&gt;0,K187,1E+99),IF(M187&gt;0,M187,1E+99),IF(O187&gt;0,O187,1E+99),IF(Q187&gt;0,Q187,1E+99),IF(S187&gt;0,S187,1E+99),IF(U187&gt;0,U187,1E+99),IF(W187&gt;0,W187,1E+99),IF(Y187&gt;0,Y187,1E+99),IF(AA187&gt;0,AA187,1E+99),IF(AC187&gt;0,AC187,1E+99),IF(AE187&gt;0,AE187,1E+99),IF(AG187&gt;0,AG187,1E+99),IF(AI187&gt;0,AI187,1E+99),IF(AK187&gt;0,AK187,1E+99),IF(AM187&gt;0,AM187,1E+99),IF(AO187&gt;0,AO187,1E+99),IF(AQ187&gt;0,AQ187,1E+99),IF(AS187&gt;0,AS187,1E+99),IF(AU187&gt;0,AU187,1E+99),IF(AW187&gt;0,AW187,1E+99),IF(AY187&gt;0,AY187,1E+99),IF(BA187&gt;0,BA187,1E+99)),IF(m=1E+99,"",m))</x:f>
        <x:v>103.766</x:v>
      </x:c>
      <x:c r="BE187" s="16" t="e">
        <x:f>IF(BD187="","",INDEX({"v1.4.20","v1.4.20","v1.4.21","v1.4.21","v1.4.23","v1.4.23","v1.4.26","v1.4.26","v1.4.26.1","v1.4.26.1","v1.4.27","v1.4.27","v1.4.29","v1.4.29","v1.4.30","v1.4.30","v1.4.31","v1.4.31","v1.4.33","v1.4.33","v1.4.35","v1.4.35.2","v1.5","v1.5.1","v1.5.1"},MATCH(BD187,CHOOSE({1,2,3,4,5,6,7,8,9,10,11,12,13,14,15,16,17,18,19,20,21,22,23,24,25},E187,G187,I187,K187,M187,O187,Q187,S187,U187,W187,Y187,AA187,AC187,AE187,AG187,AI187,AK187,AM187,AO187,AQ187,AS187,AU187,AW187,AY187,BA187),0)))</x:f>
      </x:c>
      <x:c r="BF187" s="10" t="n">
        <x:f>IFERROR((AX187-BB187)/BB187,"")</x:f>
        <x:v>1.6501614639397202</x:v>
      </x:c>
      <x:c r="BG187" s="10" t="n">
        <x:f>IFERROR((AY187-BD187)/BD187,"")</x:f>
        <x:v>0.641250505946071</x:v>
      </x:c>
    </x:row>
    <x:row r="188">
      <x:c r="A188" t="str">
        <x:v>Master List</x:v>
      </x:c>
      <x:c r="B188" t="str">
        <x:v>Create / Refresh All Templates</x:v>
      </x:c>
      <x:c r="C188" t="str">
        <x:v>Complete full template build: Template - Master List</x:v>
      </x:c>
      <x:c r="D188" s="8" t="n">
        <x:v>0</x:v>
      </x:c>
      <x:c r="E188" s="8" t="n">
        <x:v>125.476</x:v>
      </x:c>
      <x:c r="F188" s="8" t="n">
        <x:v>0</x:v>
      </x:c>
      <x:c r="G188" s="8" t="n">
        <x:v>125.476</x:v>
      </x:c>
      <x:c r="H188" s="8" t="n">
        <x:v>0</x:v>
      </x:c>
      <x:c r="I188" s="8" t="n">
        <x:v>158.843</x:v>
      </x:c>
      <x:c r="J188" s="8" t="n">
        <x:v>0</x:v>
      </x:c>
      <x:c r="K188" s="8" t="n">
        <x:v>158.843</x:v>
      </x:c>
      <x:c r="L188" s="8" t="n">
        <x:v>0</x:v>
      </x:c>
      <x:c r="M188" s="8" t="n">
        <x:v>154.795</x:v>
      </x:c>
      <x:c r="N188" s="8" t="n">
        <x:v>0</x:v>
      </x:c>
      <x:c r="O188" s="8" t="n">
        <x:v>154.795</x:v>
      </x:c>
      <x:c r="P188" s="8" t="n">
        <x:v>0</x:v>
      </x:c>
      <x:c r="Q188" s="8" t="n">
        <x:v>103.766</x:v>
      </x:c>
      <x:c r="R188" s="8" t="n">
        <x:v>0</x:v>
      </x:c>
      <x:c r="S188" s="8" t="n">
        <x:v>103.766</x:v>
      </x:c>
      <x:c r="T188" s="8" t="n">
        <x:v>0</x:v>
      </x:c>
      <x:c r="U188" s="8" t="n">
        <x:v>125.435</x:v>
      </x:c>
      <x:c r="V188" s="8" t="n">
        <x:v>0</x:v>
      </x:c>
      <x:c r="W188" s="8" t="n">
        <x:v>125.435</x:v>
      </x:c>
      <x:c r="X188" s="8" t="n">
        <x:v>0</x:v>
      </x:c>
      <x:c r="Y188" s="8" t="n">
        <x:v>190.088</x:v>
      </x:c>
      <x:c r="Z188" s="8" t="n">
        <x:v>0</x:v>
      </x:c>
      <x:c r="AA188" s="8" t="n">
        <x:v>190.088</x:v>
      </x:c>
      <x:c r="AB188" s="8" t="n">
        <x:v>0</x:v>
      </x:c>
      <x:c r="AC188" s="8" t="n">
        <x:v>173.712</x:v>
      </x:c>
      <x:c r="AD188" s="8" t="n">
        <x:v>0</x:v>
      </x:c>
      <x:c r="AE188" s="8" t="n">
        <x:v>173.712</x:v>
      </x:c>
      <x:c r="AF188" s="8" t="n">
        <x:v>0</x:v>
      </x:c>
      <x:c r="AG188" s="8" t="n">
        <x:v>178.713</x:v>
      </x:c>
      <x:c r="AH188" s="8"/>
      <x:c r="AI188" s="8"/>
      <x:c r="AJ188" s="8" t="n">
        <x:v>0</x:v>
      </x:c>
      <x:c r="AK188" s="8" t="n">
        <x:v>130.228</x:v>
      </x:c>
      <x:c r="AL188" s="8" t="n">
        <x:v>0</x:v>
      </x:c>
      <x:c r="AM188" s="8" t="n">
        <x:v>130.228</x:v>
      </x:c>
      <x:c r="AN188" s="8" t="n">
        <x:v>0</x:v>
      </x:c>
      <x:c r="AO188" s="8" t="n">
        <x:v>126.351</x:v>
      </x:c>
      <x:c r="AP188" s="8" t="n">
        <x:v>0</x:v>
      </x:c>
      <x:c r="AQ188" s="8" t="n">
        <x:v>126.351</x:v>
      </x:c>
      <x:c r="AR188" s="8" t="n">
        <x:v>0</x:v>
      </x:c>
      <x:c r="AS188" s="8" t="n">
        <x:v>189.448</x:v>
      </x:c>
      <x:c r="AT188" s="8" t="n">
        <x:v>0</x:v>
      </x:c>
      <x:c r="AU188" s="8" t="n">
        <x:v>136.386</x:v>
      </x:c>
      <x:c r="AV188" s="8" t="n">
        <x:v>0</x:v>
      </x:c>
      <x:c r="AW188" s="8" t="n">
        <x:v>165.409</x:v>
      </x:c>
      <x:c r="AX188" s="8" t="n">
        <x:v>0</x:v>
      </x:c>
      <x:c r="AY188" s="8" t="n">
        <x:v>170.306</x:v>
      </x:c>
      <x:c r="AZ188" s="8" t="n">
        <x:v>0</x:v>
      </x:c>
      <x:c r="BA188" s="8" t="n">
        <x:v>170.306</x:v>
      </x:c>
      <x:c r="BB188" s="8" t="str">
        <x:f>LET(m,MIN(IF(D188&gt;0,D188,1E+99),IF(F188&gt;0,F188,1E+99),IF(H188&gt;0,H188,1E+99),IF(J188&gt;0,J188,1E+99),IF(L188&gt;0,L188,1E+99),IF(N188&gt;0,N188,1E+99),IF(P188&gt;0,P188,1E+99),IF(R188&gt;0,R188,1E+99),IF(T188&gt;0,T188,1E+99),IF(V188&gt;0,V188,1E+99),IF(X188&gt;0,X188,1E+99),IF(Z188&gt;0,Z188,1E+99),IF(AB188&gt;0,AB188,1E+99),IF(AD188&gt;0,AD188,1E+99),IF(AF188&gt;0,AF188,1E+99),IF(AH188&gt;0,AH188,1E+99),IF(AJ188&gt;0,AJ188,1E+99),IF(AL188&gt;0,AL188,1E+99),IF(AN188&gt;0,AN188,1E+99),IF(AP188&gt;0,AP188,1E+99),IF(AR188&gt;0,AR188,1E+99),IF(AT188&gt;0,AT188,1E+99),IF(AV188&gt;0,AV188,1E+99),IF(AX188&gt;0,AX188,1E+99),IF(AZ188&gt;0,AZ188,1E+99)),IF(m=1E+99,"",m))</x:f>
      </x:c>
      <x:c r="BC188" s="12" t="str">
        <x:f>IF(BB188="","",INDEX({"v1.4.20","v1.4.20","v1.4.21","v1.4.21","v1.4.23","v1.4.23","v1.4.26","v1.4.26","v1.4.26.1","v1.4.26.1","v1.4.27","v1.4.27","v1.4.29","v1.4.29","v1.4.30","v1.4.30","v1.4.31","v1.4.31","v1.4.33","v1.4.33","v1.4.35","v1.4.35.2","v1.5","v1.5.1","v1.5.1"},MATCH(BB188,CHOOSE({1,2,3,4,5,6,7,8,9,10,11,12,13,14,15,16,17,18,19,20,21,22,23,24,25},D188,F188,H188,J188,L188,N188,P188,R188,T188,V188,X188,Z188,AB188,AD188,AF188,AH188,AJ188,AL188,AN188,AP188,AR188,AT188,AV188,AX188,AZ188),0)))</x:f>
      </x:c>
      <x:c r="BD188" s="14" t="n">
        <x:f>LET(m,MIN(IF(E188&gt;0,E188,1E+99),IF(G188&gt;0,G188,1E+99),IF(I188&gt;0,I188,1E+99),IF(K188&gt;0,K188,1E+99),IF(M188&gt;0,M188,1E+99),IF(O188&gt;0,O188,1E+99),IF(Q188&gt;0,Q188,1E+99),IF(S188&gt;0,S188,1E+99),IF(U188&gt;0,U188,1E+99),IF(W188&gt;0,W188,1E+99),IF(Y188&gt;0,Y188,1E+99),IF(AA188&gt;0,AA188,1E+99),IF(AC188&gt;0,AC188,1E+99),IF(AE188&gt;0,AE188,1E+99),IF(AG188&gt;0,AG188,1E+99),IF(AI188&gt;0,AI188,1E+99),IF(AK188&gt;0,AK188,1E+99),IF(AM188&gt;0,AM188,1E+99),IF(AO188&gt;0,AO188,1E+99),IF(AQ188&gt;0,AQ188,1E+99),IF(AS188&gt;0,AS188,1E+99),IF(AU188&gt;0,AU188,1E+99),IF(AW188&gt;0,AW188,1E+99),IF(AY188&gt;0,AY188,1E+99),IF(BA188&gt;0,BA188,1E+99)),IF(m=1E+99,"",m))</x:f>
        <x:v>103.766</x:v>
      </x:c>
      <x:c r="BE188" s="16" t="e">
        <x:f>IF(BD188="","",INDEX({"v1.4.20","v1.4.20","v1.4.21","v1.4.21","v1.4.23","v1.4.23","v1.4.26","v1.4.26","v1.4.26.1","v1.4.26.1","v1.4.27","v1.4.27","v1.4.29","v1.4.29","v1.4.30","v1.4.30","v1.4.31","v1.4.31","v1.4.33","v1.4.33","v1.4.35","v1.4.35.2","v1.5","v1.5.1","v1.5.1"},MATCH(BD188,CHOOSE({1,2,3,4,5,6,7,8,9,10,11,12,13,14,15,16,17,18,19,20,21,22,23,24,25},E188,G188,I188,K188,M188,O188,Q188,S188,U188,W188,Y188,AA188,AC188,AE188,AG188,AI188,AK188,AM188,AO188,AQ188,AS188,AU188,AW188,AY188,BA188),0)))</x:f>
      </x:c>
      <x:c r="BF188" s="10" t="str">
        <x:f>IFERROR((AX188-BB188)/BB188,"")</x:f>
      </x:c>
      <x:c r="BG188" s="10" t="n">
        <x:f>IFERROR((AY188-BD188)/BD188,"")</x:f>
        <x:v>0.641250505946071</x:v>
      </x:c>
    </x:row>
    <x:row r="189">
      <x:c r="A189" t="str">
        <x:v>Master List</x:v>
      </x:c>
      <x:c r="B189" t="str">
        <x:v>Create / Refresh All Templates</x:v>
      </x:c>
      <x:c r="C189" t="str">
        <x:v>Apply row heights: Template - Master List</x:v>
      </x:c>
      <x:c r="D189" s="8" t="n">
        <x:v>0.006</x:v>
      </x:c>
      <x:c r="E189" s="8" t="n">
        <x:v>120.245</x:v>
      </x:c>
      <x:c r="F189" s="8" t="n">
        <x:v>0.006</x:v>
      </x:c>
      <x:c r="G189" s="8" t="n">
        <x:v>120.245</x:v>
      </x:c>
      <x:c r="H189" s="8" t="n">
        <x:v>0.007</x:v>
      </x:c>
      <x:c r="I189" s="8" t="n">
        <x:v>152.67</x:v>
      </x:c>
      <x:c r="J189" s="8" t="n">
        <x:v>0.007</x:v>
      </x:c>
      <x:c r="K189" s="8" t="n">
        <x:v>152.67</x:v>
      </x:c>
      <x:c r="L189" s="8" t="n">
        <x:v>0.011</x:v>
      </x:c>
      <x:c r="M189" s="8" t="n">
        <x:v>148.218</x:v>
      </x:c>
      <x:c r="N189" s="8" t="n">
        <x:v>0.011</x:v>
      </x:c>
      <x:c r="O189" s="8" t="n">
        <x:v>148.218</x:v>
      </x:c>
      <x:c r="P189" s="8" t="n">
        <x:v>0.006</x:v>
      </x:c>
      <x:c r="Q189" s="8" t="n">
        <x:v>99.283</x:v>
      </x:c>
      <x:c r="R189" s="8" t="n">
        <x:v>0.006</x:v>
      </x:c>
      <x:c r="S189" s="8" t="n">
        <x:v>99.283</x:v>
      </x:c>
      <x:c r="T189" s="8" t="n">
        <x:v>0.704</x:v>
      </x:c>
      <x:c r="U189" s="8" t="n">
        <x:v>121.248</x:v>
      </x:c>
      <x:c r="V189" s="8" t="n">
        <x:v>0.704</x:v>
      </x:c>
      <x:c r="W189" s="8" t="n">
        <x:v>121.248</x:v>
      </x:c>
      <x:c r="X189" s="8" t="n">
        <x:v>0.007</x:v>
      </x:c>
      <x:c r="Y189" s="8" t="n">
        <x:v>182.79</x:v>
      </x:c>
      <x:c r="Z189" s="8" t="n">
        <x:v>0.007</x:v>
      </x:c>
      <x:c r="AA189" s="8" t="n">
        <x:v>182.79</x:v>
      </x:c>
      <x:c r="AB189" s="8" t="n">
        <x:v>1.017</x:v>
      </x:c>
      <x:c r="AC189" s="8" t="n">
        <x:v>168.116</x:v>
      </x:c>
      <x:c r="AD189" s="8" t="n">
        <x:v>1.017</x:v>
      </x:c>
      <x:c r="AE189" s="8" t="n">
        <x:v>168.116</x:v>
      </x:c>
      <x:c r="AF189" s="8" t="n">
        <x:v>1.203</x:v>
      </x:c>
      <x:c r="AG189" s="8" t="n">
        <x:v>173.02</x:v>
      </x:c>
      <x:c r="AH189" s="8"/>
      <x:c r="AI189" s="8"/>
      <x:c r="AJ189" s="8" t="n">
        <x:v>1.242</x:v>
      </x:c>
      <x:c r="AK189" s="8" t="n">
        <x:v>125.045</x:v>
      </x:c>
      <x:c r="AL189" s="8" t="n">
        <x:v>1.242</x:v>
      </x:c>
      <x:c r="AM189" s="8" t="n">
        <x:v>125.045</x:v>
      </x:c>
      <x:c r="AN189" s="8" t="n">
        <x:v>0.704</x:v>
      </x:c>
      <x:c r="AO189" s="8" t="n">
        <x:v>121.37</x:v>
      </x:c>
      <x:c r="AP189" s="8" t="n">
        <x:v>0.704</x:v>
      </x:c>
      <x:c r="AQ189" s="8" t="n">
        <x:v>121.37</x:v>
      </x:c>
      <x:c r="AR189" s="8" t="n">
        <x:v>0.015</x:v>
      </x:c>
      <x:c r="AS189" s="8" t="n">
        <x:v>181.314</x:v>
      </x:c>
      <x:c r="AT189" s="8" t="n">
        <x:v>0.013</x:v>
      </x:c>
      <x:c r="AU189" s="8" t="n">
        <x:v>131.815</x:v>
      </x:c>
      <x:c r="AV189" s="8"/>
      <x:c r="AW189" s="8"/>
      <x:c r="AX189" s="8"/>
      <x:c r="AY189" s="8"/>
      <x:c r="AZ189" s="8"/>
      <x:c r="BA189" s="8"/>
      <x:c r="BB189" s="8" t="n">
        <x:f>LET(m,MIN(IF(D189&gt;0,D189,1E+99),IF(F189&gt;0,F189,1E+99),IF(H189&gt;0,H189,1E+99),IF(J189&gt;0,J189,1E+99),IF(L189&gt;0,L189,1E+99),IF(N189&gt;0,N189,1E+99),IF(P189&gt;0,P189,1E+99),IF(R189&gt;0,R189,1E+99),IF(T189&gt;0,T189,1E+99),IF(V189&gt;0,V189,1E+99),IF(X189&gt;0,X189,1E+99),IF(Z189&gt;0,Z189,1E+99),IF(AB189&gt;0,AB189,1E+99),IF(AD189&gt;0,AD189,1E+99),IF(AF189&gt;0,AF189,1E+99),IF(AH189&gt;0,AH189,1E+99),IF(AJ189&gt;0,AJ189,1E+99),IF(AL189&gt;0,AL189,1E+99),IF(AN189&gt;0,AN189,1E+99),IF(AP189&gt;0,AP189,1E+99),IF(AR189&gt;0,AR189,1E+99),IF(AT189&gt;0,AT189,1E+99),IF(AV189&gt;0,AV189,1E+99),IF(AX189&gt;0,AX189,1E+99),IF(AZ189&gt;0,AZ189,1E+99)),IF(m=1E+99,"",m))</x:f>
        <x:v>0.006</x:v>
      </x:c>
      <x:c r="BC189" s="12" t="str">
        <x:f>IF(BB189="","",INDEX({"v1.4.20","v1.4.20","v1.4.21","v1.4.21","v1.4.23","v1.4.23","v1.4.26","v1.4.26","v1.4.26.1","v1.4.26.1","v1.4.27","v1.4.27","v1.4.29","v1.4.29","v1.4.30","v1.4.30","v1.4.31","v1.4.31","v1.4.33","v1.4.33","v1.4.35","v1.4.35.2","v1.5","v1.5.1","v1.5.1"},MATCH(BB189,CHOOSE({1,2,3,4,5,6,7,8,9,10,11,12,13,14,15,16,17,18,19,20,21,22,23,24,25},D189,F189,H189,J189,L189,N189,P189,R189,T189,V189,X189,Z189,AB189,AD189,AF189,AH189,AJ189,AL189,AN189,AP189,AR189,AT189,AV189,AX189,AZ189),0)))</x:f>
        <x:v>v1.4.20</x:v>
      </x:c>
      <x:c r="BD189" s="14" t="n">
        <x:f>LET(m,MIN(IF(E189&gt;0,E189,1E+99),IF(G189&gt;0,G189,1E+99),IF(I189&gt;0,I189,1E+99),IF(K189&gt;0,K189,1E+99),IF(M189&gt;0,M189,1E+99),IF(O189&gt;0,O189,1E+99),IF(Q189&gt;0,Q189,1E+99),IF(S189&gt;0,S189,1E+99),IF(U189&gt;0,U189,1E+99),IF(W189&gt;0,W189,1E+99),IF(Y189&gt;0,Y189,1E+99),IF(AA189&gt;0,AA189,1E+99),IF(AC189&gt;0,AC189,1E+99),IF(AE189&gt;0,AE189,1E+99),IF(AG189&gt;0,AG189,1E+99),IF(AI189&gt;0,AI189,1E+99),IF(AK189&gt;0,AK189,1E+99),IF(AM189&gt;0,AM189,1E+99),IF(AO189&gt;0,AO189,1E+99),IF(AQ189&gt;0,AQ189,1E+99),IF(AS189&gt;0,AS189,1E+99),IF(AU189&gt;0,AU189,1E+99),IF(AW189&gt;0,AW189,1E+99),IF(AY189&gt;0,AY189,1E+99),IF(BA189&gt;0,BA189,1E+99)),IF(m=1E+99,"",m))</x:f>
        <x:v>99.283</x:v>
      </x:c>
      <x:c r="BE189" s="16" t="e">
        <x:f>IF(BD189="","",INDEX({"v1.4.20","v1.4.20","v1.4.21","v1.4.21","v1.4.23","v1.4.23","v1.4.26","v1.4.26","v1.4.26.1","v1.4.26.1","v1.4.27","v1.4.27","v1.4.29","v1.4.29","v1.4.30","v1.4.30","v1.4.31","v1.4.31","v1.4.33","v1.4.33","v1.4.35","v1.4.35.2","v1.5","v1.5.1","v1.5.1"},MATCH(BD189,CHOOSE({1,2,3,4,5,6,7,8,9,10,11,12,13,14,15,16,17,18,19,20,21,22,23,24,25},E189,G189,I189,K189,M189,O189,Q189,S189,U189,W189,Y189,AA189,AC189,AE189,AG189,AI189,AK189,AM189,AO189,AQ189,AS189,AU189,AW189,AY189,BA189),0)))</x:f>
      </x:c>
      <x:c r="BF189" s="10" t="n">
        <x:f>IFERROR((AX189-BB189)/BB189,"")</x:f>
        <x:v>-1</x:v>
      </x:c>
      <x:c r="BG189" s="10" t="n">
        <x:f>IFERROR((AY189-BD189)/BD189,"")</x:f>
        <x:v>-1</x:v>
      </x:c>
    </x:row>
    <x:row r="190">
      <x:c r="A190" t="str">
        <x:v>Master List</x:v>
      </x:c>
      <x:c r="B190" t="str">
        <x:v>Create / Refresh All Templates</x:v>
      </x:c>
      <x:c r="C190" t="str">
        <x:v>Clear sheet/formats for full build: Template - Master List</x:v>
      </x:c>
      <x:c r="D190" s="8" t="n">
        <x:v>9.613</x:v>
      </x:c>
      <x:c r="E190" s="8" t="n">
        <x:v>111.814</x:v>
      </x:c>
      <x:c r="F190" s="8" t="n">
        <x:v>9.613</x:v>
      </x:c>
      <x:c r="G190" s="8" t="n">
        <x:v>111.814</x:v>
      </x:c>
      <x:c r="H190" s="8" t="n">
        <x:v>11.263</x:v>
      </x:c>
      <x:c r="I190" s="8" t="n">
        <x:v>141.836</x:v>
      </x:c>
      <x:c r="J190" s="8"/>
      <x:c r="K190" s="8"/>
      <x:c r="L190" s="8" t="n">
        <x:v>11.445</x:v>
      </x:c>
      <x:c r="M190" s="8" t="n">
        <x:v>138.041</x:v>
      </x:c>
      <x:c r="N190" s="8" t="n">
        <x:v>11.445</x:v>
      </x:c>
      <x:c r="O190" s="8" t="n">
        <x:v>138.041</x:v>
      </x:c>
      <x:c r="P190" s="8" t="n">
        <x:v>12.271</x:v>
      </x:c>
      <x:c r="Q190" s="8" t="n">
        <x:v>91.489</x:v>
      </x:c>
      <x:c r="R190" s="8" t="n">
        <x:v>12.271</x:v>
      </x:c>
      <x:c r="S190" s="8" t="n">
        <x:v>91.489</x:v>
      </x:c>
      <x:c r="T190" s="8"/>
      <x:c r="U190" s="8"/>
      <x:c r="V190" s="8"/>
      <x:c r="W190" s="8"/>
      <x:c r="X190" s="8" t="n">
        <x:v>13.476</x:v>
      </x:c>
      <x:c r="Y190" s="8" t="n">
        <x:v>172.489</x:v>
      </x:c>
      <x:c r="Z190" s="8" t="n">
        <x:v>13.476</x:v>
      </x:c>
      <x:c r="AA190" s="8" t="n">
        <x:v>172.489</x:v>
      </x:c>
      <x:c r="AB190" s="8"/>
      <x:c r="AC190" s="8"/>
      <x:c r="AD190" s="8"/>
      <x:c r="AE190" s="8"/>
      <x:c r="AF190" s="8"/>
      <x:c r="AG190" s="8"/>
      <x:c r="AH190" s="8"/>
      <x:c r="AI190" s="8"/>
      <x:c r="AJ190" s="8"/>
      <x:c r="AK190" s="8"/>
      <x:c r="AL190" s="8"/>
      <x:c r="AM190" s="8"/>
      <x:c r="AN190" s="8"/>
      <x:c r="AO190" s="8"/>
      <x:c r="AP190" s="8"/>
      <x:c r="AQ190" s="8"/>
      <x:c r="AR190" s="8" t="n">
        <x:v>14.183</x:v>
      </x:c>
      <x:c r="AS190" s="8" t="n">
        <x:v>170.58</x:v>
      </x:c>
      <x:c r="AT190" s="8" t="n">
        <x:v>10.315</x:v>
      </x:c>
      <x:c r="AU190" s="8" t="n">
        <x:v>125.117</x:v>
      </x:c>
      <x:c r="AV190" s="8"/>
      <x:c r="AW190" s="8"/>
      <x:c r="AX190" s="8"/>
      <x:c r="AY190" s="8"/>
      <x:c r="AZ190" s="8"/>
      <x:c r="BA190" s="8"/>
      <x:c r="BB190" s="8" t="n">
        <x:f>LET(m,MIN(IF(D190&gt;0,D190,1E+99),IF(F190&gt;0,F190,1E+99),IF(H190&gt;0,H190,1E+99),IF(J190&gt;0,J190,1E+99),IF(L190&gt;0,L190,1E+99),IF(N190&gt;0,N190,1E+99),IF(P190&gt;0,P190,1E+99),IF(R190&gt;0,R190,1E+99),IF(T190&gt;0,T190,1E+99),IF(V190&gt;0,V190,1E+99),IF(X190&gt;0,X190,1E+99),IF(Z190&gt;0,Z190,1E+99),IF(AB190&gt;0,AB190,1E+99),IF(AD190&gt;0,AD190,1E+99),IF(AF190&gt;0,AF190,1E+99),IF(AH190&gt;0,AH190,1E+99),IF(AJ190&gt;0,AJ190,1E+99),IF(AL190&gt;0,AL190,1E+99),IF(AN190&gt;0,AN190,1E+99),IF(AP190&gt;0,AP190,1E+99),IF(AR190&gt;0,AR190,1E+99),IF(AT190&gt;0,AT190,1E+99),IF(AV190&gt;0,AV190,1E+99),IF(AX190&gt;0,AX190,1E+99),IF(AZ190&gt;0,AZ190,1E+99)),IF(m=1E+99,"",m))</x:f>
        <x:v>9.613</x:v>
      </x:c>
      <x:c r="BC190" s="12" t="str">
        <x:f>IF(BB190="","",INDEX({"v1.4.20","v1.4.20","v1.4.21","v1.4.21","v1.4.23","v1.4.23","v1.4.26","v1.4.26","v1.4.26.1","v1.4.26.1","v1.4.27","v1.4.27","v1.4.29","v1.4.29","v1.4.30","v1.4.30","v1.4.31","v1.4.31","v1.4.33","v1.4.33","v1.4.35","v1.4.35.2","v1.5","v1.5.1","v1.5.1"},MATCH(BB190,CHOOSE({1,2,3,4,5,6,7,8,9,10,11,12,13,14,15,16,17,18,19,20,21,22,23,24,25},D190,F190,H190,J190,L190,N190,P190,R190,T190,V190,X190,Z190,AB190,AD190,AF190,AH190,AJ190,AL190,AN190,AP190,AR190,AT190,AV190,AX190,AZ190),0)))</x:f>
        <x:v>v1.4.20</x:v>
      </x:c>
      <x:c r="BD190" s="14" t="n">
        <x:f>LET(m,MIN(IF(E190&gt;0,E190,1E+99),IF(G190&gt;0,G190,1E+99),IF(I190&gt;0,I190,1E+99),IF(K190&gt;0,K190,1E+99),IF(M190&gt;0,M190,1E+99),IF(O190&gt;0,O190,1E+99),IF(Q190&gt;0,Q190,1E+99),IF(S190&gt;0,S190,1E+99),IF(U190&gt;0,U190,1E+99),IF(W190&gt;0,W190,1E+99),IF(Y190&gt;0,Y190,1E+99),IF(AA190&gt;0,AA190,1E+99),IF(AC190&gt;0,AC190,1E+99),IF(AE190&gt;0,AE190,1E+99),IF(AG190&gt;0,AG190,1E+99),IF(AI190&gt;0,AI190,1E+99),IF(AK190&gt;0,AK190,1E+99),IF(AM190&gt;0,AM190,1E+99),IF(AO190&gt;0,AO190,1E+99),IF(AQ190&gt;0,AQ190,1E+99),IF(AS190&gt;0,AS190,1E+99),IF(AU190&gt;0,AU190,1E+99),IF(AW190&gt;0,AW190,1E+99),IF(AY190&gt;0,AY190,1E+99),IF(BA190&gt;0,BA190,1E+99)),IF(m=1E+99,"",m))</x:f>
        <x:v>91.489</x:v>
      </x:c>
      <x:c r="BE190" s="16" t="e">
        <x:f>IF(BD190="","",INDEX({"v1.4.20","v1.4.20","v1.4.21","v1.4.21","v1.4.23","v1.4.23","v1.4.26","v1.4.26","v1.4.26.1","v1.4.26.1","v1.4.27","v1.4.27","v1.4.29","v1.4.29","v1.4.30","v1.4.30","v1.4.31","v1.4.31","v1.4.33","v1.4.33","v1.4.35","v1.4.35.2","v1.5","v1.5.1","v1.5.1"},MATCH(BD190,CHOOSE({1,2,3,4,5,6,7,8,9,10,11,12,13,14,15,16,17,18,19,20,21,22,23,24,25},E190,G190,I190,K190,M190,O190,Q190,S190,U190,W190,Y190,AA190,AC190,AE190,AG190,AI190,AK190,AM190,AO190,AQ190,AS190,AU190,AW190,AY190,BA190),0)))</x:f>
      </x:c>
      <x:c r="BF190" s="10" t="n">
        <x:f>IFERROR((AX190-BB190)/BB190,"")</x:f>
        <x:v>-1</x:v>
      </x:c>
      <x:c r="BG190" s="10" t="n">
        <x:f>IFERROR((AY190-BD190)/BD190,"")</x:f>
        <x:v>-1</x:v>
      </x:c>
    </x:row>
    <x:row r="191">
      <x:c r="A191" t="str">
        <x:v>Master List</x:v>
      </x:c>
      <x:c r="B191" t="str">
        <x:v>Create / Refresh All Templates</x:v>
      </x:c>
      <x:c r="C191" t="str">
        <x:v>Resize columns: Template - Master List (66 cols)</x:v>
      </x:c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 t="n">
        <x:v>0.139</x:v>
      </x:c>
      <x:c r="U191" s="8" t="n">
        <x:v>114.228</x:v>
      </x:c>
      <x:c r="V191" s="8" t="n">
        <x:v>0.139</x:v>
      </x:c>
      <x:c r="W191" s="8" t="n">
        <x:v>114.228</x:v>
      </x:c>
      <x:c r="X191" s="8"/>
      <x:c r="Y191" s="8"/>
      <x:c r="Z191" s="8"/>
      <x:c r="AA191" s="8"/>
      <x:c r="AB191" s="8"/>
      <x:c r="AC191" s="8"/>
      <x:c r="AD191" s="8"/>
      <x:c r="AE191" s="8"/>
      <x:c r="AF191" s="8" t="n">
        <x:v>0.833</x:v>
      </x:c>
      <x:c r="AG191" s="8" t="n">
        <x:v>164.313</x:v>
      </x:c>
      <x:c r="AH191" s="8"/>
      <x:c r="AI191" s="8"/>
      <x:c r="AJ191" s="8" t="n">
        <x:v>0.752</x:v>
      </x:c>
      <x:c r="AK191" s="8" t="n">
        <x:v>115.866</x:v>
      </x:c>
      <x:c r="AL191" s="8" t="n">
        <x:v>0.752</x:v>
      </x:c>
      <x:c r="AM191" s="8" t="n">
        <x:v>115.866</x:v>
      </x:c>
      <x:c r="AN191" s="8" t="n">
        <x:v>0.154</x:v>
      </x:c>
      <x:c r="AO191" s="8" t="n">
        <x:v>115.004</x:v>
      </x:c>
      <x:c r="AP191" s="8" t="n">
        <x:v>0.154</x:v>
      </x:c>
      <x:c r="AQ191" s="8" t="n">
        <x:v>115.004</x:v>
      </x:c>
      <x:c r="AR191" s="8"/>
      <x:c r="AS191" s="8"/>
      <x:c r="AT191" s="8"/>
      <x:c r="AU191" s="8"/>
      <x:c r="AV191" s="8"/>
      <x:c r="AW191" s="8"/>
      <x:c r="AX191" s="8"/>
      <x:c r="AY191" s="8"/>
      <x:c r="AZ191" s="8"/>
      <x:c r="BA191" s="8"/>
      <x:c r="BB191" s="8" t="n">
        <x:f>LET(m,MIN(IF(D191&gt;0,D191,1E+99),IF(F191&gt;0,F191,1E+99),IF(H191&gt;0,H191,1E+99),IF(J191&gt;0,J191,1E+99),IF(L191&gt;0,L191,1E+99),IF(N191&gt;0,N191,1E+99),IF(P191&gt;0,P191,1E+99),IF(R191&gt;0,R191,1E+99),IF(T191&gt;0,T191,1E+99),IF(V191&gt;0,V191,1E+99),IF(X191&gt;0,X191,1E+99),IF(Z191&gt;0,Z191,1E+99),IF(AB191&gt;0,AB191,1E+99),IF(AD191&gt;0,AD191,1E+99),IF(AF191&gt;0,AF191,1E+99),IF(AH191&gt;0,AH191,1E+99),IF(AJ191&gt;0,AJ191,1E+99),IF(AL191&gt;0,AL191,1E+99),IF(AN191&gt;0,AN191,1E+99),IF(AP191&gt;0,AP191,1E+99),IF(AR191&gt;0,AR191,1E+99),IF(AT191&gt;0,AT191,1E+99),IF(AV191&gt;0,AV191,1E+99),IF(AX191&gt;0,AX191,1E+99),IF(AZ191&gt;0,AZ191,1E+99)),IF(m=1E+99,"",m))</x:f>
        <x:v>0.139</x:v>
      </x:c>
      <x:c r="BC191" s="12" t="e">
        <x:f>IF(BB191="","",INDEX({"v1.4.20","v1.4.20","v1.4.21","v1.4.21","v1.4.23","v1.4.23","v1.4.26","v1.4.26","v1.4.26.1","v1.4.26.1","v1.4.27","v1.4.27","v1.4.29","v1.4.29","v1.4.30","v1.4.30","v1.4.31","v1.4.31","v1.4.33","v1.4.33","v1.4.35","v1.4.35.2","v1.5","v1.5.1","v1.5.1"},MATCH(BB191,CHOOSE({1,2,3,4,5,6,7,8,9,10,11,12,13,14,15,16,17,18,19,20,21,22,23,24,25},D191,F191,H191,J191,L191,N191,P191,R191,T191,V191,X191,Z191,AB191,AD191,AF191,AH191,AJ191,AL191,AN191,AP191,AR191,AT191,AV191,AX191,AZ191),0)))</x:f>
      </x:c>
      <x:c r="BD191" s="14" t="n">
        <x:f>LET(m,MIN(IF(E191&gt;0,E191,1E+99),IF(G191&gt;0,G191,1E+99),IF(I191&gt;0,I191,1E+99),IF(K191&gt;0,K191,1E+99),IF(M191&gt;0,M191,1E+99),IF(O191&gt;0,O191,1E+99),IF(Q191&gt;0,Q191,1E+99),IF(S191&gt;0,S191,1E+99),IF(U191&gt;0,U191,1E+99),IF(W191&gt;0,W191,1E+99),IF(Y191&gt;0,Y191,1E+99),IF(AA191&gt;0,AA191,1E+99),IF(AC191&gt;0,AC191,1E+99),IF(AE191&gt;0,AE191,1E+99),IF(AG191&gt;0,AG191,1E+99),IF(AI191&gt;0,AI191,1E+99),IF(AK191&gt;0,AK191,1E+99),IF(AM191&gt;0,AM191,1E+99),IF(AO191&gt;0,AO191,1E+99),IF(AQ191&gt;0,AQ191,1E+99),IF(AS191&gt;0,AS191,1E+99),IF(AU191&gt;0,AU191,1E+99),IF(AW191&gt;0,AW191,1E+99),IF(AY191&gt;0,AY191,1E+99),IF(BA191&gt;0,BA191,1E+99)),IF(m=1E+99,"",m))</x:f>
        <x:v>114.228</x:v>
      </x:c>
      <x:c r="BE191" s="16" t="e">
        <x:f>IF(BD191="","",INDEX({"v1.4.20","v1.4.20","v1.4.21","v1.4.21","v1.4.23","v1.4.23","v1.4.26","v1.4.26","v1.4.26.1","v1.4.26.1","v1.4.27","v1.4.27","v1.4.29","v1.4.29","v1.4.30","v1.4.30","v1.4.31","v1.4.31","v1.4.33","v1.4.33","v1.4.35","v1.4.35.2","v1.5","v1.5.1","v1.5.1"},MATCH(BD191,CHOOSE({1,2,3,4,5,6,7,8,9,10,11,12,13,14,15,16,17,18,19,20,21,22,23,24,25},E191,G191,I191,K191,M191,O191,Q191,S191,U191,W191,Y191,AA191,AC191,AE191,AG191,AI191,AK191,AM191,AO191,AQ191,AS191,AU191,AW191,AY191,BA191),0)))</x:f>
      </x:c>
      <x:c r="BF191" s="10" t="n">
        <x:f>IFERROR((AX191-BB191)/BB191,"")</x:f>
        <x:v>-1</x:v>
      </x:c>
      <x:c r="BG191" s="10" t="n">
        <x:f>IFERROR((AY191-BD191)/BD191,"")</x:f>
        <x:v>-1</x:v>
      </x:c>
    </x:row>
    <x:row r="192">
      <x:c r="A192" t="str">
        <x:v>Master List</x:v>
      </x:c>
      <x:c r="B192" t="str">
        <x:v>Create / Refresh All Templates</x:v>
      </x:c>
      <x:c r="C192" t="str">
        <x:v>Resize rows: Template - Master List (500 rows)</x:v>
      </x:c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 t="n">
        <x:v>7.554</x:v>
      </x:c>
      <x:c r="U192" s="8" t="n">
        <x:v>114.089</x:v>
      </x:c>
      <x:c r="V192" s="8" t="n">
        <x:v>7.554</x:v>
      </x:c>
      <x:c r="W192" s="8" t="n">
        <x:v>114.089</x:v>
      </x:c>
      <x:c r="X192" s="8"/>
      <x:c r="Y192" s="8"/>
      <x:c r="Z192" s="8"/>
      <x:c r="AA192" s="8"/>
      <x:c r="AB192" s="8"/>
      <x:c r="AC192" s="8"/>
      <x:c r="AD192" s="8"/>
      <x:c r="AE192" s="8"/>
      <x:c r="AF192" s="8" t="n">
        <x:v>13.564</x:v>
      </x:c>
      <x:c r="AG192" s="8" t="n">
        <x:v>163.48</x:v>
      </x:c>
      <x:c r="AH192" s="8"/>
      <x:c r="AI192" s="8"/>
      <x:c r="AJ192" s="8" t="n">
        <x:v>13.784</x:v>
      </x:c>
      <x:c r="AK192" s="8" t="n">
        <x:v>115.114</x:v>
      </x:c>
      <x:c r="AL192" s="8" t="n">
        <x:v>13.784</x:v>
      </x:c>
      <x:c r="AM192" s="8" t="n">
        <x:v>115.114</x:v>
      </x:c>
      <x:c r="AN192" s="8" t="n">
        <x:v>8.615</x:v>
      </x:c>
      <x:c r="AO192" s="8" t="n">
        <x:v>114.85</x:v>
      </x:c>
      <x:c r="AP192" s="8" t="n">
        <x:v>8.615</x:v>
      </x:c>
      <x:c r="AQ192" s="8" t="n">
        <x:v>114.85</x:v>
      </x:c>
      <x:c r="AR192" s="8"/>
      <x:c r="AS192" s="8"/>
      <x:c r="AT192" s="8"/>
      <x:c r="AU192" s="8"/>
      <x:c r="AV192" s="8"/>
      <x:c r="AW192" s="8"/>
      <x:c r="AX192" s="8"/>
      <x:c r="AY192" s="8"/>
      <x:c r="AZ192" s="8"/>
      <x:c r="BA192" s="8"/>
      <x:c r="BB192" s="8" t="n">
        <x:f>LET(m,MIN(IF(D192&gt;0,D192,1E+99),IF(F192&gt;0,F192,1E+99),IF(H192&gt;0,H192,1E+99),IF(J192&gt;0,J192,1E+99),IF(L192&gt;0,L192,1E+99),IF(N192&gt;0,N192,1E+99),IF(P192&gt;0,P192,1E+99),IF(R192&gt;0,R192,1E+99),IF(T192&gt;0,T192,1E+99),IF(V192&gt;0,V192,1E+99),IF(X192&gt;0,X192,1E+99),IF(Z192&gt;0,Z192,1E+99),IF(AB192&gt;0,AB192,1E+99),IF(AD192&gt;0,AD192,1E+99),IF(AF192&gt;0,AF192,1E+99),IF(AH192&gt;0,AH192,1E+99),IF(AJ192&gt;0,AJ192,1E+99),IF(AL192&gt;0,AL192,1E+99),IF(AN192&gt;0,AN192,1E+99),IF(AP192&gt;0,AP192,1E+99),IF(AR192&gt;0,AR192,1E+99),IF(AT192&gt;0,AT192,1E+99),IF(AV192&gt;0,AV192,1E+99),IF(AX192&gt;0,AX192,1E+99),IF(AZ192&gt;0,AZ192,1E+99)),IF(m=1E+99,"",m))</x:f>
        <x:v>7.554</x:v>
      </x:c>
      <x:c r="BC192" s="12" t="e">
        <x:f>IF(BB192="","",INDEX({"v1.4.20","v1.4.20","v1.4.21","v1.4.21","v1.4.23","v1.4.23","v1.4.26","v1.4.26","v1.4.26.1","v1.4.26.1","v1.4.27","v1.4.27","v1.4.29","v1.4.29","v1.4.30","v1.4.30","v1.4.31","v1.4.31","v1.4.33","v1.4.33","v1.4.35","v1.4.35.2","v1.5","v1.5.1","v1.5.1"},MATCH(BB192,CHOOSE({1,2,3,4,5,6,7,8,9,10,11,12,13,14,15,16,17,18,19,20,21,22,23,24,25},D192,F192,H192,J192,L192,N192,P192,R192,T192,V192,X192,Z192,AB192,AD192,AF192,AH192,AJ192,AL192,AN192,AP192,AR192,AT192,AV192,AX192,AZ192),0)))</x:f>
      </x:c>
      <x:c r="BD192" s="14" t="n">
        <x:f>LET(m,MIN(IF(E192&gt;0,E192,1E+99),IF(G192&gt;0,G192,1E+99),IF(I192&gt;0,I192,1E+99),IF(K192&gt;0,K192,1E+99),IF(M192&gt;0,M192,1E+99),IF(O192&gt;0,O192,1E+99),IF(Q192&gt;0,Q192,1E+99),IF(S192&gt;0,S192,1E+99),IF(U192&gt;0,U192,1E+99),IF(W192&gt;0,W192,1E+99),IF(Y192&gt;0,Y192,1E+99),IF(AA192&gt;0,AA192,1E+99),IF(AC192&gt;0,AC192,1E+99),IF(AE192&gt;0,AE192,1E+99),IF(AG192&gt;0,AG192,1E+99),IF(AI192&gt;0,AI192,1E+99),IF(AK192&gt;0,AK192,1E+99),IF(AM192&gt;0,AM192,1E+99),IF(AO192&gt;0,AO192,1E+99),IF(AQ192&gt;0,AQ192,1E+99),IF(AS192&gt;0,AS192,1E+99),IF(AU192&gt;0,AU192,1E+99),IF(AW192&gt;0,AW192,1E+99),IF(AY192&gt;0,AY192,1E+99),IF(BA192&gt;0,BA192,1E+99)),IF(m=1E+99,"",m))</x:f>
        <x:v>114.089</x:v>
      </x:c>
      <x:c r="BE192" s="16" t="e">
        <x:f>IF(BD192="","",INDEX({"v1.4.20","v1.4.20","v1.4.21","v1.4.21","v1.4.23","v1.4.23","v1.4.26","v1.4.26","v1.4.26.1","v1.4.26.1","v1.4.27","v1.4.27","v1.4.29","v1.4.29","v1.4.30","v1.4.30","v1.4.31","v1.4.31","v1.4.33","v1.4.33","v1.4.35","v1.4.35.2","v1.5","v1.5.1","v1.5.1"},MATCH(BD192,CHOOSE({1,2,3,4,5,6,7,8,9,10,11,12,13,14,15,16,17,18,19,20,21,22,23,24,25},E192,G192,I192,K192,M192,O192,Q192,S192,U192,W192,Y192,AA192,AC192,AE192,AG192,AI192,AK192,AM192,AO192,AQ192,AS192,AU192,AW192,AY192,BA192),0)))</x:f>
      </x:c>
      <x:c r="BF192" s="10" t="n">
        <x:f>IFERROR((AX192-BB192)/BB192,"")</x:f>
        <x:v>-1</x:v>
      </x:c>
      <x:c r="BG192" s="10" t="n">
        <x:f>IFERROR((AY192-BD192)/BD192,"")</x:f>
        <x:v>-1</x:v>
      </x:c>
    </x:row>
    <x:row r="193">
      <x:c r="A193" t="str">
        <x:v>Master List</x:v>
      </x:c>
      <x:c r="B193" t="str">
        <x:v>Create / Refresh All Templates</x:v>
      </x:c>
      <x:c r="C193" t="str">
        <x:v>Resize sheet: Template - Master List (500 rows x 104 cols)</x:v>
      </x:c>
      <x:c r="D193" s="8" t="n">
        <x:v>1.195</x:v>
      </x:c>
      <x:c r="E193" s="8" t="n">
        <x:v>113.009</x:v>
      </x:c>
      <x:c r="F193" s="8" t="n">
        <x:v>1.195</x:v>
      </x:c>
      <x:c r="G193" s="8" t="n">
        <x:v>113.009</x:v>
      </x:c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  <x:c r="AA193" s="8"/>
      <x:c r="AB193" s="8"/>
      <x:c r="AC193" s="8"/>
      <x:c r="AD193" s="8"/>
      <x:c r="AE193" s="8"/>
      <x:c r="AF193" s="8"/>
      <x:c r="AG193" s="8"/>
      <x:c r="AH193" s="8"/>
      <x:c r="AI193" s="8"/>
      <x:c r="AJ193" s="8"/>
      <x:c r="AK193" s="8"/>
      <x:c r="AL193" s="8"/>
      <x:c r="AM193" s="8"/>
      <x:c r="AN193" s="8"/>
      <x:c r="AO193" s="8"/>
      <x:c r="AP193" s="8"/>
      <x:c r="AQ193" s="8"/>
      <x:c r="AR193" s="8"/>
      <x:c r="AS193" s="8"/>
      <x:c r="AT193" s="8"/>
      <x:c r="AU193" s="8"/>
      <x:c r="AV193" s="8"/>
      <x:c r="AW193" s="8"/>
      <x:c r="AX193" s="8"/>
      <x:c r="AY193" s="8"/>
      <x:c r="AZ193" s="8"/>
      <x:c r="BA193" s="8"/>
      <x:c r="BB193" s="8" t="n">
        <x:f>LET(m,MIN(IF(D193&gt;0,D193,1E+99),IF(F193&gt;0,F193,1E+99),IF(H193&gt;0,H193,1E+99),IF(J193&gt;0,J193,1E+99),IF(L193&gt;0,L193,1E+99),IF(N193&gt;0,N193,1E+99),IF(P193&gt;0,P193,1E+99),IF(R193&gt;0,R193,1E+99),IF(T193&gt;0,T193,1E+99),IF(V193&gt;0,V193,1E+99),IF(X193&gt;0,X193,1E+99),IF(Z193&gt;0,Z193,1E+99),IF(AB193&gt;0,AB193,1E+99),IF(AD193&gt;0,AD193,1E+99),IF(AF193&gt;0,AF193,1E+99),IF(AH193&gt;0,AH193,1E+99),IF(AJ193&gt;0,AJ193,1E+99),IF(AL193&gt;0,AL193,1E+99),IF(AN193&gt;0,AN193,1E+99),IF(AP193&gt;0,AP193,1E+99),IF(AR193&gt;0,AR193,1E+99),IF(AT193&gt;0,AT193,1E+99),IF(AV193&gt;0,AV193,1E+99),IF(AX193&gt;0,AX193,1E+99),IF(AZ193&gt;0,AZ193,1E+99)),IF(m=1E+99,"",m))</x:f>
        <x:v>1.195</x:v>
      </x:c>
      <x:c r="BC193" s="12" t="str">
        <x:f>IF(BB193="","",INDEX({"v1.4.20","v1.4.20","v1.4.21","v1.4.21","v1.4.23","v1.4.23","v1.4.26","v1.4.26","v1.4.26.1","v1.4.26.1","v1.4.27","v1.4.27","v1.4.29","v1.4.29","v1.4.30","v1.4.30","v1.4.31","v1.4.31","v1.4.33","v1.4.33","v1.4.35","v1.4.35.2","v1.5","v1.5.1","v1.5.1"},MATCH(BB193,CHOOSE({1,2,3,4,5,6,7,8,9,10,11,12,13,14,15,16,17,18,19,20,21,22,23,24,25},D193,F193,H193,J193,L193,N193,P193,R193,T193,V193,X193,Z193,AB193,AD193,AF193,AH193,AJ193,AL193,AN193,AP193,AR193,AT193,AV193,AX193,AZ193),0)))</x:f>
        <x:v>v1.4.20</x:v>
      </x:c>
      <x:c r="BD193" s="14" t="n">
        <x:f>LET(m,MIN(IF(E193&gt;0,E193,1E+99),IF(G193&gt;0,G193,1E+99),IF(I193&gt;0,I193,1E+99),IF(K193&gt;0,K193,1E+99),IF(M193&gt;0,M193,1E+99),IF(O193&gt;0,O193,1E+99),IF(Q193&gt;0,Q193,1E+99),IF(S193&gt;0,S193,1E+99),IF(U193&gt;0,U193,1E+99),IF(W193&gt;0,W193,1E+99),IF(Y193&gt;0,Y193,1E+99),IF(AA193&gt;0,AA193,1E+99),IF(AC193&gt;0,AC193,1E+99),IF(AE193&gt;0,AE193,1E+99),IF(AG193&gt;0,AG193,1E+99),IF(AI193&gt;0,AI193,1E+99),IF(AK193&gt;0,AK193,1E+99),IF(AM193&gt;0,AM193,1E+99),IF(AO193&gt;0,AO193,1E+99),IF(AQ193&gt;0,AQ193,1E+99),IF(AS193&gt;0,AS193,1E+99),IF(AU193&gt;0,AU193,1E+99),IF(AW193&gt;0,AW193,1E+99),IF(AY193&gt;0,AY193,1E+99),IF(BA193&gt;0,BA193,1E+99)),IF(m=1E+99,"",m))</x:f>
        <x:v>113.009</x:v>
      </x:c>
      <x:c r="BE193" s="16" t="str">
        <x:f>IF(BD193="","",INDEX({"v1.4.20","v1.4.20","v1.4.21","v1.4.21","v1.4.23","v1.4.23","v1.4.26","v1.4.26","v1.4.26.1","v1.4.26.1","v1.4.27","v1.4.27","v1.4.29","v1.4.29","v1.4.30","v1.4.30","v1.4.31","v1.4.31","v1.4.33","v1.4.33","v1.4.35","v1.4.35.2","v1.5","v1.5.1","v1.5.1"},MATCH(BD193,CHOOSE({1,2,3,4,5,6,7,8,9,10,11,12,13,14,15,16,17,18,19,20,21,22,23,24,25},E193,G193,I193,K193,M193,O193,Q193,S193,U193,W193,Y193,AA193,AC193,AE193,AG193,AI193,AK193,AM193,AO193,AQ193,AS193,AU193,AW193,AY193,BA193),0)))</x:f>
        <x:v>v1.4.20</x:v>
      </x:c>
      <x:c r="BF193" s="10" t="n">
        <x:f>IFERROR((AX193-BB193)/BB193,"")</x:f>
        <x:v>-1</x:v>
      </x:c>
      <x:c r="BG193" s="10" t="n">
        <x:f>IFERROR((AY193-BD193)/BD193,"")</x:f>
        <x:v>-1</x:v>
      </x:c>
    </x:row>
    <x:row r="194">
      <x:c r="A194" t="str">
        <x:v>Master List</x:v>
      </x:c>
      <x:c r="B194" t="str">
        <x:v>Create / Refresh All Templates</x:v>
      </x:c>
      <x:c r="C194" t="str">
        <x:v>Resize sheet: Template - Master List (500 rows x 107 cols)</x:v>
      </x:c>
      <x:c r="D194" s="8"/>
      <x:c r="E194" s="8"/>
      <x:c r="F194" s="8"/>
      <x:c r="G194" s="8"/>
      <x:c r="H194" s="8" t="n">
        <x:v>4.176</x:v>
      </x:c>
      <x:c r="I194" s="8" t="n">
        <x:v>146.012</x:v>
      </x:c>
      <x:c r="J194" s="8"/>
      <x:c r="K194" s="8"/>
      <x:c r="L194" s="8" t="n">
        <x:v>1.576</x:v>
      </x:c>
      <x:c r="M194" s="8" t="n">
        <x:v>139.617</x:v>
      </x:c>
      <x:c r="N194" s="8" t="n">
        <x:v>1.576</x:v>
      </x:c>
      <x:c r="O194" s="8" t="n">
        <x:v>139.617</x:v>
      </x:c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  <x:c r="AA194" s="8"/>
      <x:c r="AB194" s="8"/>
      <x:c r="AC194" s="8"/>
      <x:c r="AD194" s="8"/>
      <x:c r="AE194" s="8"/>
      <x:c r="AF194" s="8"/>
      <x:c r="AG194" s="8"/>
      <x:c r="AH194" s="8"/>
      <x:c r="AI194" s="8"/>
      <x:c r="AJ194" s="8"/>
      <x:c r="AK194" s="8"/>
      <x:c r="AL194" s="8"/>
      <x:c r="AM194" s="8"/>
      <x:c r="AN194" s="8"/>
      <x:c r="AO194" s="8"/>
      <x:c r="AP194" s="8"/>
      <x:c r="AQ194" s="8"/>
      <x:c r="AR194" s="8"/>
      <x:c r="AS194" s="8"/>
      <x:c r="AT194" s="8"/>
      <x:c r="AU194" s="8"/>
      <x:c r="AV194" s="8"/>
      <x:c r="AW194" s="8"/>
      <x:c r="AX194" s="8"/>
      <x:c r="AY194" s="8"/>
      <x:c r="AZ194" s="8"/>
      <x:c r="BA194" s="8"/>
      <x:c r="BB194" s="8" t="n">
        <x:f>LET(m,MIN(IF(D194&gt;0,D194,1E+99),IF(F194&gt;0,F194,1E+99),IF(H194&gt;0,H194,1E+99),IF(J194&gt;0,J194,1E+99),IF(L194&gt;0,L194,1E+99),IF(N194&gt;0,N194,1E+99),IF(P194&gt;0,P194,1E+99),IF(R194&gt;0,R194,1E+99),IF(T194&gt;0,T194,1E+99),IF(V194&gt;0,V194,1E+99),IF(X194&gt;0,X194,1E+99),IF(Z194&gt;0,Z194,1E+99),IF(AB194&gt;0,AB194,1E+99),IF(AD194&gt;0,AD194,1E+99),IF(AF194&gt;0,AF194,1E+99),IF(AH194&gt;0,AH194,1E+99),IF(AJ194&gt;0,AJ194,1E+99),IF(AL194&gt;0,AL194,1E+99),IF(AN194&gt;0,AN194,1E+99),IF(AP194&gt;0,AP194,1E+99),IF(AR194&gt;0,AR194,1E+99),IF(AT194&gt;0,AT194,1E+99),IF(AV194&gt;0,AV194,1E+99),IF(AX194&gt;0,AX194,1E+99),IF(AZ194&gt;0,AZ194,1E+99)),IF(m=1E+99,"",m))</x:f>
        <x:v>1.576</x:v>
      </x:c>
      <x:c r="BC194" s="12" t="e">
        <x:f>IF(BB194="","",INDEX({"v1.4.20","v1.4.20","v1.4.21","v1.4.21","v1.4.23","v1.4.23","v1.4.26","v1.4.26","v1.4.26.1","v1.4.26.1","v1.4.27","v1.4.27","v1.4.29","v1.4.29","v1.4.30","v1.4.30","v1.4.31","v1.4.31","v1.4.33","v1.4.33","v1.4.35","v1.4.35.2","v1.5","v1.5.1","v1.5.1"},MATCH(BB194,CHOOSE({1,2,3,4,5,6,7,8,9,10,11,12,13,14,15,16,17,18,19,20,21,22,23,24,25},D194,F194,H194,J194,L194,N194,P194,R194,T194,V194,X194,Z194,AB194,AD194,AF194,AH194,AJ194,AL194,AN194,AP194,AR194,AT194,AV194,AX194,AZ194),0)))</x:f>
      </x:c>
      <x:c r="BD194" s="14" t="n">
        <x:f>LET(m,MIN(IF(E194&gt;0,E194,1E+99),IF(G194&gt;0,G194,1E+99),IF(I194&gt;0,I194,1E+99),IF(K194&gt;0,K194,1E+99),IF(M194&gt;0,M194,1E+99),IF(O194&gt;0,O194,1E+99),IF(Q194&gt;0,Q194,1E+99),IF(S194&gt;0,S194,1E+99),IF(U194&gt;0,U194,1E+99),IF(W194&gt;0,W194,1E+99),IF(Y194&gt;0,Y194,1E+99),IF(AA194&gt;0,AA194,1E+99),IF(AC194&gt;0,AC194,1E+99),IF(AE194&gt;0,AE194,1E+99),IF(AG194&gt;0,AG194,1E+99),IF(AI194&gt;0,AI194,1E+99),IF(AK194&gt;0,AK194,1E+99),IF(AM194&gt;0,AM194,1E+99),IF(AO194&gt;0,AO194,1E+99),IF(AQ194&gt;0,AQ194,1E+99),IF(AS194&gt;0,AS194,1E+99),IF(AU194&gt;0,AU194,1E+99),IF(AW194&gt;0,AW194,1E+99),IF(AY194&gt;0,AY194,1E+99),IF(BA194&gt;0,BA194,1E+99)),IF(m=1E+99,"",m))</x:f>
        <x:v>139.617</x:v>
      </x:c>
      <x:c r="BE194" s="16" t="e">
        <x:f>IF(BD194="","",INDEX({"v1.4.20","v1.4.20","v1.4.21","v1.4.21","v1.4.23","v1.4.23","v1.4.26","v1.4.26","v1.4.26.1","v1.4.26.1","v1.4.27","v1.4.27","v1.4.29","v1.4.29","v1.4.30","v1.4.30","v1.4.31","v1.4.31","v1.4.33","v1.4.33","v1.4.35","v1.4.35.2","v1.5","v1.5.1","v1.5.1"},MATCH(BD194,CHOOSE({1,2,3,4,5,6,7,8,9,10,11,12,13,14,15,16,17,18,19,20,21,22,23,24,25},E194,G194,I194,K194,M194,O194,Q194,S194,U194,W194,Y194,AA194,AC194,AE194,AG194,AI194,AK194,AM194,AO194,AQ194,AS194,AU194,AW194,AY194,BA194),0)))</x:f>
      </x:c>
      <x:c r="BF194" s="10" t="n">
        <x:f>IFERROR((AX194-BB194)/BB194,"")</x:f>
        <x:v>-1</x:v>
      </x:c>
      <x:c r="BG194" s="10" t="n">
        <x:f>IFERROR((AY194-BD194)/BD194,"")</x:f>
        <x:v>-1</x:v>
      </x:c>
    </x:row>
    <x:row r="195">
      <x:c r="A195" t="str">
        <x:v>Monthly Change</x:v>
      </x:c>
      <x:c r="B195" t="str">
        <x:v>Create / Refresh All Templates</x:v>
      </x:c>
      <x:c r="C195" t="str">
        <x:v>Open/create sheet: Template - Monthly Change</x:v>
      </x:c>
      <x:c r="D195" s="8" t="n">
        <x:v>2.61</x:v>
      </x:c>
      <x:c r="E195" s="8" t="n">
        <x:v>128.086</x:v>
      </x:c>
      <x:c r="F195" s="8" t="n">
        <x:v>2.61</x:v>
      </x:c>
      <x:c r="G195" s="8" t="n">
        <x:v>128.086</x:v>
      </x:c>
      <x:c r="H195" s="8" t="n">
        <x:v>2.998</x:v>
      </x:c>
      <x:c r="I195" s="8" t="n">
        <x:v>161.841</x:v>
      </x:c>
      <x:c r="J195" s="8" t="n">
        <x:v>2.998</x:v>
      </x:c>
      <x:c r="K195" s="8" t="n">
        <x:v>161.841</x:v>
      </x:c>
      <x:c r="L195" s="8" t="n">
        <x:v>2.876</x:v>
      </x:c>
      <x:c r="M195" s="8" t="n">
        <x:v>157.671</x:v>
      </x:c>
      <x:c r="N195" s="8" t="n">
        <x:v>2.876</x:v>
      </x:c>
      <x:c r="O195" s="8" t="n">
        <x:v>157.671</x:v>
      </x:c>
      <x:c r="P195" s="8" t="n">
        <x:v>1.723</x:v>
      </x:c>
      <x:c r="Q195" s="8" t="n">
        <x:v>105.489</x:v>
      </x:c>
      <x:c r="R195" s="8" t="n">
        <x:v>1.723</x:v>
      </x:c>
      <x:c r="S195" s="8" t="n">
        <x:v>105.489</x:v>
      </x:c>
      <x:c r="T195" s="8" t="n">
        <x:v>1.933</x:v>
      </x:c>
      <x:c r="U195" s="8" t="n">
        <x:v>127.368</x:v>
      </x:c>
      <x:c r="V195" s="8" t="n">
        <x:v>1.933</x:v>
      </x:c>
      <x:c r="W195" s="8" t="n">
        <x:v>127.368</x:v>
      </x:c>
      <x:c r="X195" s="8" t="n">
        <x:v>3.899</x:v>
      </x:c>
      <x:c r="Y195" s="8" t="n">
        <x:v>193.987</x:v>
      </x:c>
      <x:c r="Z195" s="8" t="n">
        <x:v>3.899</x:v>
      </x:c>
      <x:c r="AA195" s="8" t="n">
        <x:v>193.987</x:v>
      </x:c>
      <x:c r="AB195" s="8" t="n">
        <x:v>3.411</x:v>
      </x:c>
      <x:c r="AC195" s="8" t="n">
        <x:v>177.123</x:v>
      </x:c>
      <x:c r="AD195" s="8" t="n">
        <x:v>3.411</x:v>
      </x:c>
      <x:c r="AE195" s="8" t="n">
        <x:v>177.123</x:v>
      </x:c>
      <x:c r="AF195" s="8" t="n">
        <x:v>3.498</x:v>
      </x:c>
      <x:c r="AG195" s="8" t="n">
        <x:v>182.211</x:v>
      </x:c>
      <x:c r="AH195" s="8"/>
      <x:c r="AI195" s="8"/>
      <x:c r="AJ195" s="8" t="n">
        <x:v>3.05</x:v>
      </x:c>
      <x:c r="AK195" s="8" t="n">
        <x:v>133.278</x:v>
      </x:c>
      <x:c r="AL195" s="8" t="n">
        <x:v>3.05</x:v>
      </x:c>
      <x:c r="AM195" s="8" t="n">
        <x:v>133.278</x:v>
      </x:c>
      <x:c r="AN195" s="8" t="n">
        <x:v>2.137</x:v>
      </x:c>
      <x:c r="AO195" s="8" t="n">
        <x:v>128.488</x:v>
      </x:c>
      <x:c r="AP195" s="8" t="n">
        <x:v>2.137</x:v>
      </x:c>
      <x:c r="AQ195" s="8" t="n">
        <x:v>128.488</x:v>
      </x:c>
      <x:c r="AR195" s="8" t="n">
        <x:v>3.557</x:v>
      </x:c>
      <x:c r="AS195" s="8" t="n">
        <x:v>193.005</x:v>
      </x:c>
      <x:c r="AT195" s="8" t="n">
        <x:v>2.319</x:v>
      </x:c>
      <x:c r="AU195" s="8" t="n">
        <x:v>138.705</x:v>
      </x:c>
      <x:c r="AV195" s="8" t="n">
        <x:v>3.252</x:v>
      </x:c>
      <x:c r="AW195" s="8" t="n">
        <x:v>168.661</x:v>
      </x:c>
      <x:c r="AX195" s="8" t="n">
        <x:v>2.976</x:v>
      </x:c>
      <x:c r="AY195" s="8" t="n">
        <x:v>173.282</x:v>
      </x:c>
      <x:c r="AZ195" s="8" t="n">
        <x:v>2.976</x:v>
      </x:c>
      <x:c r="BA195" s="8" t="n">
        <x:v>173.282</x:v>
      </x:c>
      <x:c r="BB195" s="8" t="n">
        <x:f>LET(m,MIN(IF(D195&gt;0,D195,1E+99),IF(F195&gt;0,F195,1E+99),IF(H195&gt;0,H195,1E+99),IF(J195&gt;0,J195,1E+99),IF(L195&gt;0,L195,1E+99),IF(N195&gt;0,N195,1E+99),IF(P195&gt;0,P195,1E+99),IF(R195&gt;0,R195,1E+99),IF(T195&gt;0,T195,1E+99),IF(V195&gt;0,V195,1E+99),IF(X195&gt;0,X195,1E+99),IF(Z195&gt;0,Z195,1E+99),IF(AB195&gt;0,AB195,1E+99),IF(AD195&gt;0,AD195,1E+99),IF(AF195&gt;0,AF195,1E+99),IF(AH195&gt;0,AH195,1E+99),IF(AJ195&gt;0,AJ195,1E+99),IF(AL195&gt;0,AL195,1E+99),IF(AN195&gt;0,AN195,1E+99),IF(AP195&gt;0,AP195,1E+99),IF(AR195&gt;0,AR195,1E+99),IF(AT195&gt;0,AT195,1E+99),IF(AV195&gt;0,AV195,1E+99),IF(AX195&gt;0,AX195,1E+99),IF(AZ195&gt;0,AZ195,1E+99)),IF(m=1E+99,"",m))</x:f>
        <x:v>1.723</x:v>
      </x:c>
      <x:c r="BC195" s="12" t="e">
        <x:f>IF(BB195="","",INDEX({"v1.4.20","v1.4.20","v1.4.21","v1.4.21","v1.4.23","v1.4.23","v1.4.26","v1.4.26","v1.4.26.1","v1.4.26.1","v1.4.27","v1.4.27","v1.4.29","v1.4.29","v1.4.30","v1.4.30","v1.4.31","v1.4.31","v1.4.33","v1.4.33","v1.4.35","v1.4.35.2","v1.5","v1.5.1","v1.5.1"},MATCH(BB195,CHOOSE({1,2,3,4,5,6,7,8,9,10,11,12,13,14,15,16,17,18,19,20,21,22,23,24,25},D195,F195,H195,J195,L195,N195,P195,R195,T195,V195,X195,Z195,AB195,AD195,AF195,AH195,AJ195,AL195,AN195,AP195,AR195,AT195,AV195,AX195,AZ195),0)))</x:f>
      </x:c>
      <x:c r="BD195" s="14" t="n">
        <x:f>LET(m,MIN(IF(E195&gt;0,E195,1E+99),IF(G195&gt;0,G195,1E+99),IF(I195&gt;0,I195,1E+99),IF(K195&gt;0,K195,1E+99),IF(M195&gt;0,M195,1E+99),IF(O195&gt;0,O195,1E+99),IF(Q195&gt;0,Q195,1E+99),IF(S195&gt;0,S195,1E+99),IF(U195&gt;0,U195,1E+99),IF(W195&gt;0,W195,1E+99),IF(Y195&gt;0,Y195,1E+99),IF(AA195&gt;0,AA195,1E+99),IF(AC195&gt;0,AC195,1E+99),IF(AE195&gt;0,AE195,1E+99),IF(AG195&gt;0,AG195,1E+99),IF(AI195&gt;0,AI195,1E+99),IF(AK195&gt;0,AK195,1E+99),IF(AM195&gt;0,AM195,1E+99),IF(AO195&gt;0,AO195,1E+99),IF(AQ195&gt;0,AQ195,1E+99),IF(AS195&gt;0,AS195,1E+99),IF(AU195&gt;0,AU195,1E+99),IF(AW195&gt;0,AW195,1E+99),IF(AY195&gt;0,AY195,1E+99),IF(BA195&gt;0,BA195,1E+99)),IF(m=1E+99,"",m))</x:f>
        <x:v>105.489</x:v>
      </x:c>
      <x:c r="BE195" s="16" t="e">
        <x:f>IF(BD195="","",INDEX({"v1.4.20","v1.4.20","v1.4.21","v1.4.21","v1.4.23","v1.4.23","v1.4.26","v1.4.26","v1.4.26.1","v1.4.26.1","v1.4.27","v1.4.27","v1.4.29","v1.4.29","v1.4.30","v1.4.30","v1.4.31","v1.4.31","v1.4.33","v1.4.33","v1.4.35","v1.4.35.2","v1.5","v1.5.1","v1.5.1"},MATCH(BD195,CHOOSE({1,2,3,4,5,6,7,8,9,10,11,12,13,14,15,16,17,18,19,20,21,22,23,24,25},E195,G195,I195,K195,M195,O195,Q195,S195,U195,W195,Y195,AA195,AC195,AE195,AG195,AI195,AK195,AM195,AO195,AQ195,AS195,AU195,AW195,AY195,BA195),0)))</x:f>
      </x:c>
      <x:c r="BF195" s="10" t="n">
        <x:f>IFERROR((AX195-BB195)/BB195,"")</x:f>
        <x:v>0.7272199651770167</x:v>
      </x:c>
      <x:c r="BG195" s="10" t="n">
        <x:f>IFERROR((AY195-BD195)/BD195,"")</x:f>
        <x:v>0.6426546843746742</x:v>
      </x:c>
    </x:row>
    <x:row r="196">
      <x:c r="A196" t="str">
        <x:v>Monthly Change</x:v>
      </x:c>
      <x:c r="B196" t="str">
        <x:v>Create / Refresh All Templates</x:v>
      </x:c>
      <x:c r="C196" t="str">
        <x:v>Template signature mismatch - full build required: Template - Monthly Change</x:v>
      </x:c>
      <x:c r="D196" s="8" t="n">
        <x:v>0.03</x:v>
      </x:c>
      <x:c r="E196" s="8" t="n">
        <x:v>128.116</x:v>
      </x:c>
      <x:c r="F196" s="8" t="n">
        <x:v>0.03</x:v>
      </x:c>
      <x:c r="G196" s="8" t="n">
        <x:v>128.116</x:v>
      </x:c>
      <x:c r="H196" s="8" t="n">
        <x:v>0.026</x:v>
      </x:c>
      <x:c r="I196" s="8" t="n">
        <x:v>161.867</x:v>
      </x:c>
      <x:c r="J196" s="8" t="n">
        <x:v>0.026</x:v>
      </x:c>
      <x:c r="K196" s="8" t="n">
        <x:v>161.867</x:v>
      </x:c>
      <x:c r="L196" s="8" t="n">
        <x:v>0.047</x:v>
      </x:c>
      <x:c r="M196" s="8" t="n">
        <x:v>157.718</x:v>
      </x:c>
      <x:c r="N196" s="8" t="n">
        <x:v>0.047</x:v>
      </x:c>
      <x:c r="O196" s="8" t="n">
        <x:v>157.718</x:v>
      </x:c>
      <x:c r="P196" s="8" t="n">
        <x:v>0.028</x:v>
      </x:c>
      <x:c r="Q196" s="8" t="n">
        <x:v>105.517</x:v>
      </x:c>
      <x:c r="R196" s="8" t="n">
        <x:v>0.028</x:v>
      </x:c>
      <x:c r="S196" s="8" t="n">
        <x:v>105.517</x:v>
      </x:c>
      <x:c r="T196" s="8" t="n">
        <x:v>0.051</x:v>
      </x:c>
      <x:c r="U196" s="8" t="n">
        <x:v>127.419</x:v>
      </x:c>
      <x:c r="V196" s="8" t="n">
        <x:v>0.051</x:v>
      </x:c>
      <x:c r="W196" s="8" t="n">
        <x:v>127.419</x:v>
      </x:c>
      <x:c r="X196" s="8" t="n">
        <x:v>0.036</x:v>
      </x:c>
      <x:c r="Y196" s="8" t="n">
        <x:v>194.023</x:v>
      </x:c>
      <x:c r="Z196" s="8" t="n">
        <x:v>0.036</x:v>
      </x:c>
      <x:c r="AA196" s="8" t="n">
        <x:v>194.023</x:v>
      </x:c>
      <x:c r="AB196" s="8" t="n">
        <x:v>0.039</x:v>
      </x:c>
      <x:c r="AC196" s="8" t="n">
        <x:v>177.162</x:v>
      </x:c>
      <x:c r="AD196" s="8" t="n">
        <x:v>0.039</x:v>
      </x:c>
      <x:c r="AE196" s="8" t="n">
        <x:v>177.162</x:v>
      </x:c>
      <x:c r="AF196" s="8" t="n">
        <x:v>0.027</x:v>
      </x:c>
      <x:c r="AG196" s="8" t="n">
        <x:v>182.238</x:v>
      </x:c>
      <x:c r="AH196" s="8"/>
      <x:c r="AI196" s="8"/>
      <x:c r="AJ196" s="8" t="n">
        <x:v>0.039</x:v>
      </x:c>
      <x:c r="AK196" s="8" t="n">
        <x:v>133.317</x:v>
      </x:c>
      <x:c r="AL196" s="8" t="n">
        <x:v>0.039</x:v>
      </x:c>
      <x:c r="AM196" s="8" t="n">
        <x:v>133.317</x:v>
      </x:c>
      <x:c r="AN196" s="8" t="n">
        <x:v>0.034</x:v>
      </x:c>
      <x:c r="AO196" s="8" t="n">
        <x:v>128.522</x:v>
      </x:c>
      <x:c r="AP196" s="8" t="n">
        <x:v>0.034</x:v>
      </x:c>
      <x:c r="AQ196" s="8" t="n">
        <x:v>128.522</x:v>
      </x:c>
      <x:c r="AR196" s="8" t="n">
        <x:v>0.052</x:v>
      </x:c>
      <x:c r="AS196" s="8" t="n">
        <x:v>193.057</x:v>
      </x:c>
      <x:c r="AT196" s="8" t="n">
        <x:v>0.022</x:v>
      </x:c>
      <x:c r="AU196" s="8" t="n">
        <x:v>138.727</x:v>
      </x:c>
      <x:c r="AV196" s="8" t="n">
        <x:v>0.04</x:v>
      </x:c>
      <x:c r="AW196" s="8" t="n">
        <x:v>168.701</x:v>
      </x:c>
      <x:c r="AX196" s="8" t="n">
        <x:v>0.039</x:v>
      </x:c>
      <x:c r="AY196" s="8" t="n">
        <x:v>173.321</x:v>
      </x:c>
      <x:c r="AZ196" s="8" t="n">
        <x:v>0.039</x:v>
      </x:c>
      <x:c r="BA196" s="8" t="n">
        <x:v>173.321</x:v>
      </x:c>
      <x:c r="BB196" s="8" t="n">
        <x:f>LET(m,MIN(IF(D196&gt;0,D196,1E+99),IF(F196&gt;0,F196,1E+99),IF(H196&gt;0,H196,1E+99),IF(J196&gt;0,J196,1E+99),IF(L196&gt;0,L196,1E+99),IF(N196&gt;0,N196,1E+99),IF(P196&gt;0,P196,1E+99),IF(R196&gt;0,R196,1E+99),IF(T196&gt;0,T196,1E+99),IF(V196&gt;0,V196,1E+99),IF(X196&gt;0,X196,1E+99),IF(Z196&gt;0,Z196,1E+99),IF(AB196&gt;0,AB196,1E+99),IF(AD196&gt;0,AD196,1E+99),IF(AF196&gt;0,AF196,1E+99),IF(AH196&gt;0,AH196,1E+99),IF(AJ196&gt;0,AJ196,1E+99),IF(AL196&gt;0,AL196,1E+99),IF(AN196&gt;0,AN196,1E+99),IF(AP196&gt;0,AP196,1E+99),IF(AR196&gt;0,AR196,1E+99),IF(AT196&gt;0,AT196,1E+99),IF(AV196&gt;0,AV196,1E+99),IF(AX196&gt;0,AX196,1E+99),IF(AZ196&gt;0,AZ196,1E+99)),IF(m=1E+99,"",m))</x:f>
        <x:v>0.022</x:v>
      </x:c>
      <x:c r="BC196" s="12" t="e">
        <x:f>IF(BB196="","",INDEX({"v1.4.20","v1.4.20","v1.4.21","v1.4.21","v1.4.23","v1.4.23","v1.4.26","v1.4.26","v1.4.26.1","v1.4.26.1","v1.4.27","v1.4.27","v1.4.29","v1.4.29","v1.4.30","v1.4.30","v1.4.31","v1.4.31","v1.4.33","v1.4.33","v1.4.35","v1.4.35.2","v1.5","v1.5.1","v1.5.1"},MATCH(BB196,CHOOSE({1,2,3,4,5,6,7,8,9,10,11,12,13,14,15,16,17,18,19,20,21,22,23,24,25},D196,F196,H196,J196,L196,N196,P196,R196,T196,V196,X196,Z196,AB196,AD196,AF196,AH196,AJ196,AL196,AN196,AP196,AR196,AT196,AV196,AX196,AZ196),0)))</x:f>
      </x:c>
      <x:c r="BD196" s="14" t="n">
        <x:f>LET(m,MIN(IF(E196&gt;0,E196,1E+99),IF(G196&gt;0,G196,1E+99),IF(I196&gt;0,I196,1E+99),IF(K196&gt;0,K196,1E+99),IF(M196&gt;0,M196,1E+99),IF(O196&gt;0,O196,1E+99),IF(Q196&gt;0,Q196,1E+99),IF(S196&gt;0,S196,1E+99),IF(U196&gt;0,U196,1E+99),IF(W196&gt;0,W196,1E+99),IF(Y196&gt;0,Y196,1E+99),IF(AA196&gt;0,AA196,1E+99),IF(AC196&gt;0,AC196,1E+99),IF(AE196&gt;0,AE196,1E+99),IF(AG196&gt;0,AG196,1E+99),IF(AI196&gt;0,AI196,1E+99),IF(AK196&gt;0,AK196,1E+99),IF(AM196&gt;0,AM196,1E+99),IF(AO196&gt;0,AO196,1E+99),IF(AQ196&gt;0,AQ196,1E+99),IF(AS196&gt;0,AS196,1E+99),IF(AU196&gt;0,AU196,1E+99),IF(AW196&gt;0,AW196,1E+99),IF(AY196&gt;0,AY196,1E+99),IF(BA196&gt;0,BA196,1E+99)),IF(m=1E+99,"",m))</x:f>
        <x:v>105.517</x:v>
      </x:c>
      <x:c r="BE196" s="16" t="e">
        <x:f>IF(BD196="","",INDEX({"v1.4.20","v1.4.20","v1.4.21","v1.4.21","v1.4.23","v1.4.23","v1.4.26","v1.4.26","v1.4.26.1","v1.4.26.1","v1.4.27","v1.4.27","v1.4.29","v1.4.29","v1.4.30","v1.4.30","v1.4.31","v1.4.31","v1.4.33","v1.4.33","v1.4.35","v1.4.35.2","v1.5","v1.5.1","v1.5.1"},MATCH(BD196,CHOOSE({1,2,3,4,5,6,7,8,9,10,11,12,13,14,15,16,17,18,19,20,21,22,23,24,25},E196,G196,I196,K196,M196,O196,Q196,S196,U196,W196,Y196,AA196,AC196,AE196,AG196,AI196,AK196,AM196,AO196,AQ196,AS196,AU196,AW196,AY196,BA196),0)))</x:f>
      </x:c>
      <x:c r="BF196" s="10" t="n">
        <x:f>IFERROR((AX196-BB196)/BB196,"")</x:f>
        <x:v>0.7727272727272728</x:v>
      </x:c>
      <x:c r="BG196" s="10" t="n">
        <x:f>IFERROR((AY196-BD196)/BD196,"")</x:f>
        <x:v>0.6425883980780349</x:v>
      </x:c>
    </x:row>
    <x:row r="197">
      <x:c r="A197" t="str">
        <x:v>Monthly Change</x:v>
      </x:c>
      <x:c r="B197" t="str">
        <x:v>Create / Refresh All Templates</x:v>
      </x:c>
      <x:c r="C197" t="str">
        <x:v>Template refresh decision: FULL_BUILD - Template - Monthly Change (template sheet did not exist; no stored signature)</x:v>
      </x:c>
      <x:c r="D197" s="8" t="n">
        <x:v>0</x:v>
      </x:c>
      <x:c r="E197" s="8" t="n">
        <x:v>128.116</x:v>
      </x:c>
      <x:c r="F197" s="8" t="n">
        <x:v>0</x:v>
      </x:c>
      <x:c r="G197" s="8" t="n">
        <x:v>128.116</x:v>
      </x:c>
      <x:c r="H197" s="8" t="n">
        <x:v>0</x:v>
      </x:c>
      <x:c r="I197" s="8" t="n">
        <x:v>161.867</x:v>
      </x:c>
      <x:c r="J197" s="8" t="n">
        <x:v>0</x:v>
      </x:c>
      <x:c r="K197" s="8" t="n">
        <x:v>161.867</x:v>
      </x:c>
      <x:c r="L197" s="8" t="n">
        <x:v>0</x:v>
      </x:c>
      <x:c r="M197" s="8" t="n">
        <x:v>157.718</x:v>
      </x:c>
      <x:c r="N197" s="8" t="n">
        <x:v>0</x:v>
      </x:c>
      <x:c r="O197" s="8" t="n">
        <x:v>157.718</x:v>
      </x:c>
      <x:c r="P197" s="8" t="n">
        <x:v>0</x:v>
      </x:c>
      <x:c r="Q197" s="8" t="n">
        <x:v>105.517</x:v>
      </x:c>
      <x:c r="R197" s="8" t="n">
        <x:v>0</x:v>
      </x:c>
      <x:c r="S197" s="8" t="n">
        <x:v>105.517</x:v>
      </x:c>
      <x:c r="T197" s="8" t="n">
        <x:v>0</x:v>
      </x:c>
      <x:c r="U197" s="8" t="n">
        <x:v>127.419</x:v>
      </x:c>
      <x:c r="V197" s="8" t="n">
        <x:v>0</x:v>
      </x:c>
      <x:c r="W197" s="8" t="n">
        <x:v>127.419</x:v>
      </x:c>
      <x:c r="X197" s="8" t="n">
        <x:v>0</x:v>
      </x:c>
      <x:c r="Y197" s="8" t="n">
        <x:v>194.023</x:v>
      </x:c>
      <x:c r="Z197" s="8" t="n">
        <x:v>0</x:v>
      </x:c>
      <x:c r="AA197" s="8" t="n">
        <x:v>194.023</x:v>
      </x:c>
      <x:c r="AB197" s="8" t="n">
        <x:v>0</x:v>
      </x:c>
      <x:c r="AC197" s="8" t="n">
        <x:v>177.162</x:v>
      </x:c>
      <x:c r="AD197" s="8" t="n">
        <x:v>0</x:v>
      </x:c>
      <x:c r="AE197" s="8" t="n">
        <x:v>177.162</x:v>
      </x:c>
      <x:c r="AF197" s="8" t="n">
        <x:v>0</x:v>
      </x:c>
      <x:c r="AG197" s="8" t="n">
        <x:v>182.238</x:v>
      </x:c>
      <x:c r="AH197" s="8"/>
      <x:c r="AI197" s="8"/>
      <x:c r="AJ197" s="8" t="n">
        <x:v>0</x:v>
      </x:c>
      <x:c r="AK197" s="8" t="n">
        <x:v>133.317</x:v>
      </x:c>
      <x:c r="AL197" s="8" t="n">
        <x:v>0</x:v>
      </x:c>
      <x:c r="AM197" s="8" t="n">
        <x:v>133.317</x:v>
      </x:c>
      <x:c r="AN197" s="8" t="n">
        <x:v>0</x:v>
      </x:c>
      <x:c r="AO197" s="8" t="n">
        <x:v>128.522</x:v>
      </x:c>
      <x:c r="AP197" s="8" t="n">
        <x:v>0</x:v>
      </x:c>
      <x:c r="AQ197" s="8" t="n">
        <x:v>128.522</x:v>
      </x:c>
      <x:c r="AR197" s="8" t="n">
        <x:v>0</x:v>
      </x:c>
      <x:c r="AS197" s="8" t="n">
        <x:v>193.057</x:v>
      </x:c>
      <x:c r="AT197" s="8" t="n">
        <x:v>0</x:v>
      </x:c>
      <x:c r="AU197" s="8" t="n">
        <x:v>138.727</x:v>
      </x:c>
      <x:c r="AV197" s="8" t="n">
        <x:v>0</x:v>
      </x:c>
      <x:c r="AW197" s="8" t="n">
        <x:v>168.701</x:v>
      </x:c>
      <x:c r="AX197" s="8" t="n">
        <x:v>0</x:v>
      </x:c>
      <x:c r="AY197" s="8" t="n">
        <x:v>173.321</x:v>
      </x:c>
      <x:c r="AZ197" s="8" t="n">
        <x:v>0</x:v>
      </x:c>
      <x:c r="BA197" s="8" t="n">
        <x:v>173.321</x:v>
      </x:c>
      <x:c r="BB197" s="8" t="str">
        <x:f>LET(m,MIN(IF(D197&gt;0,D197,1E+99),IF(F197&gt;0,F197,1E+99),IF(H197&gt;0,H197,1E+99),IF(J197&gt;0,J197,1E+99),IF(L197&gt;0,L197,1E+99),IF(N197&gt;0,N197,1E+99),IF(P197&gt;0,P197,1E+99),IF(R197&gt;0,R197,1E+99),IF(T197&gt;0,T197,1E+99),IF(V197&gt;0,V197,1E+99),IF(X197&gt;0,X197,1E+99),IF(Z197&gt;0,Z197,1E+99),IF(AB197&gt;0,AB197,1E+99),IF(AD197&gt;0,AD197,1E+99),IF(AF197&gt;0,AF197,1E+99),IF(AH197&gt;0,AH197,1E+99),IF(AJ197&gt;0,AJ197,1E+99),IF(AL197&gt;0,AL197,1E+99),IF(AN197&gt;0,AN197,1E+99),IF(AP197&gt;0,AP197,1E+99),IF(AR197&gt;0,AR197,1E+99),IF(AT197&gt;0,AT197,1E+99),IF(AV197&gt;0,AV197,1E+99),IF(AX197&gt;0,AX197,1E+99),IF(AZ197&gt;0,AZ197,1E+99)),IF(m=1E+99,"",m))</x:f>
      </x:c>
      <x:c r="BC197" s="12" t="str">
        <x:f>IF(BB197="","",INDEX({"v1.4.20","v1.4.20","v1.4.21","v1.4.21","v1.4.23","v1.4.23","v1.4.26","v1.4.26","v1.4.26.1","v1.4.26.1","v1.4.27","v1.4.27","v1.4.29","v1.4.29","v1.4.30","v1.4.30","v1.4.31","v1.4.31","v1.4.33","v1.4.33","v1.4.35","v1.4.35.2","v1.5","v1.5.1","v1.5.1"},MATCH(BB197,CHOOSE({1,2,3,4,5,6,7,8,9,10,11,12,13,14,15,16,17,18,19,20,21,22,23,24,25},D197,F197,H197,J197,L197,N197,P197,R197,T197,V197,X197,Z197,AB197,AD197,AF197,AH197,AJ197,AL197,AN197,AP197,AR197,AT197,AV197,AX197,AZ197),0)))</x:f>
      </x:c>
      <x:c r="BD197" s="14" t="n">
        <x:f>LET(m,MIN(IF(E197&gt;0,E197,1E+99),IF(G197&gt;0,G197,1E+99),IF(I197&gt;0,I197,1E+99),IF(K197&gt;0,K197,1E+99),IF(M197&gt;0,M197,1E+99),IF(O197&gt;0,O197,1E+99),IF(Q197&gt;0,Q197,1E+99),IF(S197&gt;0,S197,1E+99),IF(U197&gt;0,U197,1E+99),IF(W197&gt;0,W197,1E+99),IF(Y197&gt;0,Y197,1E+99),IF(AA197&gt;0,AA197,1E+99),IF(AC197&gt;0,AC197,1E+99),IF(AE197&gt;0,AE197,1E+99),IF(AG197&gt;0,AG197,1E+99),IF(AI197&gt;0,AI197,1E+99),IF(AK197&gt;0,AK197,1E+99),IF(AM197&gt;0,AM197,1E+99),IF(AO197&gt;0,AO197,1E+99),IF(AQ197&gt;0,AQ197,1E+99),IF(AS197&gt;0,AS197,1E+99),IF(AU197&gt;0,AU197,1E+99),IF(AW197&gt;0,AW197,1E+99),IF(AY197&gt;0,AY197,1E+99),IF(BA197&gt;0,BA197,1E+99)),IF(m=1E+99,"",m))</x:f>
        <x:v>105.517</x:v>
      </x:c>
      <x:c r="BE197" s="16" t="e">
        <x:f>IF(BD197="","",INDEX({"v1.4.20","v1.4.20","v1.4.21","v1.4.21","v1.4.23","v1.4.23","v1.4.26","v1.4.26","v1.4.26.1","v1.4.26.1","v1.4.27","v1.4.27","v1.4.29","v1.4.29","v1.4.30","v1.4.30","v1.4.31","v1.4.31","v1.4.33","v1.4.33","v1.4.35","v1.4.35.2","v1.5","v1.5.1","v1.5.1"},MATCH(BD197,CHOOSE({1,2,3,4,5,6,7,8,9,10,11,12,13,14,15,16,17,18,19,20,21,22,23,24,25},E197,G197,I197,K197,M197,O197,Q197,S197,U197,W197,Y197,AA197,AC197,AE197,AG197,AI197,AK197,AM197,AO197,AQ197,AS197,AU197,AW197,AY197,BA197),0)))</x:f>
      </x:c>
      <x:c r="BF197" s="10" t="str">
        <x:f>IFERROR((AX197-BB197)/BB197,"")</x:f>
      </x:c>
      <x:c r="BG197" s="10" t="n">
        <x:f>IFERROR((AY197-BD197)/BD197,"")</x:f>
        <x:v>0.6425883980780349</x:v>
      </x:c>
    </x:row>
    <x:row r="198">
      <x:c r="A198" t="str">
        <x:v>Monthly Change</x:v>
      </x:c>
      <x:c r="B198" t="str">
        <x:v>Create / Refresh All Templates</x:v>
      </x:c>
      <x:c r="C198" t="str">
        <x:v>Full template build required: Template - Monthly Change</x:v>
      </x:c>
      <x:c r="D198" s="8" t="n">
        <x:v>0</x:v>
      </x:c>
      <x:c r="E198" s="8" t="n">
        <x:v>128.116</x:v>
      </x:c>
      <x:c r="F198" s="8" t="n">
        <x:v>0</x:v>
      </x:c>
      <x:c r="G198" s="8" t="n">
        <x:v>128.116</x:v>
      </x:c>
      <x:c r="H198" s="8" t="n">
        <x:v>0</x:v>
      </x:c>
      <x:c r="I198" s="8" t="n">
        <x:v>161.867</x:v>
      </x:c>
      <x:c r="J198" s="8" t="n">
        <x:v>0</x:v>
      </x:c>
      <x:c r="K198" s="8" t="n">
        <x:v>161.867</x:v>
      </x:c>
      <x:c r="L198" s="8" t="n">
        <x:v>0</x:v>
      </x:c>
      <x:c r="M198" s="8" t="n">
        <x:v>157.718</x:v>
      </x:c>
      <x:c r="N198" s="8" t="n">
        <x:v>0</x:v>
      </x:c>
      <x:c r="O198" s="8" t="n">
        <x:v>157.718</x:v>
      </x:c>
      <x:c r="P198" s="8" t="n">
        <x:v>0</x:v>
      </x:c>
      <x:c r="Q198" s="8" t="n">
        <x:v>105.517</x:v>
      </x:c>
      <x:c r="R198" s="8" t="n">
        <x:v>0</x:v>
      </x:c>
      <x:c r="S198" s="8" t="n">
        <x:v>105.517</x:v>
      </x:c>
      <x:c r="T198" s="8" t="n">
        <x:v>0</x:v>
      </x:c>
      <x:c r="U198" s="8" t="n">
        <x:v>127.419</x:v>
      </x:c>
      <x:c r="V198" s="8" t="n">
        <x:v>0</x:v>
      </x:c>
      <x:c r="W198" s="8" t="n">
        <x:v>127.419</x:v>
      </x:c>
      <x:c r="X198" s="8" t="n">
        <x:v>0</x:v>
      </x:c>
      <x:c r="Y198" s="8" t="n">
        <x:v>194.023</x:v>
      </x:c>
      <x:c r="Z198" s="8" t="n">
        <x:v>0</x:v>
      </x:c>
      <x:c r="AA198" s="8" t="n">
        <x:v>194.023</x:v>
      </x:c>
      <x:c r="AB198" s="8" t="n">
        <x:v>0</x:v>
      </x:c>
      <x:c r="AC198" s="8" t="n">
        <x:v>177.162</x:v>
      </x:c>
      <x:c r="AD198" s="8" t="n">
        <x:v>0</x:v>
      </x:c>
      <x:c r="AE198" s="8" t="n">
        <x:v>177.162</x:v>
      </x:c>
      <x:c r="AF198" s="8" t="n">
        <x:v>0</x:v>
      </x:c>
      <x:c r="AG198" s="8" t="n">
        <x:v>182.238</x:v>
      </x:c>
      <x:c r="AH198" s="8"/>
      <x:c r="AI198" s="8"/>
      <x:c r="AJ198" s="8" t="n">
        <x:v>0</x:v>
      </x:c>
      <x:c r="AK198" s="8" t="n">
        <x:v>133.317</x:v>
      </x:c>
      <x:c r="AL198" s="8" t="n">
        <x:v>0</x:v>
      </x:c>
      <x:c r="AM198" s="8" t="n">
        <x:v>133.317</x:v>
      </x:c>
      <x:c r="AN198" s="8" t="n">
        <x:v>0</x:v>
      </x:c>
      <x:c r="AO198" s="8" t="n">
        <x:v>128.522</x:v>
      </x:c>
      <x:c r="AP198" s="8" t="n">
        <x:v>0</x:v>
      </x:c>
      <x:c r="AQ198" s="8" t="n">
        <x:v>128.522</x:v>
      </x:c>
      <x:c r="AR198" s="8" t="n">
        <x:v>0</x:v>
      </x:c>
      <x:c r="AS198" s="8" t="n">
        <x:v>193.057</x:v>
      </x:c>
      <x:c r="AT198" s="8" t="n">
        <x:v>0</x:v>
      </x:c>
      <x:c r="AU198" s="8" t="n">
        <x:v>138.727</x:v>
      </x:c>
      <x:c r="AV198" s="8" t="n">
        <x:v>0</x:v>
      </x:c>
      <x:c r="AW198" s="8" t="n">
        <x:v>168.701</x:v>
      </x:c>
      <x:c r="AX198" s="8" t="n">
        <x:v>0</x:v>
      </x:c>
      <x:c r="AY198" s="8" t="n">
        <x:v>173.321</x:v>
      </x:c>
      <x:c r="AZ198" s="8" t="n">
        <x:v>0</x:v>
      </x:c>
      <x:c r="BA198" s="8" t="n">
        <x:v>173.321</x:v>
      </x:c>
      <x:c r="BB198" s="8" t="str">
        <x:f>LET(m,MIN(IF(D198&gt;0,D198,1E+99),IF(F198&gt;0,F198,1E+99),IF(H198&gt;0,H198,1E+99),IF(J198&gt;0,J198,1E+99),IF(L198&gt;0,L198,1E+99),IF(N198&gt;0,N198,1E+99),IF(P198&gt;0,P198,1E+99),IF(R198&gt;0,R198,1E+99),IF(T198&gt;0,T198,1E+99),IF(V198&gt;0,V198,1E+99),IF(X198&gt;0,X198,1E+99),IF(Z198&gt;0,Z198,1E+99),IF(AB198&gt;0,AB198,1E+99),IF(AD198&gt;0,AD198,1E+99),IF(AF198&gt;0,AF198,1E+99),IF(AH198&gt;0,AH198,1E+99),IF(AJ198&gt;0,AJ198,1E+99),IF(AL198&gt;0,AL198,1E+99),IF(AN198&gt;0,AN198,1E+99),IF(AP198&gt;0,AP198,1E+99),IF(AR198&gt;0,AR198,1E+99),IF(AT198&gt;0,AT198,1E+99),IF(AV198&gt;0,AV198,1E+99),IF(AX198&gt;0,AX198,1E+99),IF(AZ198&gt;0,AZ198,1E+99)),IF(m=1E+99,"",m))</x:f>
      </x:c>
      <x:c r="BC198" s="12" t="str">
        <x:f>IF(BB198="","",INDEX({"v1.4.20","v1.4.20","v1.4.21","v1.4.21","v1.4.23","v1.4.23","v1.4.26","v1.4.26","v1.4.26.1","v1.4.26.1","v1.4.27","v1.4.27","v1.4.29","v1.4.29","v1.4.30","v1.4.30","v1.4.31","v1.4.31","v1.4.33","v1.4.33","v1.4.35","v1.4.35.2","v1.5","v1.5.1","v1.5.1"},MATCH(BB198,CHOOSE({1,2,3,4,5,6,7,8,9,10,11,12,13,14,15,16,17,18,19,20,21,22,23,24,25},D198,F198,H198,J198,L198,N198,P198,R198,T198,V198,X198,Z198,AB198,AD198,AF198,AH198,AJ198,AL198,AN198,AP198,AR198,AT198,AV198,AX198,AZ198),0)))</x:f>
      </x:c>
      <x:c r="BD198" s="14" t="n">
        <x:f>LET(m,MIN(IF(E198&gt;0,E198,1E+99),IF(G198&gt;0,G198,1E+99),IF(I198&gt;0,I198,1E+99),IF(K198&gt;0,K198,1E+99),IF(M198&gt;0,M198,1E+99),IF(O198&gt;0,O198,1E+99),IF(Q198&gt;0,Q198,1E+99),IF(S198&gt;0,S198,1E+99),IF(U198&gt;0,U198,1E+99),IF(W198&gt;0,W198,1E+99),IF(Y198&gt;0,Y198,1E+99),IF(AA198&gt;0,AA198,1E+99),IF(AC198&gt;0,AC198,1E+99),IF(AE198&gt;0,AE198,1E+99),IF(AG198&gt;0,AG198,1E+99),IF(AI198&gt;0,AI198,1E+99),IF(AK198&gt;0,AK198,1E+99),IF(AM198&gt;0,AM198,1E+99),IF(AO198&gt;0,AO198,1E+99),IF(AQ198&gt;0,AQ198,1E+99),IF(AS198&gt;0,AS198,1E+99),IF(AU198&gt;0,AU198,1E+99),IF(AW198&gt;0,AW198,1E+99),IF(AY198&gt;0,AY198,1E+99),IF(BA198&gt;0,BA198,1E+99)),IF(m=1E+99,"",m))</x:f>
        <x:v>105.517</x:v>
      </x:c>
      <x:c r="BE198" s="16" t="e">
        <x:f>IF(BD198="","",INDEX({"v1.4.20","v1.4.20","v1.4.21","v1.4.21","v1.4.23","v1.4.23","v1.4.26","v1.4.26","v1.4.26.1","v1.4.26.1","v1.4.27","v1.4.27","v1.4.29","v1.4.29","v1.4.30","v1.4.30","v1.4.31","v1.4.31","v1.4.33","v1.4.33","v1.4.35","v1.4.35.2","v1.5","v1.5.1","v1.5.1"},MATCH(BD198,CHOOSE({1,2,3,4,5,6,7,8,9,10,11,12,13,14,15,16,17,18,19,20,21,22,23,24,25},E198,G198,I198,K198,M198,O198,Q198,S198,U198,W198,Y198,AA198,AC198,AE198,AG198,AI198,AK198,AM198,AO198,AQ198,AS198,AU198,AW198,AY198,BA198),0)))</x:f>
      </x:c>
      <x:c r="BF198" s="10" t="str">
        <x:f>IFERROR((AX198-BB198)/BB198,"")</x:f>
      </x:c>
      <x:c r="BG198" s="10" t="n">
        <x:f>IFERROR((AY198-BD198)/BD198,"")</x:f>
        <x:v>0.6425883980780349</x:v>
      </x:c>
    </x:row>
    <x:row r="199">
      <x:c r="A199" t="str">
        <x:v>Monthly Change</x:v>
      </x:c>
      <x:c r="B199" t="str">
        <x:v>Create / Refresh All Templates</x:v>
      </x:c>
      <x:c r="C199" t="str">
        <x:v>Create template fast path - clear skipped for blank sheet: Template - Monthly Change</x:v>
      </x:c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 t="n">
        <x:v>0</x:v>
      </x:c>
      <x:c r="U199" s="8" t="n">
        <x:v>127.419</x:v>
      </x:c>
      <x:c r="V199" s="8" t="n">
        <x:v>0</x:v>
      </x:c>
      <x:c r="W199" s="8" t="n">
        <x:v>127.419</x:v>
      </x:c>
      <x:c r="X199" s="8"/>
      <x:c r="Y199" s="8"/>
      <x:c r="Z199" s="8"/>
      <x:c r="AA199" s="8"/>
      <x:c r="AB199" s="8" t="n">
        <x:v>0</x:v>
      </x:c>
      <x:c r="AC199" s="8" t="n">
        <x:v>177.162</x:v>
      </x:c>
      <x:c r="AD199" s="8" t="n">
        <x:v>0</x:v>
      </x:c>
      <x:c r="AE199" s="8" t="n">
        <x:v>177.162</x:v>
      </x:c>
      <x:c r="AF199" s="8" t="n">
        <x:v>0</x:v>
      </x:c>
      <x:c r="AG199" s="8" t="n">
        <x:v>182.238</x:v>
      </x:c>
      <x:c r="AH199" s="8"/>
      <x:c r="AI199" s="8"/>
      <x:c r="AJ199" s="8" t="n">
        <x:v>0</x:v>
      </x:c>
      <x:c r="AK199" s="8" t="n">
        <x:v>133.317</x:v>
      </x:c>
      <x:c r="AL199" s="8" t="n">
        <x:v>0</x:v>
      </x:c>
      <x:c r="AM199" s="8" t="n">
        <x:v>133.317</x:v>
      </x:c>
      <x:c r="AN199" s="8" t="n">
        <x:v>0</x:v>
      </x:c>
      <x:c r="AO199" s="8" t="n">
        <x:v>128.522</x:v>
      </x:c>
      <x:c r="AP199" s="8" t="n">
        <x:v>0</x:v>
      </x:c>
      <x:c r="AQ199" s="8" t="n">
        <x:v>128.522</x:v>
      </x:c>
      <x:c r="AR199" s="8"/>
      <x:c r="AS199" s="8"/>
      <x:c r="AT199" s="8"/>
      <x:c r="AU199" s="8"/>
      <x:c r="AV199" s="8" t="n">
        <x:v>13.137</x:v>
      </x:c>
      <x:c r="AW199" s="8" t="n">
        <x:v>181.838</x:v>
      </x:c>
      <x:c r="AX199" s="8" t="n">
        <x:v>12.439</x:v>
      </x:c>
      <x:c r="AY199" s="8" t="n">
        <x:v>185.76</x:v>
      </x:c>
      <x:c r="AZ199" s="8" t="n">
        <x:v>12.439</x:v>
      </x:c>
      <x:c r="BA199" s="8" t="n">
        <x:v>185.76</x:v>
      </x:c>
      <x:c r="BB199" s="8" t="n">
        <x:f>LET(m,MIN(IF(D199&gt;0,D199,1E+99),IF(F199&gt;0,F199,1E+99),IF(H199&gt;0,H199,1E+99),IF(J199&gt;0,J199,1E+99),IF(L199&gt;0,L199,1E+99),IF(N199&gt;0,N199,1E+99),IF(P199&gt;0,P199,1E+99),IF(R199&gt;0,R199,1E+99),IF(T199&gt;0,T199,1E+99),IF(V199&gt;0,V199,1E+99),IF(X199&gt;0,X199,1E+99),IF(Z199&gt;0,Z199,1E+99),IF(AB199&gt;0,AB199,1E+99),IF(AD199&gt;0,AD199,1E+99),IF(AF199&gt;0,AF199,1E+99),IF(AH199&gt;0,AH199,1E+99),IF(AJ199&gt;0,AJ199,1E+99),IF(AL199&gt;0,AL199,1E+99),IF(AN199&gt;0,AN199,1E+99),IF(AP199&gt;0,AP199,1E+99),IF(AR199&gt;0,AR199,1E+99),IF(AT199&gt;0,AT199,1E+99),IF(AV199&gt;0,AV199,1E+99),IF(AX199&gt;0,AX199,1E+99),IF(AZ199&gt;0,AZ199,1E+99)),IF(m=1E+99,"",m))</x:f>
        <x:v>12.439</x:v>
      </x:c>
      <x:c r="BC199" s="12" t="e">
        <x:f>IF(BB199="","",INDEX({"v1.4.20","v1.4.20","v1.4.21","v1.4.21","v1.4.23","v1.4.23","v1.4.26","v1.4.26","v1.4.26.1","v1.4.26.1","v1.4.27","v1.4.27","v1.4.29","v1.4.29","v1.4.30","v1.4.30","v1.4.31","v1.4.31","v1.4.33","v1.4.33","v1.4.35","v1.4.35.2","v1.5","v1.5.1","v1.5.1"},MATCH(BB199,CHOOSE({1,2,3,4,5,6,7,8,9,10,11,12,13,14,15,16,17,18,19,20,21,22,23,24,25},D199,F199,H199,J199,L199,N199,P199,R199,T199,V199,X199,Z199,AB199,AD199,AF199,AH199,AJ199,AL199,AN199,AP199,AR199,AT199,AV199,AX199,AZ199),0)))</x:f>
      </x:c>
      <x:c r="BD199" s="14" t="n">
        <x:f>LET(m,MIN(IF(E199&gt;0,E199,1E+99),IF(G199&gt;0,G199,1E+99),IF(I199&gt;0,I199,1E+99),IF(K199&gt;0,K199,1E+99),IF(M199&gt;0,M199,1E+99),IF(O199&gt;0,O199,1E+99),IF(Q199&gt;0,Q199,1E+99),IF(S199&gt;0,S199,1E+99),IF(U199&gt;0,U199,1E+99),IF(W199&gt;0,W199,1E+99),IF(Y199&gt;0,Y199,1E+99),IF(AA199&gt;0,AA199,1E+99),IF(AC199&gt;0,AC199,1E+99),IF(AE199&gt;0,AE199,1E+99),IF(AG199&gt;0,AG199,1E+99),IF(AI199&gt;0,AI199,1E+99),IF(AK199&gt;0,AK199,1E+99),IF(AM199&gt;0,AM199,1E+99),IF(AO199&gt;0,AO199,1E+99),IF(AQ199&gt;0,AQ199,1E+99),IF(AS199&gt;0,AS199,1E+99),IF(AU199&gt;0,AU199,1E+99),IF(AW199&gt;0,AW199,1E+99),IF(AY199&gt;0,AY199,1E+99),IF(BA199&gt;0,BA199,1E+99)),IF(m=1E+99,"",m))</x:f>
        <x:v>127.419</x:v>
      </x:c>
      <x:c r="BE199" s="16" t="e">
        <x:f>IF(BD199="","",INDEX({"v1.4.20","v1.4.20","v1.4.21","v1.4.21","v1.4.23","v1.4.23","v1.4.26","v1.4.26","v1.4.26.1","v1.4.26.1","v1.4.27","v1.4.27","v1.4.29","v1.4.29","v1.4.30","v1.4.30","v1.4.31","v1.4.31","v1.4.33","v1.4.33","v1.4.35","v1.4.35.2","v1.5","v1.5.1","v1.5.1"},MATCH(BD199,CHOOSE({1,2,3,4,5,6,7,8,9,10,11,12,13,14,15,16,17,18,19,20,21,22,23,24,25},E199,G199,I199,K199,M199,O199,Q199,S199,U199,W199,Y199,AA199,AC199,AE199,AG199,AI199,AK199,AM199,AO199,AQ199,AS199,AU199,AW199,AY199,BA199),0)))</x:f>
      </x:c>
      <x:c r="BF199" s="10" t="n">
        <x:f>IFERROR((AX199-BB199)/BB199,"")</x:f>
        <x:v>0</x:v>
      </x:c>
      <x:c r="BG199" s="10" t="n">
        <x:f>IFERROR((AY199-BD199)/BD199,"")</x:f>
        <x:v>0.4578673510230028</x:v>
      </x:c>
    </x:row>
    <x:row r="200">
      <x:c r="A200" t="str">
        <x:v>Monthly Change</x:v>
      </x:c>
      <x:c r="B200" t="str">
        <x:v>Create / Refresh All Templates</x:v>
      </x:c>
      <x:c r="C200" t="str">
        <x:v>Resize sheet: Template - Monthly Change (1000 rows x 89 cols)</x:v>
      </x:c>
      <x:c r="D200" s="8"/>
      <x:c r="E200" s="8"/>
      <x:c r="F200" s="8"/>
      <x:c r="G200" s="8"/>
      <x:c r="H200" s="8" t="n">
        <x:v>0.736</x:v>
      </x:c>
      <x:c r="I200" s="8" t="n">
        <x:v>173.903</x:v>
      </x:c>
      <x:c r="J200" s="8" t="n">
        <x:v>0.736</x:v>
      </x:c>
      <x:c r="K200" s="8" t="n">
        <x:v>173.903</x:v>
      </x:c>
      <x:c r="L200" s="8" t="n">
        <x:v>12.328</x:v>
      </x:c>
      <x:c r="M200" s="8" t="n">
        <x:v>170.046</x:v>
      </x:c>
      <x:c r="N200" s="8" t="n">
        <x:v>12.328</x:v>
      </x:c>
      <x:c r="O200" s="8" t="n">
        <x:v>170.046</x:v>
      </x:c>
      <x:c r="P200" s="8" t="n">
        <x:v>0.536</x:v>
      </x:c>
      <x:c r="Q200" s="8" t="n">
        <x:v>113.984</x:v>
      </x:c>
      <x:c r="R200" s="8" t="n">
        <x:v>0.536</x:v>
      </x:c>
      <x:c r="S200" s="8" t="n">
        <x:v>113.984</x:v>
      </x:c>
      <x:c r="T200" s="8"/>
      <x:c r="U200" s="8"/>
      <x:c r="V200" s="8"/>
      <x:c r="W200" s="8"/>
      <x:c r="X200" s="8" t="n">
        <x:v>1.201</x:v>
      </x:c>
      <x:c r="Y200" s="8" t="n">
        <x:v>210.23</x:v>
      </x:c>
      <x:c r="Z200" s="8" t="n">
        <x:v>1.201</x:v>
      </x:c>
      <x:c r="AA200" s="8" t="n">
        <x:v>210.23</x:v>
      </x:c>
      <x:c r="AB200" s="8" t="n">
        <x:v>14.071</x:v>
      </x:c>
      <x:c r="AC200" s="8" t="n">
        <x:v>191.233</x:v>
      </x:c>
      <x:c r="AD200" s="8" t="n">
        <x:v>14.071</x:v>
      </x:c>
      <x:c r="AE200" s="8" t="n">
        <x:v>191.233</x:v>
      </x:c>
      <x:c r="AF200" s="8"/>
      <x:c r="AG200" s="8"/>
      <x:c r="AH200" s="8"/>
      <x:c r="AI200" s="8"/>
      <x:c r="AJ200" s="8"/>
      <x:c r="AK200" s="8"/>
      <x:c r="AL200" s="8"/>
      <x:c r="AM200" s="8"/>
      <x:c r="AN200" s="8"/>
      <x:c r="AO200" s="8"/>
      <x:c r="AP200" s="8"/>
      <x:c r="AQ200" s="8"/>
      <x:c r="AR200" s="8" t="n">
        <x:v>0.876</x:v>
      </x:c>
      <x:c r="AS200" s="8" t="n">
        <x:v>209.832</x:v>
      </x:c>
      <x:c r="AT200" s="8" t="n">
        <x:v>0.607</x:v>
      </x:c>
      <x:c r="AU200" s="8" t="n">
        <x:v>150.899</x:v>
      </x:c>
      <x:c r="AV200" s="8" t="n">
        <x:v>0.117</x:v>
      </x:c>
      <x:c r="AW200" s="8" t="n">
        <x:v>181.955</x:v>
      </x:c>
      <x:c r="AX200" s="8" t="n">
        <x:v>0.16</x:v>
      </x:c>
      <x:c r="AY200" s="8" t="n">
        <x:v>185.92</x:v>
      </x:c>
      <x:c r="AZ200" s="8" t="n">
        <x:v>0.16</x:v>
      </x:c>
      <x:c r="BA200" s="8" t="n">
        <x:v>185.92</x:v>
      </x:c>
      <x:c r="BB200" s="8" t="n">
        <x:f>LET(m,MIN(IF(D200&gt;0,D200,1E+99),IF(F200&gt;0,F200,1E+99),IF(H200&gt;0,H200,1E+99),IF(J200&gt;0,J200,1E+99),IF(L200&gt;0,L200,1E+99),IF(N200&gt;0,N200,1E+99),IF(P200&gt;0,P200,1E+99),IF(R200&gt;0,R200,1E+99),IF(T200&gt;0,T200,1E+99),IF(V200&gt;0,V200,1E+99),IF(X200&gt;0,X200,1E+99),IF(Z200&gt;0,Z200,1E+99),IF(AB200&gt;0,AB200,1E+99),IF(AD200&gt;0,AD200,1E+99),IF(AF200&gt;0,AF200,1E+99),IF(AH200&gt;0,AH200,1E+99),IF(AJ200&gt;0,AJ200,1E+99),IF(AL200&gt;0,AL200,1E+99),IF(AN200&gt;0,AN200,1E+99),IF(AP200&gt;0,AP200,1E+99),IF(AR200&gt;0,AR200,1E+99),IF(AT200&gt;0,AT200,1E+99),IF(AV200&gt;0,AV200,1E+99),IF(AX200&gt;0,AX200,1E+99),IF(AZ200&gt;0,AZ200,1E+99)),IF(m=1E+99,"",m))</x:f>
        <x:v>0.117</x:v>
      </x:c>
      <x:c r="BC200" s="12" t="e">
        <x:f>IF(BB200="","",INDEX({"v1.4.20","v1.4.20","v1.4.21","v1.4.21","v1.4.23","v1.4.23","v1.4.26","v1.4.26","v1.4.26.1","v1.4.26.1","v1.4.27","v1.4.27","v1.4.29","v1.4.29","v1.4.30","v1.4.30","v1.4.31","v1.4.31","v1.4.33","v1.4.33","v1.4.35","v1.4.35.2","v1.5","v1.5.1","v1.5.1"},MATCH(BB200,CHOOSE({1,2,3,4,5,6,7,8,9,10,11,12,13,14,15,16,17,18,19,20,21,22,23,24,25},D200,F200,H200,J200,L200,N200,P200,R200,T200,V200,X200,Z200,AB200,AD200,AF200,AH200,AJ200,AL200,AN200,AP200,AR200,AT200,AV200,AX200,AZ200),0)))</x:f>
      </x:c>
      <x:c r="BD200" s="14" t="n">
        <x:f>LET(m,MIN(IF(E200&gt;0,E200,1E+99),IF(G200&gt;0,G200,1E+99),IF(I200&gt;0,I200,1E+99),IF(K200&gt;0,K200,1E+99),IF(M200&gt;0,M200,1E+99),IF(O200&gt;0,O200,1E+99),IF(Q200&gt;0,Q200,1E+99),IF(S200&gt;0,S200,1E+99),IF(U200&gt;0,U200,1E+99),IF(W200&gt;0,W200,1E+99),IF(Y200&gt;0,Y200,1E+99),IF(AA200&gt;0,AA200,1E+99),IF(AC200&gt;0,AC200,1E+99),IF(AE200&gt;0,AE200,1E+99),IF(AG200&gt;0,AG200,1E+99),IF(AI200&gt;0,AI200,1E+99),IF(AK200&gt;0,AK200,1E+99),IF(AM200&gt;0,AM200,1E+99),IF(AO200&gt;0,AO200,1E+99),IF(AQ200&gt;0,AQ200,1E+99),IF(AS200&gt;0,AS200,1E+99),IF(AU200&gt;0,AU200,1E+99),IF(AW200&gt;0,AW200,1E+99),IF(AY200&gt;0,AY200,1E+99),IF(BA200&gt;0,BA200,1E+99)),IF(m=1E+99,"",m))</x:f>
        <x:v>113.984</x:v>
      </x:c>
      <x:c r="BE200" s="16" t="e">
        <x:f>IF(BD200="","",INDEX({"v1.4.20","v1.4.20","v1.4.21","v1.4.21","v1.4.23","v1.4.23","v1.4.26","v1.4.26","v1.4.26.1","v1.4.26.1","v1.4.27","v1.4.27","v1.4.29","v1.4.29","v1.4.30","v1.4.30","v1.4.31","v1.4.31","v1.4.33","v1.4.33","v1.4.35","v1.4.35.2","v1.5","v1.5.1","v1.5.1"},MATCH(BD200,CHOOSE({1,2,3,4,5,6,7,8,9,10,11,12,13,14,15,16,17,18,19,20,21,22,23,24,25},E200,G200,I200,K200,M200,O200,Q200,S200,U200,W200,Y200,AA200,AC200,AE200,AG200,AI200,AK200,AM200,AO200,AQ200,AS200,AU200,AW200,AY200,BA200),0)))</x:f>
      </x:c>
      <x:c r="BF200" s="10" t="n">
        <x:f>IFERROR((AX200-BB200)/BB200,"")</x:f>
        <x:v>0.3675213675213675</x:v>
      </x:c>
      <x:c r="BG200" s="10" t="n">
        <x:f>IFERROR((AY200-BD200)/BD200,"")</x:f>
        <x:v>0.631106120157215</x:v>
      </x:c>
    </x:row>
    <x:row r="201">
      <x:c r="A201" t="str">
        <x:v>Monthly Change</x:v>
      </x:c>
      <x:c r="B201" t="str">
        <x:v>Create / Refresh All Templates</x:v>
      </x:c>
      <x:c r="C201" t="str">
        <x:v>Apply title rows: Template - Monthly Change</x:v>
      </x:c>
      <x:c r="D201" s="8" t="n">
        <x:v>0.509</x:v>
      </x:c>
      <x:c r="E201" s="8" t="n">
        <x:v>137.632</x:v>
      </x:c>
      <x:c r="F201" s="8" t="n">
        <x:v>0.509</x:v>
      </x:c>
      <x:c r="G201" s="8" t="n">
        <x:v>137.632</x:v>
      </x:c>
      <x:c r="H201" s="8" t="n">
        <x:v>0.819</x:v>
      </x:c>
      <x:c r="I201" s="8" t="n">
        <x:v>174.722</x:v>
      </x:c>
      <x:c r="J201" s="8" t="n">
        <x:v>0.819</x:v>
      </x:c>
      <x:c r="K201" s="8" t="n">
        <x:v>174.722</x:v>
      </x:c>
      <x:c r="L201" s="8" t="n">
        <x:v>0.803</x:v>
      </x:c>
      <x:c r="M201" s="8" t="n">
        <x:v>170.849</x:v>
      </x:c>
      <x:c r="N201" s="8" t="n">
        <x:v>0.803</x:v>
      </x:c>
      <x:c r="O201" s="8" t="n">
        <x:v>170.849</x:v>
      </x:c>
      <x:c r="P201" s="8" t="n">
        <x:v>0.459</x:v>
      </x:c>
      <x:c r="Q201" s="8" t="n">
        <x:v>114.443</x:v>
      </x:c>
      <x:c r="R201" s="8" t="n">
        <x:v>0.459</x:v>
      </x:c>
      <x:c r="S201" s="8" t="n">
        <x:v>114.443</x:v>
      </x:c>
      <x:c r="T201" s="8" t="n">
        <x:v>0.583</x:v>
      </x:c>
      <x:c r="U201" s="8" t="n">
        <x:v>138.048</x:v>
      </x:c>
      <x:c r="V201" s="8" t="n">
        <x:v>0.583</x:v>
      </x:c>
      <x:c r="W201" s="8" t="n">
        <x:v>138.048</x:v>
      </x:c>
      <x:c r="X201" s="8" t="n">
        <x:v>1.064</x:v>
      </x:c>
      <x:c r="Y201" s="8" t="n">
        <x:v>211.294</x:v>
      </x:c>
      <x:c r="Z201" s="8" t="n">
        <x:v>1.064</x:v>
      </x:c>
      <x:c r="AA201" s="8" t="n">
        <x:v>211.294</x:v>
      </x:c>
      <x:c r="AB201" s="8" t="n">
        <x:v>0.748</x:v>
      </x:c>
      <x:c r="AC201" s="8" t="n">
        <x:v>191.981</x:v>
      </x:c>
      <x:c r="AD201" s="8" t="n">
        <x:v>0.748</x:v>
      </x:c>
      <x:c r="AE201" s="8" t="n">
        <x:v>191.981</x:v>
      </x:c>
      <x:c r="AF201" s="8" t="n">
        <x:v>0.977</x:v>
      </x:c>
      <x:c r="AG201" s="8" t="n">
        <x:v>197.234</x:v>
      </x:c>
      <x:c r="AH201" s="8"/>
      <x:c r="AI201" s="8"/>
      <x:c r="AJ201" s="8" t="n">
        <x:v>0.92</x:v>
      </x:c>
      <x:c r="AK201" s="8" t="n">
        <x:v>148.888</x:v>
      </x:c>
      <x:c r="AL201" s="8" t="n">
        <x:v>0.92</x:v>
      </x:c>
      <x:c r="AM201" s="8" t="n">
        <x:v>148.888</x:v>
      </x:c>
      <x:c r="AN201" s="8" t="n">
        <x:v>0.572</x:v>
      </x:c>
      <x:c r="AO201" s="8" t="n">
        <x:v>137.238</x:v>
      </x:c>
      <x:c r="AP201" s="8" t="n">
        <x:v>0.572</x:v>
      </x:c>
      <x:c r="AQ201" s="8" t="n">
        <x:v>137.238</x:v>
      </x:c>
      <x:c r="AR201" s="8" t="n">
        <x:v>0.97</x:v>
      </x:c>
      <x:c r="AS201" s="8" t="n">
        <x:v>210.802</x:v>
      </x:c>
      <x:c r="AT201" s="8" t="n">
        <x:v>0.643</x:v>
      </x:c>
      <x:c r="AU201" s="8" t="n">
        <x:v>151.542</x:v>
      </x:c>
      <x:c r="AV201" s="8" t="n">
        <x:v>0.773</x:v>
      </x:c>
      <x:c r="AW201" s="8" t="n">
        <x:v>182.728</x:v>
      </x:c>
      <x:c r="AX201" s="8" t="n">
        <x:v>0.849</x:v>
      </x:c>
      <x:c r="AY201" s="8" t="n">
        <x:v>186.769</x:v>
      </x:c>
      <x:c r="AZ201" s="8" t="n">
        <x:v>0.849</x:v>
      </x:c>
      <x:c r="BA201" s="8" t="n">
        <x:v>186.769</x:v>
      </x:c>
      <x:c r="BB201" s="8" t="n">
        <x:f>LET(m,MIN(IF(D201&gt;0,D201,1E+99),IF(F201&gt;0,F201,1E+99),IF(H201&gt;0,H201,1E+99),IF(J201&gt;0,J201,1E+99),IF(L201&gt;0,L201,1E+99),IF(N201&gt;0,N201,1E+99),IF(P201&gt;0,P201,1E+99),IF(R201&gt;0,R201,1E+99),IF(T201&gt;0,T201,1E+99),IF(V201&gt;0,V201,1E+99),IF(X201&gt;0,X201,1E+99),IF(Z201&gt;0,Z201,1E+99),IF(AB201&gt;0,AB201,1E+99),IF(AD201&gt;0,AD201,1E+99),IF(AF201&gt;0,AF201,1E+99),IF(AH201&gt;0,AH201,1E+99),IF(AJ201&gt;0,AJ201,1E+99),IF(AL201&gt;0,AL201,1E+99),IF(AN201&gt;0,AN201,1E+99),IF(AP201&gt;0,AP201,1E+99),IF(AR201&gt;0,AR201,1E+99),IF(AT201&gt;0,AT201,1E+99),IF(AV201&gt;0,AV201,1E+99),IF(AX201&gt;0,AX201,1E+99),IF(AZ201&gt;0,AZ201,1E+99)),IF(m=1E+99,"",m))</x:f>
        <x:v>0.459</x:v>
      </x:c>
      <x:c r="BC201" s="12" t="e">
        <x:f>IF(BB201="","",INDEX({"v1.4.20","v1.4.20","v1.4.21","v1.4.21","v1.4.23","v1.4.23","v1.4.26","v1.4.26","v1.4.26.1","v1.4.26.1","v1.4.27","v1.4.27","v1.4.29","v1.4.29","v1.4.30","v1.4.30","v1.4.31","v1.4.31","v1.4.33","v1.4.33","v1.4.35","v1.4.35.2","v1.5","v1.5.1","v1.5.1"},MATCH(BB201,CHOOSE({1,2,3,4,5,6,7,8,9,10,11,12,13,14,15,16,17,18,19,20,21,22,23,24,25},D201,F201,H201,J201,L201,N201,P201,R201,T201,V201,X201,Z201,AB201,AD201,AF201,AH201,AJ201,AL201,AN201,AP201,AR201,AT201,AV201,AX201,AZ201),0)))</x:f>
      </x:c>
      <x:c r="BD201" s="14" t="n">
        <x:f>LET(m,MIN(IF(E201&gt;0,E201,1E+99),IF(G201&gt;0,G201,1E+99),IF(I201&gt;0,I201,1E+99),IF(K201&gt;0,K201,1E+99),IF(M201&gt;0,M201,1E+99),IF(O201&gt;0,O201,1E+99),IF(Q201&gt;0,Q201,1E+99),IF(S201&gt;0,S201,1E+99),IF(U201&gt;0,U201,1E+99),IF(W201&gt;0,W201,1E+99),IF(Y201&gt;0,Y201,1E+99),IF(AA201&gt;0,AA201,1E+99),IF(AC201&gt;0,AC201,1E+99),IF(AE201&gt;0,AE201,1E+99),IF(AG201&gt;0,AG201,1E+99),IF(AI201&gt;0,AI201,1E+99),IF(AK201&gt;0,AK201,1E+99),IF(AM201&gt;0,AM201,1E+99),IF(AO201&gt;0,AO201,1E+99),IF(AQ201&gt;0,AQ201,1E+99),IF(AS201&gt;0,AS201,1E+99),IF(AU201&gt;0,AU201,1E+99),IF(AW201&gt;0,AW201,1E+99),IF(AY201&gt;0,AY201,1E+99),IF(BA201&gt;0,BA201,1E+99)),IF(m=1E+99,"",m))</x:f>
        <x:v>114.443</x:v>
      </x:c>
      <x:c r="BE201" s="16" t="e">
        <x:f>IF(BD201="","",INDEX({"v1.4.20","v1.4.20","v1.4.21","v1.4.21","v1.4.23","v1.4.23","v1.4.26","v1.4.26","v1.4.26.1","v1.4.26.1","v1.4.27","v1.4.27","v1.4.29","v1.4.29","v1.4.30","v1.4.30","v1.4.31","v1.4.31","v1.4.33","v1.4.33","v1.4.35","v1.4.35.2","v1.5","v1.5.1","v1.5.1"},MATCH(BD201,CHOOSE({1,2,3,4,5,6,7,8,9,10,11,12,13,14,15,16,17,18,19,20,21,22,23,24,25},E201,G201,I201,K201,M201,O201,Q201,S201,U201,W201,Y201,AA201,AC201,AE201,AG201,AI201,AK201,AM201,AO201,AQ201,AS201,AU201,AW201,AY201,BA201),0)))</x:f>
      </x:c>
      <x:c r="BF201" s="10" t="n">
        <x:f>IFERROR((AX201-BB201)/BB201,"")</x:f>
        <x:v>0.849673202614379</x:v>
      </x:c>
      <x:c r="BG201" s="10" t="n">
        <x:f>IFERROR((AY201-BD201)/BD201,"")</x:f>
        <x:v>0.6319827337626592</x:v>
      </x:c>
    </x:row>
    <x:row r="202">
      <x:c r="A202" t="str">
        <x:v>Monthly Change</x:v>
      </x:c>
      <x:c r="B202" t="str">
        <x:v>Create / Refresh All Templates</x:v>
      </x:c>
      <x:c r="C202" t="str">
        <x:v>Apply header row: Template - Monthly Change</x:v>
      </x:c>
      <x:c r="D202" s="8" t="n">
        <x:v>0.336</x:v>
      </x:c>
      <x:c r="E202" s="8" t="n">
        <x:v>137.968</x:v>
      </x:c>
      <x:c r="F202" s="8" t="n">
        <x:v>0.336</x:v>
      </x:c>
      <x:c r="G202" s="8" t="n">
        <x:v>137.968</x:v>
      </x:c>
      <x:c r="H202" s="8" t="n">
        <x:v>0.35</x:v>
      </x:c>
      <x:c r="I202" s="8" t="n">
        <x:v>175.072</x:v>
      </x:c>
      <x:c r="J202" s="8" t="n">
        <x:v>0.35</x:v>
      </x:c>
      <x:c r="K202" s="8" t="n">
        <x:v>175.072</x:v>
      </x:c>
      <x:c r="L202" s="8" t="n">
        <x:v>0.471</x:v>
      </x:c>
      <x:c r="M202" s="8" t="n">
        <x:v>171.32</x:v>
      </x:c>
      <x:c r="N202" s="8" t="n">
        <x:v>0.471</x:v>
      </x:c>
      <x:c r="O202" s="8" t="n">
        <x:v>171.32</x:v>
      </x:c>
      <x:c r="P202" s="8" t="n">
        <x:v>0.279</x:v>
      </x:c>
      <x:c r="Q202" s="8" t="n">
        <x:v>114.722</x:v>
      </x:c>
      <x:c r="R202" s="8" t="n">
        <x:v>0.279</x:v>
      </x:c>
      <x:c r="S202" s="8" t="n">
        <x:v>114.722</x:v>
      </x:c>
      <x:c r="T202" s="8" t="n">
        <x:v>0.405</x:v>
      </x:c>
      <x:c r="U202" s="8" t="n">
        <x:v>138.453</x:v>
      </x:c>
      <x:c r="V202" s="8" t="n">
        <x:v>0.405</x:v>
      </x:c>
      <x:c r="W202" s="8" t="n">
        <x:v>138.453</x:v>
      </x:c>
      <x:c r="X202" s="8" t="n">
        <x:v>0.376</x:v>
      </x:c>
      <x:c r="Y202" s="8" t="n">
        <x:v>211.67</x:v>
      </x:c>
      <x:c r="Z202" s="8" t="n">
        <x:v>0.376</x:v>
      </x:c>
      <x:c r="AA202" s="8" t="n">
        <x:v>211.67</x:v>
      </x:c>
      <x:c r="AB202" s="8" t="n">
        <x:v>0.275</x:v>
      </x:c>
      <x:c r="AC202" s="8" t="n">
        <x:v>192.256</x:v>
      </x:c>
      <x:c r="AD202" s="8" t="n">
        <x:v>0.275</x:v>
      </x:c>
      <x:c r="AE202" s="8" t="n">
        <x:v>192.256</x:v>
      </x:c>
      <x:c r="AF202" s="8" t="n">
        <x:v>0.351</x:v>
      </x:c>
      <x:c r="AG202" s="8" t="n">
        <x:v>197.585</x:v>
      </x:c>
      <x:c r="AH202" s="8"/>
      <x:c r="AI202" s="8"/>
      <x:c r="AJ202" s="8" t="n">
        <x:v>0.397</x:v>
      </x:c>
      <x:c r="AK202" s="8" t="n">
        <x:v>149.285</x:v>
      </x:c>
      <x:c r="AL202" s="8" t="n">
        <x:v>0.397</x:v>
      </x:c>
      <x:c r="AM202" s="8" t="n">
        <x:v>149.285</x:v>
      </x:c>
      <x:c r="AN202" s="8" t="n">
        <x:v>0.514</x:v>
      </x:c>
      <x:c r="AO202" s="8" t="n">
        <x:v>137.752</x:v>
      </x:c>
      <x:c r="AP202" s="8" t="n">
        <x:v>0.514</x:v>
      </x:c>
      <x:c r="AQ202" s="8" t="n">
        <x:v>137.752</x:v>
      </x:c>
      <x:c r="AR202" s="8" t="n">
        <x:v>1.15</x:v>
      </x:c>
      <x:c r="AS202" s="8" t="n">
        <x:v>211.952</x:v>
      </x:c>
      <x:c r="AT202" s="8" t="n">
        <x:v>0.523</x:v>
      </x:c>
      <x:c r="AU202" s="8" t="n">
        <x:v>152.065</x:v>
      </x:c>
      <x:c r="AV202" s="8" t="n">
        <x:v>0.242</x:v>
      </x:c>
      <x:c r="AW202" s="8" t="n">
        <x:v>182.97</x:v>
      </x:c>
      <x:c r="AX202" s="8" t="n">
        <x:v>0.368</x:v>
      </x:c>
      <x:c r="AY202" s="8" t="n">
        <x:v>187.137</x:v>
      </x:c>
      <x:c r="AZ202" s="8" t="n">
        <x:v>0.368</x:v>
      </x:c>
      <x:c r="BA202" s="8" t="n">
        <x:v>187.137</x:v>
      </x:c>
      <x:c r="BB202" s="8" t="n">
        <x:f>LET(m,MIN(IF(D202&gt;0,D202,1E+99),IF(F202&gt;0,F202,1E+99),IF(H202&gt;0,H202,1E+99),IF(J202&gt;0,J202,1E+99),IF(L202&gt;0,L202,1E+99),IF(N202&gt;0,N202,1E+99),IF(P202&gt;0,P202,1E+99),IF(R202&gt;0,R202,1E+99),IF(T202&gt;0,T202,1E+99),IF(V202&gt;0,V202,1E+99),IF(X202&gt;0,X202,1E+99),IF(Z202&gt;0,Z202,1E+99),IF(AB202&gt;0,AB202,1E+99),IF(AD202&gt;0,AD202,1E+99),IF(AF202&gt;0,AF202,1E+99),IF(AH202&gt;0,AH202,1E+99),IF(AJ202&gt;0,AJ202,1E+99),IF(AL202&gt;0,AL202,1E+99),IF(AN202&gt;0,AN202,1E+99),IF(AP202&gt;0,AP202,1E+99),IF(AR202&gt;0,AR202,1E+99),IF(AT202&gt;0,AT202,1E+99),IF(AV202&gt;0,AV202,1E+99),IF(AX202&gt;0,AX202,1E+99),IF(AZ202&gt;0,AZ202,1E+99)),IF(m=1E+99,"",m))</x:f>
        <x:v>0.242</x:v>
      </x:c>
      <x:c r="BC202" s="12" t="e">
        <x:f>IF(BB202="","",INDEX({"v1.4.20","v1.4.20","v1.4.21","v1.4.21","v1.4.23","v1.4.23","v1.4.26","v1.4.26","v1.4.26.1","v1.4.26.1","v1.4.27","v1.4.27","v1.4.29","v1.4.29","v1.4.30","v1.4.30","v1.4.31","v1.4.31","v1.4.33","v1.4.33","v1.4.35","v1.4.35.2","v1.5","v1.5.1","v1.5.1"},MATCH(BB202,CHOOSE({1,2,3,4,5,6,7,8,9,10,11,12,13,14,15,16,17,18,19,20,21,22,23,24,25},D202,F202,H202,J202,L202,N202,P202,R202,T202,V202,X202,Z202,AB202,AD202,AF202,AH202,AJ202,AL202,AN202,AP202,AR202,AT202,AV202,AX202,AZ202),0)))</x:f>
      </x:c>
      <x:c r="BD202" s="14" t="n">
        <x:f>LET(m,MIN(IF(E202&gt;0,E202,1E+99),IF(G202&gt;0,G202,1E+99),IF(I202&gt;0,I202,1E+99),IF(K202&gt;0,K202,1E+99),IF(M202&gt;0,M202,1E+99),IF(O202&gt;0,O202,1E+99),IF(Q202&gt;0,Q202,1E+99),IF(S202&gt;0,S202,1E+99),IF(U202&gt;0,U202,1E+99),IF(W202&gt;0,W202,1E+99),IF(Y202&gt;0,Y202,1E+99),IF(AA202&gt;0,AA202,1E+99),IF(AC202&gt;0,AC202,1E+99),IF(AE202&gt;0,AE202,1E+99),IF(AG202&gt;0,AG202,1E+99),IF(AI202&gt;0,AI202,1E+99),IF(AK202&gt;0,AK202,1E+99),IF(AM202&gt;0,AM202,1E+99),IF(AO202&gt;0,AO202,1E+99),IF(AQ202&gt;0,AQ202,1E+99),IF(AS202&gt;0,AS202,1E+99),IF(AU202&gt;0,AU202,1E+99),IF(AW202&gt;0,AW202,1E+99),IF(AY202&gt;0,AY202,1E+99),IF(BA202&gt;0,BA202,1E+99)),IF(m=1E+99,"",m))</x:f>
        <x:v>114.722</x:v>
      </x:c>
      <x:c r="BE202" s="16" t="e">
        <x:f>IF(BD202="","",INDEX({"v1.4.20","v1.4.20","v1.4.21","v1.4.21","v1.4.23","v1.4.23","v1.4.26","v1.4.26","v1.4.26.1","v1.4.26.1","v1.4.27","v1.4.27","v1.4.29","v1.4.29","v1.4.30","v1.4.30","v1.4.31","v1.4.31","v1.4.33","v1.4.33","v1.4.35","v1.4.35.2","v1.5","v1.5.1","v1.5.1"},MATCH(BD202,CHOOSE({1,2,3,4,5,6,7,8,9,10,11,12,13,14,15,16,17,18,19,20,21,22,23,24,25},E202,G202,I202,K202,M202,O202,Q202,S202,U202,W202,Y202,AA202,AC202,AE202,AG202,AI202,AK202,AM202,AO202,AQ202,AS202,AU202,AW202,AY202,BA202),0)))</x:f>
      </x:c>
      <x:c r="BF202" s="10" t="n">
        <x:f>IFERROR((AX202-BB202)/BB202,"")</x:f>
        <x:v>0.5206611570247934</x:v>
      </x:c>
      <x:c r="BG202" s="10" t="n">
        <x:f>IFERROR((AY202-BD202)/BD202,"")</x:f>
        <x:v>0.6312215616882552</x:v>
      </x:c>
    </x:row>
    <x:row r="203">
      <x:c r="A203" t="str">
        <x:v>Monthly Change</x:v>
      </x:c>
      <x:c r="B203" t="str">
        <x:v>Create / Refresh All Templates</x:v>
      </x:c>
      <x:c r="C203" t="str">
        <x:v>Apply alternating color rules: Template - Monthly Change</x:v>
      </x:c>
      <x:c r="D203" s="8" t="n">
        <x:v>1.762</x:v>
      </x:c>
      <x:c r="E203" s="8" t="n">
        <x:v>139.73</x:v>
      </x:c>
      <x:c r="F203" s="8" t="n">
        <x:v>1.762</x:v>
      </x:c>
      <x:c r="G203" s="8" t="n">
        <x:v>139.73</x:v>
      </x:c>
      <x:c r="H203" s="8" t="n">
        <x:v>2.044</x:v>
      </x:c>
      <x:c r="I203" s="8" t="n">
        <x:v>177.116</x:v>
      </x:c>
      <x:c r="J203" s="8" t="n">
        <x:v>2.044</x:v>
      </x:c>
      <x:c r="K203" s="8" t="n">
        <x:v>177.116</x:v>
      </x:c>
      <x:c r="L203" s="8" t="n">
        <x:v>3.099</x:v>
      </x:c>
      <x:c r="M203" s="8" t="n">
        <x:v>174.419</x:v>
      </x:c>
      <x:c r="N203" s="8" t="n">
        <x:v>3.099</x:v>
      </x:c>
      <x:c r="O203" s="8" t="n">
        <x:v>174.419</x:v>
      </x:c>
      <x:c r="P203" s="8" t="n">
        <x:v>1.5</x:v>
      </x:c>
      <x:c r="Q203" s="8" t="n">
        <x:v>116.222</x:v>
      </x:c>
      <x:c r="R203" s="8" t="n">
        <x:v>1.5</x:v>
      </x:c>
      <x:c r="S203" s="8" t="n">
        <x:v>116.222</x:v>
      </x:c>
      <x:c r="T203" s="8" t="n">
        <x:v>1.881</x:v>
      </x:c>
      <x:c r="U203" s="8" t="n">
        <x:v>140.334</x:v>
      </x:c>
      <x:c r="V203" s="8" t="n">
        <x:v>1.881</x:v>
      </x:c>
      <x:c r="W203" s="8" t="n">
        <x:v>140.334</x:v>
      </x:c>
      <x:c r="X203" s="8" t="n">
        <x:v>2.964</x:v>
      </x:c>
      <x:c r="Y203" s="8" t="n">
        <x:v>214.634</x:v>
      </x:c>
      <x:c r="Z203" s="8" t="n">
        <x:v>2.964</x:v>
      </x:c>
      <x:c r="AA203" s="8" t="n">
        <x:v>214.634</x:v>
      </x:c>
      <x:c r="AB203" s="8" t="n">
        <x:v>3.051</x:v>
      </x:c>
      <x:c r="AC203" s="8" t="n">
        <x:v>195.307</x:v>
      </x:c>
      <x:c r="AD203" s="8" t="n">
        <x:v>3.051</x:v>
      </x:c>
      <x:c r="AE203" s="8" t="n">
        <x:v>195.307</x:v>
      </x:c>
      <x:c r="AF203" s="8" t="n">
        <x:v>2.657</x:v>
      </x:c>
      <x:c r="AG203" s="8" t="n">
        <x:v>200.242</x:v>
      </x:c>
      <x:c r="AH203" s="8"/>
      <x:c r="AI203" s="8"/>
      <x:c r="AJ203" s="8" t="n">
        <x:v>2.949</x:v>
      </x:c>
      <x:c r="AK203" s="8" t="n">
        <x:v>152.234</x:v>
      </x:c>
      <x:c r="AL203" s="8" t="n">
        <x:v>2.949</x:v>
      </x:c>
      <x:c r="AM203" s="8" t="n">
        <x:v>152.234</x:v>
      </x:c>
      <x:c r="AN203" s="8" t="n">
        <x:v>1.967</x:v>
      </x:c>
      <x:c r="AO203" s="8" t="n">
        <x:v>139.719</x:v>
      </x:c>
      <x:c r="AP203" s="8" t="n">
        <x:v>1.967</x:v>
      </x:c>
      <x:c r="AQ203" s="8" t="n">
        <x:v>139.719</x:v>
      </x:c>
      <x:c r="AR203" s="8" t="n">
        <x:v>2.715</x:v>
      </x:c>
      <x:c r="AS203" s="8" t="n">
        <x:v>214.667</x:v>
      </x:c>
      <x:c r="AT203" s="8" t="n">
        <x:v>2.661</x:v>
      </x:c>
      <x:c r="AU203" s="8" t="n">
        <x:v>154.726</x:v>
      </x:c>
      <x:c r="AV203" s="8" t="n">
        <x:v>2.438</x:v>
      </x:c>
      <x:c r="AW203" s="8" t="n">
        <x:v>185.408</x:v>
      </x:c>
      <x:c r="AX203" s="8" t="n">
        <x:v>2.376</x:v>
      </x:c>
      <x:c r="AY203" s="8" t="n">
        <x:v>189.513</x:v>
      </x:c>
      <x:c r="AZ203" s="8" t="n">
        <x:v>2.376</x:v>
      </x:c>
      <x:c r="BA203" s="8" t="n">
        <x:v>189.513</x:v>
      </x:c>
      <x:c r="BB203" s="8" t="n">
        <x:f>LET(m,MIN(IF(D203&gt;0,D203,1E+99),IF(F203&gt;0,F203,1E+99),IF(H203&gt;0,H203,1E+99),IF(J203&gt;0,J203,1E+99),IF(L203&gt;0,L203,1E+99),IF(N203&gt;0,N203,1E+99),IF(P203&gt;0,P203,1E+99),IF(R203&gt;0,R203,1E+99),IF(T203&gt;0,T203,1E+99),IF(V203&gt;0,V203,1E+99),IF(X203&gt;0,X203,1E+99),IF(Z203&gt;0,Z203,1E+99),IF(AB203&gt;0,AB203,1E+99),IF(AD203&gt;0,AD203,1E+99),IF(AF203&gt;0,AF203,1E+99),IF(AH203&gt;0,AH203,1E+99),IF(AJ203&gt;0,AJ203,1E+99),IF(AL203&gt;0,AL203,1E+99),IF(AN203&gt;0,AN203,1E+99),IF(AP203&gt;0,AP203,1E+99),IF(AR203&gt;0,AR203,1E+99),IF(AT203&gt;0,AT203,1E+99),IF(AV203&gt;0,AV203,1E+99),IF(AX203&gt;0,AX203,1E+99),IF(AZ203&gt;0,AZ203,1E+99)),IF(m=1E+99,"",m))</x:f>
        <x:v>1.5</x:v>
      </x:c>
      <x:c r="BC203" s="12" t="e">
        <x:f>IF(BB203="","",INDEX({"v1.4.20","v1.4.20","v1.4.21","v1.4.21","v1.4.23","v1.4.23","v1.4.26","v1.4.26","v1.4.26.1","v1.4.26.1","v1.4.27","v1.4.27","v1.4.29","v1.4.29","v1.4.30","v1.4.30","v1.4.31","v1.4.31","v1.4.33","v1.4.33","v1.4.35","v1.4.35.2","v1.5","v1.5.1","v1.5.1"},MATCH(BB203,CHOOSE({1,2,3,4,5,6,7,8,9,10,11,12,13,14,15,16,17,18,19,20,21,22,23,24,25},D203,F203,H203,J203,L203,N203,P203,R203,T203,V203,X203,Z203,AB203,AD203,AF203,AH203,AJ203,AL203,AN203,AP203,AR203,AT203,AV203,AX203,AZ203),0)))</x:f>
      </x:c>
      <x:c r="BD203" s="14" t="n">
        <x:f>LET(m,MIN(IF(E203&gt;0,E203,1E+99),IF(G203&gt;0,G203,1E+99),IF(I203&gt;0,I203,1E+99),IF(K203&gt;0,K203,1E+99),IF(M203&gt;0,M203,1E+99),IF(O203&gt;0,O203,1E+99),IF(Q203&gt;0,Q203,1E+99),IF(S203&gt;0,S203,1E+99),IF(U203&gt;0,U203,1E+99),IF(W203&gt;0,W203,1E+99),IF(Y203&gt;0,Y203,1E+99),IF(AA203&gt;0,AA203,1E+99),IF(AC203&gt;0,AC203,1E+99),IF(AE203&gt;0,AE203,1E+99),IF(AG203&gt;0,AG203,1E+99),IF(AI203&gt;0,AI203,1E+99),IF(AK203&gt;0,AK203,1E+99),IF(AM203&gt;0,AM203,1E+99),IF(AO203&gt;0,AO203,1E+99),IF(AQ203&gt;0,AQ203,1E+99),IF(AS203&gt;0,AS203,1E+99),IF(AU203&gt;0,AU203,1E+99),IF(AW203&gt;0,AW203,1E+99),IF(AY203&gt;0,AY203,1E+99),IF(BA203&gt;0,BA203,1E+99)),IF(m=1E+99,"",m))</x:f>
        <x:v>116.222</x:v>
      </x:c>
      <x:c r="BE203" s="16" t="e">
        <x:f>IF(BD203="","",INDEX({"v1.4.20","v1.4.20","v1.4.21","v1.4.21","v1.4.23","v1.4.23","v1.4.26","v1.4.26","v1.4.26.1","v1.4.26.1","v1.4.27","v1.4.27","v1.4.29","v1.4.29","v1.4.30","v1.4.30","v1.4.31","v1.4.31","v1.4.33","v1.4.33","v1.4.35","v1.4.35.2","v1.5","v1.5.1","v1.5.1"},MATCH(BD203,CHOOSE({1,2,3,4,5,6,7,8,9,10,11,12,13,14,15,16,17,18,19,20,21,22,23,24,25},E203,G203,I203,K203,M203,O203,Q203,S203,U203,W203,Y203,AA203,AC203,AE203,AG203,AI203,AK203,AM203,AO203,AQ203,AS203,AU203,AW203,AY203,BA203),0)))</x:f>
      </x:c>
      <x:c r="BF203" s="10" t="n">
        <x:f>IFERROR((AX203-BB203)/BB203,"")</x:f>
        <x:v>0.584</x:v>
      </x:c>
      <x:c r="BG203" s="10" t="n">
        <x:f>IFERROR((AY203-BD203)/BD203,"")</x:f>
        <x:v>0.6306121044208499</x:v>
      </x:c>
    </x:row>
    <x:row r="204">
      <x:c r="A204" t="str">
        <x:v>Monthly Change</x:v>
      </x:c>
      <x:c r="B204" t="str">
        <x:v>Create / Refresh All Templates</x:v>
      </x:c>
      <x:c r="C204" t="str">
        <x:v>Apply data row base style: Template - Monthly Change</x:v>
      </x:c>
      <x:c r="D204" s="8" t="n">
        <x:v>0</x:v>
      </x:c>
      <x:c r="E204" s="8" t="n">
        <x:v>139.73</x:v>
      </x:c>
      <x:c r="F204" s="8" t="n">
        <x:v>0</x:v>
      </x:c>
      <x:c r="G204" s="8" t="n">
        <x:v>139.73</x:v>
      </x:c>
      <x:c r="H204" s="8" t="n">
        <x:v>0</x:v>
      </x:c>
      <x:c r="I204" s="8" t="n">
        <x:v>177.116</x:v>
      </x:c>
      <x:c r="J204" s="8" t="n">
        <x:v>0</x:v>
      </x:c>
      <x:c r="K204" s="8" t="n">
        <x:v>177.116</x:v>
      </x:c>
      <x:c r="L204" s="8" t="n">
        <x:v>0</x:v>
      </x:c>
      <x:c r="M204" s="8" t="n">
        <x:v>174.419</x:v>
      </x:c>
      <x:c r="N204" s="8" t="n">
        <x:v>0</x:v>
      </x:c>
      <x:c r="O204" s="8" t="n">
        <x:v>174.419</x:v>
      </x:c>
      <x:c r="P204" s="8" t="n">
        <x:v>0</x:v>
      </x:c>
      <x:c r="Q204" s="8" t="n">
        <x:v>116.222</x:v>
      </x:c>
      <x:c r="R204" s="8" t="n">
        <x:v>0</x:v>
      </x:c>
      <x:c r="S204" s="8" t="n">
        <x:v>116.222</x:v>
      </x:c>
      <x:c r="T204" s="8" t="n">
        <x:v>0</x:v>
      </x:c>
      <x:c r="U204" s="8" t="n">
        <x:v>140.334</x:v>
      </x:c>
      <x:c r="V204" s="8" t="n">
        <x:v>0</x:v>
      </x:c>
      <x:c r="W204" s="8" t="n">
        <x:v>140.334</x:v>
      </x:c>
      <x:c r="X204" s="8" t="n">
        <x:v>0</x:v>
      </x:c>
      <x:c r="Y204" s="8" t="n">
        <x:v>214.634</x:v>
      </x:c>
      <x:c r="Z204" s="8" t="n">
        <x:v>0</x:v>
      </x:c>
      <x:c r="AA204" s="8" t="n">
        <x:v>214.634</x:v>
      </x:c>
      <x:c r="AB204" s="8" t="n">
        <x:v>0</x:v>
      </x:c>
      <x:c r="AC204" s="8" t="n">
        <x:v>195.307</x:v>
      </x:c>
      <x:c r="AD204" s="8" t="n">
        <x:v>0</x:v>
      </x:c>
      <x:c r="AE204" s="8" t="n">
        <x:v>195.307</x:v>
      </x:c>
      <x:c r="AF204" s="8" t="n">
        <x:v>0</x:v>
      </x:c>
      <x:c r="AG204" s="8" t="n">
        <x:v>200.242</x:v>
      </x:c>
      <x:c r="AH204" s="8"/>
      <x:c r="AI204" s="8"/>
      <x:c r="AJ204" s="8" t="n">
        <x:v>0</x:v>
      </x:c>
      <x:c r="AK204" s="8" t="n">
        <x:v>152.234</x:v>
      </x:c>
      <x:c r="AL204" s="8" t="n">
        <x:v>0</x:v>
      </x:c>
      <x:c r="AM204" s="8" t="n">
        <x:v>152.234</x:v>
      </x:c>
      <x:c r="AN204" s="8" t="n">
        <x:v>0</x:v>
      </x:c>
      <x:c r="AO204" s="8" t="n">
        <x:v>139.719</x:v>
      </x:c>
      <x:c r="AP204" s="8" t="n">
        <x:v>0</x:v>
      </x:c>
      <x:c r="AQ204" s="8" t="n">
        <x:v>139.719</x:v>
      </x:c>
      <x:c r="AR204" s="8" t="n">
        <x:v>0</x:v>
      </x:c>
      <x:c r="AS204" s="8" t="n">
        <x:v>214.667</x:v>
      </x:c>
      <x:c r="AT204" s="8" t="n">
        <x:v>0</x:v>
      </x:c>
      <x:c r="AU204" s="8" t="n">
        <x:v>154.726</x:v>
      </x:c>
      <x:c r="AV204" s="8" t="n">
        <x:v>0</x:v>
      </x:c>
      <x:c r="AW204" s="8" t="n">
        <x:v>185.408</x:v>
      </x:c>
      <x:c r="AX204" s="8" t="n">
        <x:v>0</x:v>
      </x:c>
      <x:c r="AY204" s="8" t="n">
        <x:v>189.513</x:v>
      </x:c>
      <x:c r="AZ204" s="8" t="n">
        <x:v>0</x:v>
      </x:c>
      <x:c r="BA204" s="8" t="n">
        <x:v>189.513</x:v>
      </x:c>
      <x:c r="BB204" s="8" t="str">
        <x:f>LET(m,MIN(IF(D204&gt;0,D204,1E+99),IF(F204&gt;0,F204,1E+99),IF(H204&gt;0,H204,1E+99),IF(J204&gt;0,J204,1E+99),IF(L204&gt;0,L204,1E+99),IF(N204&gt;0,N204,1E+99),IF(P204&gt;0,P204,1E+99),IF(R204&gt;0,R204,1E+99),IF(T204&gt;0,T204,1E+99),IF(V204&gt;0,V204,1E+99),IF(X204&gt;0,X204,1E+99),IF(Z204&gt;0,Z204,1E+99),IF(AB204&gt;0,AB204,1E+99),IF(AD204&gt;0,AD204,1E+99),IF(AF204&gt;0,AF204,1E+99),IF(AH204&gt;0,AH204,1E+99),IF(AJ204&gt;0,AJ204,1E+99),IF(AL204&gt;0,AL204,1E+99),IF(AN204&gt;0,AN204,1E+99),IF(AP204&gt;0,AP204,1E+99),IF(AR204&gt;0,AR204,1E+99),IF(AT204&gt;0,AT204,1E+99),IF(AV204&gt;0,AV204,1E+99),IF(AX204&gt;0,AX204,1E+99),IF(AZ204&gt;0,AZ204,1E+99)),IF(m=1E+99,"",m))</x:f>
      </x:c>
      <x:c r="BC204" s="12" t="str">
        <x:f>IF(BB204="","",INDEX({"v1.4.20","v1.4.20","v1.4.21","v1.4.21","v1.4.23","v1.4.23","v1.4.26","v1.4.26","v1.4.26.1","v1.4.26.1","v1.4.27","v1.4.27","v1.4.29","v1.4.29","v1.4.30","v1.4.30","v1.4.31","v1.4.31","v1.4.33","v1.4.33","v1.4.35","v1.4.35.2","v1.5","v1.5.1","v1.5.1"},MATCH(BB204,CHOOSE({1,2,3,4,5,6,7,8,9,10,11,12,13,14,15,16,17,18,19,20,21,22,23,24,25},D204,F204,H204,J204,L204,N204,P204,R204,T204,V204,X204,Z204,AB204,AD204,AF204,AH204,AJ204,AL204,AN204,AP204,AR204,AT204,AV204,AX204,AZ204),0)))</x:f>
      </x:c>
      <x:c r="BD204" s="14" t="n">
        <x:f>LET(m,MIN(IF(E204&gt;0,E204,1E+99),IF(G204&gt;0,G204,1E+99),IF(I204&gt;0,I204,1E+99),IF(K204&gt;0,K204,1E+99),IF(M204&gt;0,M204,1E+99),IF(O204&gt;0,O204,1E+99),IF(Q204&gt;0,Q204,1E+99),IF(S204&gt;0,S204,1E+99),IF(U204&gt;0,U204,1E+99),IF(W204&gt;0,W204,1E+99),IF(Y204&gt;0,Y204,1E+99),IF(AA204&gt;0,AA204,1E+99),IF(AC204&gt;0,AC204,1E+99),IF(AE204&gt;0,AE204,1E+99),IF(AG204&gt;0,AG204,1E+99),IF(AI204&gt;0,AI204,1E+99),IF(AK204&gt;0,AK204,1E+99),IF(AM204&gt;0,AM204,1E+99),IF(AO204&gt;0,AO204,1E+99),IF(AQ204&gt;0,AQ204,1E+99),IF(AS204&gt;0,AS204,1E+99),IF(AU204&gt;0,AU204,1E+99),IF(AW204&gt;0,AW204,1E+99),IF(AY204&gt;0,AY204,1E+99),IF(BA204&gt;0,BA204,1E+99)),IF(m=1E+99,"",m))</x:f>
        <x:v>116.222</x:v>
      </x:c>
      <x:c r="BE204" s="16" t="e">
        <x:f>IF(BD204="","",INDEX({"v1.4.20","v1.4.20","v1.4.21","v1.4.21","v1.4.23","v1.4.23","v1.4.26","v1.4.26","v1.4.26.1","v1.4.26.1","v1.4.27","v1.4.27","v1.4.29","v1.4.29","v1.4.30","v1.4.30","v1.4.31","v1.4.31","v1.4.33","v1.4.33","v1.4.35","v1.4.35.2","v1.5","v1.5.1","v1.5.1"},MATCH(BD204,CHOOSE({1,2,3,4,5,6,7,8,9,10,11,12,13,14,15,16,17,18,19,20,21,22,23,24,25},E204,G204,I204,K204,M204,O204,Q204,S204,U204,W204,Y204,AA204,AC204,AE204,AG204,AI204,AK204,AM204,AO204,AQ204,AS204,AU204,AW204,AY204,BA204),0)))</x:f>
      </x:c>
      <x:c r="BF204" s="10" t="str">
        <x:f>IFERROR((AX204-BB204)/BB204,"")</x:f>
      </x:c>
      <x:c r="BG204" s="10" t="n">
        <x:f>IFERROR((AY204-BD204)/BD204,"")</x:f>
        <x:v>0.6306121044208499</x:v>
      </x:c>
    </x:row>
    <x:row r="205">
      <x:c r="A205" t="str">
        <x:v>Monthly Change</x:v>
      </x:c>
      <x:c r="B205" t="str">
        <x:v>Create / Refresh All Templates</x:v>
      </x:c>
      <x:c r="C205" t="str">
        <x:v>Apply column widths: Template - Monthly Change</x:v>
      </x:c>
      <x:c r="D205" s="8" t="n">
        <x:v>0.946</x:v>
      </x:c>
      <x:c r="E205" s="8" t="n">
        <x:v>140.676</x:v>
      </x:c>
      <x:c r="F205" s="8" t="n">
        <x:v>0.946</x:v>
      </x:c>
      <x:c r="G205" s="8" t="n">
        <x:v>140.676</x:v>
      </x:c>
      <x:c r="H205" s="8" t="n">
        <x:v>1.099</x:v>
      </x:c>
      <x:c r="I205" s="8" t="n">
        <x:v>178.215</x:v>
      </x:c>
      <x:c r="J205" s="8" t="n">
        <x:v>1.099</x:v>
      </x:c>
      <x:c r="K205" s="8" t="n">
        <x:v>178.215</x:v>
      </x:c>
      <x:c r="L205" s="8" t="n">
        <x:v>1.307</x:v>
      </x:c>
      <x:c r="M205" s="8" t="n">
        <x:v>175.726</x:v>
      </x:c>
      <x:c r="N205" s="8" t="n">
        <x:v>1.307</x:v>
      </x:c>
      <x:c r="O205" s="8" t="n">
        <x:v>175.726</x:v>
      </x:c>
      <x:c r="P205" s="8" t="n">
        <x:v>0.757</x:v>
      </x:c>
      <x:c r="Q205" s="8" t="n">
        <x:v>116.979</x:v>
      </x:c>
      <x:c r="R205" s="8" t="n">
        <x:v>0.757</x:v>
      </x:c>
      <x:c r="S205" s="8" t="n">
        <x:v>116.979</x:v>
      </x:c>
      <x:c r="T205" s="8" t="n">
        <x:v>1.076</x:v>
      </x:c>
      <x:c r="U205" s="8" t="n">
        <x:v>141.41</x:v>
      </x:c>
      <x:c r="V205" s="8" t="n">
        <x:v>1.076</x:v>
      </x:c>
      <x:c r="W205" s="8" t="n">
        <x:v>141.41</x:v>
      </x:c>
      <x:c r="X205" s="8" t="n">
        <x:v>1.297</x:v>
      </x:c>
      <x:c r="Y205" s="8" t="n">
        <x:v>215.931</x:v>
      </x:c>
      <x:c r="Z205" s="8" t="n">
        <x:v>1.297</x:v>
      </x:c>
      <x:c r="AA205" s="8" t="n">
        <x:v>215.931</x:v>
      </x:c>
      <x:c r="AB205" s="8" t="n">
        <x:v>1.479</x:v>
      </x:c>
      <x:c r="AC205" s="8" t="n">
        <x:v>196.786</x:v>
      </x:c>
      <x:c r="AD205" s="8" t="n">
        <x:v>1.479</x:v>
      </x:c>
      <x:c r="AE205" s="8" t="n">
        <x:v>196.786</x:v>
      </x:c>
      <x:c r="AF205" s="8" t="n">
        <x:v>1.463</x:v>
      </x:c>
      <x:c r="AG205" s="8" t="n">
        <x:v>201.705</x:v>
      </x:c>
      <x:c r="AH205" s="8"/>
      <x:c r="AI205" s="8"/>
      <x:c r="AJ205" s="8" t="n">
        <x:v>1.345</x:v>
      </x:c>
      <x:c r="AK205" s="8" t="n">
        <x:v>153.579</x:v>
      </x:c>
      <x:c r="AL205" s="8" t="n">
        <x:v>1.345</x:v>
      </x:c>
      <x:c r="AM205" s="8" t="n">
        <x:v>153.579</x:v>
      </x:c>
      <x:c r="AN205" s="8" t="n">
        <x:v>2.323</x:v>
      </x:c>
      <x:c r="AO205" s="8" t="n">
        <x:v>142.042</x:v>
      </x:c>
      <x:c r="AP205" s="8" t="n">
        <x:v>2.323</x:v>
      </x:c>
      <x:c r="AQ205" s="8" t="n">
        <x:v>142.042</x:v>
      </x:c>
      <x:c r="AR205" s="8" t="n">
        <x:v>1.532</x:v>
      </x:c>
      <x:c r="AS205" s="8" t="n">
        <x:v>216.199</x:v>
      </x:c>
      <x:c r="AT205" s="8" t="n">
        <x:v>1.32</x:v>
      </x:c>
      <x:c r="AU205" s="8" t="n">
        <x:v>156.046</x:v>
      </x:c>
      <x:c r="AV205" s="8" t="n">
        <x:v>1.28</x:v>
      </x:c>
      <x:c r="AW205" s="8" t="n">
        <x:v>186.688</x:v>
      </x:c>
      <x:c r="AX205" s="8" t="n">
        <x:v>1.129</x:v>
      </x:c>
      <x:c r="AY205" s="8" t="n">
        <x:v>190.642</x:v>
      </x:c>
      <x:c r="AZ205" s="8" t="n">
        <x:v>1.129</x:v>
      </x:c>
      <x:c r="BA205" s="8" t="n">
        <x:v>190.642</x:v>
      </x:c>
      <x:c r="BB205" s="8" t="n">
        <x:f>LET(m,MIN(IF(D205&gt;0,D205,1E+99),IF(F205&gt;0,F205,1E+99),IF(H205&gt;0,H205,1E+99),IF(J205&gt;0,J205,1E+99),IF(L205&gt;0,L205,1E+99),IF(N205&gt;0,N205,1E+99),IF(P205&gt;0,P205,1E+99),IF(R205&gt;0,R205,1E+99),IF(T205&gt;0,T205,1E+99),IF(V205&gt;0,V205,1E+99),IF(X205&gt;0,X205,1E+99),IF(Z205&gt;0,Z205,1E+99),IF(AB205&gt;0,AB205,1E+99),IF(AD205&gt;0,AD205,1E+99),IF(AF205&gt;0,AF205,1E+99),IF(AH205&gt;0,AH205,1E+99),IF(AJ205&gt;0,AJ205,1E+99),IF(AL205&gt;0,AL205,1E+99),IF(AN205&gt;0,AN205,1E+99),IF(AP205&gt;0,AP205,1E+99),IF(AR205&gt;0,AR205,1E+99),IF(AT205&gt;0,AT205,1E+99),IF(AV205&gt;0,AV205,1E+99),IF(AX205&gt;0,AX205,1E+99),IF(AZ205&gt;0,AZ205,1E+99)),IF(m=1E+99,"",m))</x:f>
        <x:v>0.757</x:v>
      </x:c>
      <x:c r="BC205" s="12" t="e">
        <x:f>IF(BB205="","",INDEX({"v1.4.20","v1.4.20","v1.4.21","v1.4.21","v1.4.23","v1.4.23","v1.4.26","v1.4.26","v1.4.26.1","v1.4.26.1","v1.4.27","v1.4.27","v1.4.29","v1.4.29","v1.4.30","v1.4.30","v1.4.31","v1.4.31","v1.4.33","v1.4.33","v1.4.35","v1.4.35.2","v1.5","v1.5.1","v1.5.1"},MATCH(BB205,CHOOSE({1,2,3,4,5,6,7,8,9,10,11,12,13,14,15,16,17,18,19,20,21,22,23,24,25},D205,F205,H205,J205,L205,N205,P205,R205,T205,V205,X205,Z205,AB205,AD205,AF205,AH205,AJ205,AL205,AN205,AP205,AR205,AT205,AV205,AX205,AZ205),0)))</x:f>
      </x:c>
      <x:c r="BD205" s="14" t="n">
        <x:f>LET(m,MIN(IF(E205&gt;0,E205,1E+99),IF(G205&gt;0,G205,1E+99),IF(I205&gt;0,I205,1E+99),IF(K205&gt;0,K205,1E+99),IF(M205&gt;0,M205,1E+99),IF(O205&gt;0,O205,1E+99),IF(Q205&gt;0,Q205,1E+99),IF(S205&gt;0,S205,1E+99),IF(U205&gt;0,U205,1E+99),IF(W205&gt;0,W205,1E+99),IF(Y205&gt;0,Y205,1E+99),IF(AA205&gt;0,AA205,1E+99),IF(AC205&gt;0,AC205,1E+99),IF(AE205&gt;0,AE205,1E+99),IF(AG205&gt;0,AG205,1E+99),IF(AI205&gt;0,AI205,1E+99),IF(AK205&gt;0,AK205,1E+99),IF(AM205&gt;0,AM205,1E+99),IF(AO205&gt;0,AO205,1E+99),IF(AQ205&gt;0,AQ205,1E+99),IF(AS205&gt;0,AS205,1E+99),IF(AU205&gt;0,AU205,1E+99),IF(AW205&gt;0,AW205,1E+99),IF(AY205&gt;0,AY205,1E+99),IF(BA205&gt;0,BA205,1E+99)),IF(m=1E+99,"",m))</x:f>
        <x:v>116.979</x:v>
      </x:c>
      <x:c r="BE205" s="16" t="e">
        <x:f>IF(BD205="","",INDEX({"v1.4.20","v1.4.20","v1.4.21","v1.4.21","v1.4.23","v1.4.23","v1.4.26","v1.4.26","v1.4.26.1","v1.4.26.1","v1.4.27","v1.4.27","v1.4.29","v1.4.29","v1.4.30","v1.4.30","v1.4.31","v1.4.31","v1.4.33","v1.4.33","v1.4.35","v1.4.35.2","v1.5","v1.5.1","v1.5.1"},MATCH(BD205,CHOOSE({1,2,3,4,5,6,7,8,9,10,11,12,13,14,15,16,17,18,19,20,21,22,23,24,25},E205,G205,I205,K205,M205,O205,Q205,S205,U205,W205,Y205,AA205,AC205,AE205,AG205,AI205,AK205,AM205,AO205,AQ205,AS205,AU205,AW205,AY205,BA205),0)))</x:f>
      </x:c>
      <x:c r="BF205" s="10" t="n">
        <x:f>IFERROR((AX205-BB205)/BB205,"")</x:f>
        <x:v>0.4914134742404227</x:v>
      </x:c>
      <x:c r="BG205" s="10" t="n">
        <x:f>IFERROR((AY205-BD205)/BD205,"")</x:f>
        <x:v>0.6297113157062378</x:v>
      </x:c>
    </x:row>
    <x:row r="206">
      <x:c r="A206" t="str">
        <x:v>Monthly Change</x:v>
      </x:c>
      <x:c r="B206" t="str">
        <x:v>Create / Refresh All Templates</x:v>
      </x:c>
      <x:c r="C206" t="str">
        <x:v>Apply date/number formats: Template - Monthly Change</x:v>
      </x:c>
      <x:c r="D206" s="8" t="n">
        <x:v>0.137</x:v>
      </x:c>
      <x:c r="E206" s="8" t="n">
        <x:v>140.813</x:v>
      </x:c>
      <x:c r="F206" s="8" t="n">
        <x:v>0.137</x:v>
      </x:c>
      <x:c r="G206" s="8" t="n">
        <x:v>140.813</x:v>
      </x:c>
      <x:c r="H206" s="8" t="n">
        <x:v>0.112</x:v>
      </x:c>
      <x:c r="I206" s="8" t="n">
        <x:v>178.327</x:v>
      </x:c>
      <x:c r="J206" s="8" t="n">
        <x:v>0.112</x:v>
      </x:c>
      <x:c r="K206" s="8" t="n">
        <x:v>178.327</x:v>
      </x:c>
      <x:c r="L206" s="8" t="n">
        <x:v>0.153</x:v>
      </x:c>
      <x:c r="M206" s="8" t="n">
        <x:v>175.879</x:v>
      </x:c>
      <x:c r="N206" s="8" t="n">
        <x:v>0.153</x:v>
      </x:c>
      <x:c r="O206" s="8" t="n">
        <x:v>175.879</x:v>
      </x:c>
      <x:c r="P206" s="8" t="n">
        <x:v>0.197</x:v>
      </x:c>
      <x:c r="Q206" s="8" t="n">
        <x:v>117.176</x:v>
      </x:c>
      <x:c r="R206" s="8" t="n">
        <x:v>0.197</x:v>
      </x:c>
      <x:c r="S206" s="8" t="n">
        <x:v>117.176</x:v>
      </x:c>
      <x:c r="T206" s="8" t="n">
        <x:v>0.125</x:v>
      </x:c>
      <x:c r="U206" s="8" t="n">
        <x:v>141.535</x:v>
      </x:c>
      <x:c r="V206" s="8" t="n">
        <x:v>0.125</x:v>
      </x:c>
      <x:c r="W206" s="8" t="n">
        <x:v>141.535</x:v>
      </x:c>
      <x:c r="X206" s="8" t="n">
        <x:v>0.184</x:v>
      </x:c>
      <x:c r="Y206" s="8" t="n">
        <x:v>216.115</x:v>
      </x:c>
      <x:c r="Z206" s="8" t="n">
        <x:v>0.184</x:v>
      </x:c>
      <x:c r="AA206" s="8" t="n">
        <x:v>216.115</x:v>
      </x:c>
      <x:c r="AB206" s="8" t="n">
        <x:v>0.081</x:v>
      </x:c>
      <x:c r="AC206" s="8" t="n">
        <x:v>196.867</x:v>
      </x:c>
      <x:c r="AD206" s="8" t="n">
        <x:v>0.081</x:v>
      </x:c>
      <x:c r="AE206" s="8" t="n">
        <x:v>196.867</x:v>
      </x:c>
      <x:c r="AF206" s="8" t="n">
        <x:v>0.191</x:v>
      </x:c>
      <x:c r="AG206" s="8" t="n">
        <x:v>201.896</x:v>
      </x:c>
      <x:c r="AH206" s="8"/>
      <x:c r="AI206" s="8"/>
      <x:c r="AJ206" s="8" t="n">
        <x:v>0.128</x:v>
      </x:c>
      <x:c r="AK206" s="8" t="n">
        <x:v>153.707</x:v>
      </x:c>
      <x:c r="AL206" s="8" t="n">
        <x:v>0.128</x:v>
      </x:c>
      <x:c r="AM206" s="8" t="n">
        <x:v>153.707</x:v>
      </x:c>
      <x:c r="AN206" s="8" t="n">
        <x:v>0.145</x:v>
      </x:c>
      <x:c r="AO206" s="8" t="n">
        <x:v>142.187</x:v>
      </x:c>
      <x:c r="AP206" s="8" t="n">
        <x:v>0.145</x:v>
      </x:c>
      <x:c r="AQ206" s="8" t="n">
        <x:v>142.187</x:v>
      </x:c>
      <x:c r="AR206" s="8" t="n">
        <x:v>0.198</x:v>
      </x:c>
      <x:c r="AS206" s="8" t="n">
        <x:v>216.397</x:v>
      </x:c>
      <x:c r="AT206" s="8" t="n">
        <x:v>0.184</x:v>
      </x:c>
      <x:c r="AU206" s="8" t="n">
        <x:v>156.23</x:v>
      </x:c>
      <x:c r="AV206" s="8" t="n">
        <x:v>0.052</x:v>
      </x:c>
      <x:c r="AW206" s="8" t="n">
        <x:v>186.74</x:v>
      </x:c>
      <x:c r="AX206" s="8" t="n">
        <x:v>0.146</x:v>
      </x:c>
      <x:c r="AY206" s="8" t="n">
        <x:v>190.788</x:v>
      </x:c>
      <x:c r="AZ206" s="8" t="n">
        <x:v>0.146</x:v>
      </x:c>
      <x:c r="BA206" s="8" t="n">
        <x:v>190.788</x:v>
      </x:c>
      <x:c r="BB206" s="8" t="n">
        <x:f>LET(m,MIN(IF(D206&gt;0,D206,1E+99),IF(F206&gt;0,F206,1E+99),IF(H206&gt;0,H206,1E+99),IF(J206&gt;0,J206,1E+99),IF(L206&gt;0,L206,1E+99),IF(N206&gt;0,N206,1E+99),IF(P206&gt;0,P206,1E+99),IF(R206&gt;0,R206,1E+99),IF(T206&gt;0,T206,1E+99),IF(V206&gt;0,V206,1E+99),IF(X206&gt;0,X206,1E+99),IF(Z206&gt;0,Z206,1E+99),IF(AB206&gt;0,AB206,1E+99),IF(AD206&gt;0,AD206,1E+99),IF(AF206&gt;0,AF206,1E+99),IF(AH206&gt;0,AH206,1E+99),IF(AJ206&gt;0,AJ206,1E+99),IF(AL206&gt;0,AL206,1E+99),IF(AN206&gt;0,AN206,1E+99),IF(AP206&gt;0,AP206,1E+99),IF(AR206&gt;0,AR206,1E+99),IF(AT206&gt;0,AT206,1E+99),IF(AV206&gt;0,AV206,1E+99),IF(AX206&gt;0,AX206,1E+99),IF(AZ206&gt;0,AZ206,1E+99)),IF(m=1E+99,"",m))</x:f>
        <x:v>0.052</x:v>
      </x:c>
      <x:c r="BC206" s="12" t="e">
        <x:f>IF(BB206="","",INDEX({"v1.4.20","v1.4.20","v1.4.21","v1.4.21","v1.4.23","v1.4.23","v1.4.26","v1.4.26","v1.4.26.1","v1.4.26.1","v1.4.27","v1.4.27","v1.4.29","v1.4.29","v1.4.30","v1.4.30","v1.4.31","v1.4.31","v1.4.33","v1.4.33","v1.4.35","v1.4.35.2","v1.5","v1.5.1","v1.5.1"},MATCH(BB206,CHOOSE({1,2,3,4,5,6,7,8,9,10,11,12,13,14,15,16,17,18,19,20,21,22,23,24,25},D206,F206,H206,J206,L206,N206,P206,R206,T206,V206,X206,Z206,AB206,AD206,AF206,AH206,AJ206,AL206,AN206,AP206,AR206,AT206,AV206,AX206,AZ206),0)))</x:f>
      </x:c>
      <x:c r="BD206" s="14" t="n">
        <x:f>LET(m,MIN(IF(E206&gt;0,E206,1E+99),IF(G206&gt;0,G206,1E+99),IF(I206&gt;0,I206,1E+99),IF(K206&gt;0,K206,1E+99),IF(M206&gt;0,M206,1E+99),IF(O206&gt;0,O206,1E+99),IF(Q206&gt;0,Q206,1E+99),IF(S206&gt;0,S206,1E+99),IF(U206&gt;0,U206,1E+99),IF(W206&gt;0,W206,1E+99),IF(Y206&gt;0,Y206,1E+99),IF(AA206&gt;0,AA206,1E+99),IF(AC206&gt;0,AC206,1E+99),IF(AE206&gt;0,AE206,1E+99),IF(AG206&gt;0,AG206,1E+99),IF(AI206&gt;0,AI206,1E+99),IF(AK206&gt;0,AK206,1E+99),IF(AM206&gt;0,AM206,1E+99),IF(AO206&gt;0,AO206,1E+99),IF(AQ206&gt;0,AQ206,1E+99),IF(AS206&gt;0,AS206,1E+99),IF(AU206&gt;0,AU206,1E+99),IF(AW206&gt;0,AW206,1E+99),IF(AY206&gt;0,AY206,1E+99),IF(BA206&gt;0,BA206,1E+99)),IF(m=1E+99,"",m))</x:f>
        <x:v>117.176</x:v>
      </x:c>
      <x:c r="BE206" s="16" t="e">
        <x:f>IF(BD206="","",INDEX({"v1.4.20","v1.4.20","v1.4.21","v1.4.21","v1.4.23","v1.4.23","v1.4.26","v1.4.26","v1.4.26.1","v1.4.26.1","v1.4.27","v1.4.27","v1.4.29","v1.4.29","v1.4.30","v1.4.30","v1.4.31","v1.4.31","v1.4.33","v1.4.33","v1.4.35","v1.4.35.2","v1.5","v1.5.1","v1.5.1"},MATCH(BD206,CHOOSE({1,2,3,4,5,6,7,8,9,10,11,12,13,14,15,16,17,18,19,20,21,22,23,24,25},E206,G206,I206,K206,M206,O206,Q206,S206,U206,W206,Y206,AA206,AC206,AE206,AG206,AI206,AK206,AM206,AO206,AQ206,AS206,AU206,AW206,AY206,BA206),0)))</x:f>
      </x:c>
      <x:c r="BF206" s="10" t="n">
        <x:f>IFERROR((AX206-BB206)/BB206,"")</x:f>
        <x:v>1.8076923076923077</x:v>
      </x:c>
      <x:c r="BG206" s="10" t="n">
        <x:f>IFERROR((AY206-BD206)/BD206,"")</x:f>
        <x:v>0.6282173823991262</x:v>
      </x:c>
    </x:row>
    <x:row r="207">
      <x:c r="A207" t="str">
        <x:v>Monthly Change</x:v>
      </x:c>
      <x:c r="B207" t="str">
        <x:v>Create / Refresh All Templates</x:v>
      </x:c>
      <x:c r="C207" t="str">
        <x:v>Apply hidden/show column settings: Template - Monthly Change</x:v>
      </x:c>
      <x:c r="D207" s="8" t="n">
        <x:v>0.015</x:v>
      </x:c>
      <x:c r="E207" s="8" t="n">
        <x:v>140.828</x:v>
      </x:c>
      <x:c r="F207" s="8" t="n">
        <x:v>0.015</x:v>
      </x:c>
      <x:c r="G207" s="8" t="n">
        <x:v>140.828</x:v>
      </x:c>
      <x:c r="H207" s="8" t="n">
        <x:v>0.012</x:v>
      </x:c>
      <x:c r="I207" s="8" t="n">
        <x:v>178.339</x:v>
      </x:c>
      <x:c r="J207" s="8" t="n">
        <x:v>0.012</x:v>
      </x:c>
      <x:c r="K207" s="8" t="n">
        <x:v>178.339</x:v>
      </x:c>
      <x:c r="L207" s="8" t="n">
        <x:v>0.018</x:v>
      </x:c>
      <x:c r="M207" s="8" t="n">
        <x:v>175.897</x:v>
      </x:c>
      <x:c r="N207" s="8" t="n">
        <x:v>0.018</x:v>
      </x:c>
      <x:c r="O207" s="8" t="n">
        <x:v>175.897</x:v>
      </x:c>
      <x:c r="P207" s="8" t="n">
        <x:v>0.015</x:v>
      </x:c>
      <x:c r="Q207" s="8" t="n">
        <x:v>117.191</x:v>
      </x:c>
      <x:c r="R207" s="8" t="n">
        <x:v>0.015</x:v>
      </x:c>
      <x:c r="S207" s="8" t="n">
        <x:v>117.191</x:v>
      </x:c>
      <x:c r="T207" s="8" t="n">
        <x:v>0.009</x:v>
      </x:c>
      <x:c r="U207" s="8" t="n">
        <x:v>141.544</x:v>
      </x:c>
      <x:c r="V207" s="8" t="n">
        <x:v>0.009</x:v>
      </x:c>
      <x:c r="W207" s="8" t="n">
        <x:v>141.544</x:v>
      </x:c>
      <x:c r="X207" s="8" t="n">
        <x:v>0.012</x:v>
      </x:c>
      <x:c r="Y207" s="8" t="n">
        <x:v>216.127</x:v>
      </x:c>
      <x:c r="Z207" s="8" t="n">
        <x:v>0.012</x:v>
      </x:c>
      <x:c r="AA207" s="8" t="n">
        <x:v>216.127</x:v>
      </x:c>
      <x:c r="AB207" s="8" t="n">
        <x:v>0.008</x:v>
      </x:c>
      <x:c r="AC207" s="8" t="n">
        <x:v>196.875</x:v>
      </x:c>
      <x:c r="AD207" s="8" t="n">
        <x:v>0.008</x:v>
      </x:c>
      <x:c r="AE207" s="8" t="n">
        <x:v>196.875</x:v>
      </x:c>
      <x:c r="AF207" s="8" t="n">
        <x:v>0.013</x:v>
      </x:c>
      <x:c r="AG207" s="8" t="n">
        <x:v>201.909</x:v>
      </x:c>
      <x:c r="AH207" s="8"/>
      <x:c r="AI207" s="8"/>
      <x:c r="AJ207" s="8" t="n">
        <x:v>0.011</x:v>
      </x:c>
      <x:c r="AK207" s="8" t="n">
        <x:v>153.718</x:v>
      </x:c>
      <x:c r="AL207" s="8" t="n">
        <x:v>0.011</x:v>
      </x:c>
      <x:c r="AM207" s="8" t="n">
        <x:v>153.718</x:v>
      </x:c>
      <x:c r="AN207" s="8" t="n">
        <x:v>0.021</x:v>
      </x:c>
      <x:c r="AO207" s="8" t="n">
        <x:v>142.208</x:v>
      </x:c>
      <x:c r="AP207" s="8" t="n">
        <x:v>0.021</x:v>
      </x:c>
      <x:c r="AQ207" s="8" t="n">
        <x:v>142.208</x:v>
      </x:c>
      <x:c r="AR207" s="8" t="n">
        <x:v>0.021</x:v>
      </x:c>
      <x:c r="AS207" s="8" t="n">
        <x:v>216.418</x:v>
      </x:c>
      <x:c r="AT207" s="8" t="n">
        <x:v>0.022</x:v>
      </x:c>
      <x:c r="AU207" s="8" t="n">
        <x:v>156.252</x:v>
      </x:c>
      <x:c r="AV207" s="8" t="n">
        <x:v>0.005</x:v>
      </x:c>
      <x:c r="AW207" s="8" t="n">
        <x:v>186.745</x:v>
      </x:c>
      <x:c r="AX207" s="8" t="n">
        <x:v>0.016</x:v>
      </x:c>
      <x:c r="AY207" s="8" t="n">
        <x:v>190.804</x:v>
      </x:c>
      <x:c r="AZ207" s="8" t="n">
        <x:v>0.016</x:v>
      </x:c>
      <x:c r="BA207" s="8" t="n">
        <x:v>190.804</x:v>
      </x:c>
      <x:c r="BB207" s="8" t="n">
        <x:f>LET(m,MIN(IF(D207&gt;0,D207,1E+99),IF(F207&gt;0,F207,1E+99),IF(H207&gt;0,H207,1E+99),IF(J207&gt;0,J207,1E+99),IF(L207&gt;0,L207,1E+99),IF(N207&gt;0,N207,1E+99),IF(P207&gt;0,P207,1E+99),IF(R207&gt;0,R207,1E+99),IF(T207&gt;0,T207,1E+99),IF(V207&gt;0,V207,1E+99),IF(X207&gt;0,X207,1E+99),IF(Z207&gt;0,Z207,1E+99),IF(AB207&gt;0,AB207,1E+99),IF(AD207&gt;0,AD207,1E+99),IF(AF207&gt;0,AF207,1E+99),IF(AH207&gt;0,AH207,1E+99),IF(AJ207&gt;0,AJ207,1E+99),IF(AL207&gt;0,AL207,1E+99),IF(AN207&gt;0,AN207,1E+99),IF(AP207&gt;0,AP207,1E+99),IF(AR207&gt;0,AR207,1E+99),IF(AT207&gt;0,AT207,1E+99),IF(AV207&gt;0,AV207,1E+99),IF(AX207&gt;0,AX207,1E+99),IF(AZ207&gt;0,AZ207,1E+99)),IF(m=1E+99,"",m))</x:f>
        <x:v>0.005</x:v>
      </x:c>
      <x:c r="BC207" s="12" t="e">
        <x:f>IF(BB207="","",INDEX({"v1.4.20","v1.4.20","v1.4.21","v1.4.21","v1.4.23","v1.4.23","v1.4.26","v1.4.26","v1.4.26.1","v1.4.26.1","v1.4.27","v1.4.27","v1.4.29","v1.4.29","v1.4.30","v1.4.30","v1.4.31","v1.4.31","v1.4.33","v1.4.33","v1.4.35","v1.4.35.2","v1.5","v1.5.1","v1.5.1"},MATCH(BB207,CHOOSE({1,2,3,4,5,6,7,8,9,10,11,12,13,14,15,16,17,18,19,20,21,22,23,24,25},D207,F207,H207,J207,L207,N207,P207,R207,T207,V207,X207,Z207,AB207,AD207,AF207,AH207,AJ207,AL207,AN207,AP207,AR207,AT207,AV207,AX207,AZ207),0)))</x:f>
      </x:c>
      <x:c r="BD207" s="14" t="n">
        <x:f>LET(m,MIN(IF(E207&gt;0,E207,1E+99),IF(G207&gt;0,G207,1E+99),IF(I207&gt;0,I207,1E+99),IF(K207&gt;0,K207,1E+99),IF(M207&gt;0,M207,1E+99),IF(O207&gt;0,O207,1E+99),IF(Q207&gt;0,Q207,1E+99),IF(S207&gt;0,S207,1E+99),IF(U207&gt;0,U207,1E+99),IF(W207&gt;0,W207,1E+99),IF(Y207&gt;0,Y207,1E+99),IF(AA207&gt;0,AA207,1E+99),IF(AC207&gt;0,AC207,1E+99),IF(AE207&gt;0,AE207,1E+99),IF(AG207&gt;0,AG207,1E+99),IF(AI207&gt;0,AI207,1E+99),IF(AK207&gt;0,AK207,1E+99),IF(AM207&gt;0,AM207,1E+99),IF(AO207&gt;0,AO207,1E+99),IF(AQ207&gt;0,AQ207,1E+99),IF(AS207&gt;0,AS207,1E+99),IF(AU207&gt;0,AU207,1E+99),IF(AW207&gt;0,AW207,1E+99),IF(AY207&gt;0,AY207,1E+99),IF(BA207&gt;0,BA207,1E+99)),IF(m=1E+99,"",m))</x:f>
        <x:v>117.191</x:v>
      </x:c>
      <x:c r="BE207" s="16" t="e">
        <x:f>IF(BD207="","",INDEX({"v1.4.20","v1.4.20","v1.4.21","v1.4.21","v1.4.23","v1.4.23","v1.4.26","v1.4.26","v1.4.26.1","v1.4.26.1","v1.4.27","v1.4.27","v1.4.29","v1.4.29","v1.4.30","v1.4.30","v1.4.31","v1.4.31","v1.4.33","v1.4.33","v1.4.35","v1.4.35.2","v1.5","v1.5.1","v1.5.1"},MATCH(BD207,CHOOSE({1,2,3,4,5,6,7,8,9,10,11,12,13,14,15,16,17,18,19,20,21,22,23,24,25},E207,G207,I207,K207,M207,O207,Q207,S207,U207,W207,Y207,AA207,AC207,AE207,AG207,AI207,AK207,AM207,AO207,AQ207,AS207,AU207,AW207,AY207,BA207),0)))</x:f>
      </x:c>
      <x:c r="BF207" s="10" t="n">
        <x:f>IFERROR((AX207-BB207)/BB207,"")</x:f>
        <x:v>2.1999999999999997</x:v>
      </x:c>
      <x:c r="BG207" s="10" t="n">
        <x:f>IFERROR((AY207-BD207)/BD207,"")</x:f>
        <x:v>0.6281455060542191</x:v>
      </x:c>
    </x:row>
    <x:row r="208">
      <x:c r="A208" t="str">
        <x:v>Monthly Change</x:v>
      </x:c>
      <x:c r="B208" t="str">
        <x:v>Create / Refresh All Templates</x:v>
      </x:c>
      <x:c r="C208" t="str">
        <x:v>No existing filter to remove: Template - Monthly Change</x:v>
      </x:c>
      <x:c r="D208" s="8" t="n">
        <x:v>0.24</x:v>
      </x:c>
      <x:c r="E208" s="8" t="n">
        <x:v>141.068</x:v>
      </x:c>
      <x:c r="F208" s="8" t="n">
        <x:v>0.24</x:v>
      </x:c>
      <x:c r="G208" s="8" t="n">
        <x:v>141.068</x:v>
      </x:c>
      <x:c r="H208" s="8" t="n">
        <x:v>0.155</x:v>
      </x:c>
      <x:c r="I208" s="8" t="n">
        <x:v>178.494</x:v>
      </x:c>
      <x:c r="J208" s="8" t="n">
        <x:v>0.155</x:v>
      </x:c>
      <x:c r="K208" s="8" t="n">
        <x:v>178.494</x:v>
      </x:c>
      <x:c r="L208" s="8"/>
      <x:c r="M208" s="8"/>
      <x:c r="N208" s="8"/>
      <x:c r="O208" s="8"/>
      <x:c r="P208" s="8" t="n">
        <x:v>0.271</x:v>
      </x:c>
      <x:c r="Q208" s="8" t="n">
        <x:v>117.462</x:v>
      </x:c>
      <x:c r="R208" s="8" t="n">
        <x:v>0.271</x:v>
      </x:c>
      <x:c r="S208" s="8" t="n">
        <x:v>117.462</x:v>
      </x:c>
      <x:c r="T208" s="8" t="n">
        <x:v>0.274</x:v>
      </x:c>
      <x:c r="U208" s="8" t="n">
        <x:v>141.818</x:v>
      </x:c>
      <x:c r="V208" s="8" t="n">
        <x:v>0.274</x:v>
      </x:c>
      <x:c r="W208" s="8" t="n">
        <x:v>141.818</x:v>
      </x:c>
      <x:c r="X208" s="8" t="n">
        <x:v>0.24</x:v>
      </x:c>
      <x:c r="Y208" s="8" t="n">
        <x:v>216.367</x:v>
      </x:c>
      <x:c r="Z208" s="8" t="n">
        <x:v>0.24</x:v>
      </x:c>
      <x:c r="AA208" s="8" t="n">
        <x:v>216.367</x:v>
      </x:c>
      <x:c r="AB208" s="8" t="n">
        <x:v>0.18</x:v>
      </x:c>
      <x:c r="AC208" s="8" t="n">
        <x:v>197.055</x:v>
      </x:c>
      <x:c r="AD208" s="8" t="n">
        <x:v>0.18</x:v>
      </x:c>
      <x:c r="AE208" s="8" t="n">
        <x:v>197.055</x:v>
      </x:c>
      <x:c r="AF208" s="8" t="n">
        <x:v>0.121</x:v>
      </x:c>
      <x:c r="AG208" s="8" t="n">
        <x:v>202.03</x:v>
      </x:c>
      <x:c r="AH208" s="8"/>
      <x:c r="AI208" s="8"/>
      <x:c r="AJ208" s="8" t="n">
        <x:v>0.401</x:v>
      </x:c>
      <x:c r="AK208" s="8" t="n">
        <x:v>154.119</x:v>
      </x:c>
      <x:c r="AL208" s="8" t="n">
        <x:v>0.401</x:v>
      </x:c>
      <x:c r="AM208" s="8" t="n">
        <x:v>154.119</x:v>
      </x:c>
      <x:c r="AN208" s="8" t="n">
        <x:v>0.232</x:v>
      </x:c>
      <x:c r="AO208" s="8" t="n">
        <x:v>142.44</x:v>
      </x:c>
      <x:c r="AP208" s="8" t="n">
        <x:v>0.232</x:v>
      </x:c>
      <x:c r="AQ208" s="8" t="n">
        <x:v>142.44</x:v>
      </x:c>
      <x:c r="AR208" s="8" t="n">
        <x:v>0.289</x:v>
      </x:c>
      <x:c r="AS208" s="8" t="n">
        <x:v>216.707</x:v>
      </x:c>
      <x:c r="AT208" s="8" t="n">
        <x:v>0.695</x:v>
      </x:c>
      <x:c r="AU208" s="8" t="n">
        <x:v>156.947</x:v>
      </x:c>
      <x:c r="AV208" s="8" t="n">
        <x:v>1.931</x:v>
      </x:c>
      <x:c r="AW208" s="8" t="n">
        <x:v>188.676</x:v>
      </x:c>
      <x:c r="AX208" s="8" t="n">
        <x:v>0.221</x:v>
      </x:c>
      <x:c r="AY208" s="8" t="n">
        <x:v>191.025</x:v>
      </x:c>
      <x:c r="AZ208" s="8" t="n">
        <x:v>0.221</x:v>
      </x:c>
      <x:c r="BA208" s="8" t="n">
        <x:v>191.025</x:v>
      </x:c>
      <x:c r="BB208" s="8" t="n">
        <x:f>LET(m,MIN(IF(D208&gt;0,D208,1E+99),IF(F208&gt;0,F208,1E+99),IF(H208&gt;0,H208,1E+99),IF(J208&gt;0,J208,1E+99),IF(L208&gt;0,L208,1E+99),IF(N208&gt;0,N208,1E+99),IF(P208&gt;0,P208,1E+99),IF(R208&gt;0,R208,1E+99),IF(T208&gt;0,T208,1E+99),IF(V208&gt;0,V208,1E+99),IF(X208&gt;0,X208,1E+99),IF(Z208&gt;0,Z208,1E+99),IF(AB208&gt;0,AB208,1E+99),IF(AD208&gt;0,AD208,1E+99),IF(AF208&gt;0,AF208,1E+99),IF(AH208&gt;0,AH208,1E+99),IF(AJ208&gt;0,AJ208,1E+99),IF(AL208&gt;0,AL208,1E+99),IF(AN208&gt;0,AN208,1E+99),IF(AP208&gt;0,AP208,1E+99),IF(AR208&gt;0,AR208,1E+99),IF(AT208&gt;0,AT208,1E+99),IF(AV208&gt;0,AV208,1E+99),IF(AX208&gt;0,AX208,1E+99),IF(AZ208&gt;0,AZ208,1E+99)),IF(m=1E+99,"",m))</x:f>
        <x:v>0.121</x:v>
      </x:c>
      <x:c r="BC208" s="12" t="e">
        <x:f>IF(BB208="","",INDEX({"v1.4.20","v1.4.20","v1.4.21","v1.4.21","v1.4.23","v1.4.23","v1.4.26","v1.4.26","v1.4.26.1","v1.4.26.1","v1.4.27","v1.4.27","v1.4.29","v1.4.29","v1.4.30","v1.4.30","v1.4.31","v1.4.31","v1.4.33","v1.4.33","v1.4.35","v1.4.35.2","v1.5","v1.5.1","v1.5.1"},MATCH(BB208,CHOOSE({1,2,3,4,5,6,7,8,9,10,11,12,13,14,15,16,17,18,19,20,21,22,23,24,25},D208,F208,H208,J208,L208,N208,P208,R208,T208,V208,X208,Z208,AB208,AD208,AF208,AH208,AJ208,AL208,AN208,AP208,AR208,AT208,AV208,AX208,AZ208),0)))</x:f>
      </x:c>
      <x:c r="BD208" s="14" t="n">
        <x:f>LET(m,MIN(IF(E208&gt;0,E208,1E+99),IF(G208&gt;0,G208,1E+99),IF(I208&gt;0,I208,1E+99),IF(K208&gt;0,K208,1E+99),IF(M208&gt;0,M208,1E+99),IF(O208&gt;0,O208,1E+99),IF(Q208&gt;0,Q208,1E+99),IF(S208&gt;0,S208,1E+99),IF(U208&gt;0,U208,1E+99),IF(W208&gt;0,W208,1E+99),IF(Y208&gt;0,Y208,1E+99),IF(AA208&gt;0,AA208,1E+99),IF(AC208&gt;0,AC208,1E+99),IF(AE208&gt;0,AE208,1E+99),IF(AG208&gt;0,AG208,1E+99),IF(AI208&gt;0,AI208,1E+99),IF(AK208&gt;0,AK208,1E+99),IF(AM208&gt;0,AM208,1E+99),IF(AO208&gt;0,AO208,1E+99),IF(AQ208&gt;0,AQ208,1E+99),IF(AS208&gt;0,AS208,1E+99),IF(AU208&gt;0,AU208,1E+99),IF(AW208&gt;0,AW208,1E+99),IF(AY208&gt;0,AY208,1E+99),IF(BA208&gt;0,BA208,1E+99)),IF(m=1E+99,"",m))</x:f>
        <x:v>117.462</x:v>
      </x:c>
      <x:c r="BE208" s="16" t="e">
        <x:f>IF(BD208="","",INDEX({"v1.4.20","v1.4.20","v1.4.21","v1.4.21","v1.4.23","v1.4.23","v1.4.26","v1.4.26","v1.4.26.1","v1.4.26.1","v1.4.27","v1.4.27","v1.4.29","v1.4.29","v1.4.30","v1.4.30","v1.4.31","v1.4.31","v1.4.33","v1.4.33","v1.4.35","v1.4.35.2","v1.5","v1.5.1","v1.5.1"},MATCH(BD208,CHOOSE({1,2,3,4,5,6,7,8,9,10,11,12,13,14,15,16,17,18,19,20,21,22,23,24,25},E208,G208,I208,K208,M208,O208,Q208,S208,U208,W208,Y208,AA208,AC208,AE208,AG208,AI208,AK208,AM208,AO208,AQ208,AS208,AU208,AW208,AY208,BA208),0)))</x:f>
      </x:c>
      <x:c r="BF208" s="10" t="n">
        <x:f>IFERROR((AX208-BB208)/BB208,"")</x:f>
        <x:v>0.8264462809917356</x:v>
      </x:c>
      <x:c r="BG208" s="10" t="n">
        <x:f>IFERROR((AY208-BD208)/BD208,"")</x:f>
        <x:v>0.626270623691066</x:v>
      </x:c>
    </x:row>
    <x:row r="209">
      <x:c r="A209" t="str">
        <x:v>Monthly Change</x:v>
      </x:c>
      <x:c r="B209" t="str">
        <x:v>Create / Refresh All Templates</x:v>
      </x:c>
      <x:c r="C209" t="str">
        <x:v>Create filter: Template - Monthly Change</x:v>
      </x:c>
      <x:c r="D209" s="8" t="n">
        <x:v>2.053</x:v>
      </x:c>
      <x:c r="E209" s="8" t="n">
        <x:v>143.121</x:v>
      </x:c>
      <x:c r="F209" s="8" t="n">
        <x:v>2.053</x:v>
      </x:c>
      <x:c r="G209" s="8" t="n">
        <x:v>143.121</x:v>
      </x:c>
      <x:c r="H209" s="8" t="n">
        <x:v>2.611</x:v>
      </x:c>
      <x:c r="I209" s="8" t="n">
        <x:v>181.105</x:v>
      </x:c>
      <x:c r="J209" s="8" t="n">
        <x:v>2.611</x:v>
      </x:c>
      <x:c r="K209" s="8" t="n">
        <x:v>181.105</x:v>
      </x:c>
      <x:c r="L209" s="8" t="n">
        <x:v>3.11</x:v>
      </x:c>
      <x:c r="M209" s="8" t="n">
        <x:v>179.007</x:v>
      </x:c>
      <x:c r="N209" s="8" t="n">
        <x:v>3.11</x:v>
      </x:c>
      <x:c r="O209" s="8" t="n">
        <x:v>179.007</x:v>
      </x:c>
      <x:c r="P209" s="8" t="n">
        <x:v>1.336</x:v>
      </x:c>
      <x:c r="Q209" s="8" t="n">
        <x:v>118.798</x:v>
      </x:c>
      <x:c r="R209" s="8" t="n">
        <x:v>1.336</x:v>
      </x:c>
      <x:c r="S209" s="8" t="n">
        <x:v>118.798</x:v>
      </x:c>
      <x:c r="T209" s="8" t="n">
        <x:v>2.41</x:v>
      </x:c>
      <x:c r="U209" s="8" t="n">
        <x:v>144.228</x:v>
      </x:c>
      <x:c r="V209" s="8" t="n">
        <x:v>2.41</x:v>
      </x:c>
      <x:c r="W209" s="8" t="n">
        <x:v>144.228</x:v>
      </x:c>
      <x:c r="X209" s="8" t="n">
        <x:v>3.213</x:v>
      </x:c>
      <x:c r="Y209" s="8" t="n">
        <x:v>219.58</x:v>
      </x:c>
      <x:c r="Z209" s="8" t="n">
        <x:v>3.213</x:v>
      </x:c>
      <x:c r="AA209" s="8" t="n">
        <x:v>219.58</x:v>
      </x:c>
      <x:c r="AB209" s="8" t="n">
        <x:v>3.609</x:v>
      </x:c>
      <x:c r="AC209" s="8" t="n">
        <x:v>200.664</x:v>
      </x:c>
      <x:c r="AD209" s="8" t="n">
        <x:v>3.609</x:v>
      </x:c>
      <x:c r="AE209" s="8" t="n">
        <x:v>200.664</x:v>
      </x:c>
      <x:c r="AF209" s="8" t="n">
        <x:v>3.279</x:v>
      </x:c>
      <x:c r="AG209" s="8" t="n">
        <x:v>205.309</x:v>
      </x:c>
      <x:c r="AH209" s="8"/>
      <x:c r="AI209" s="8"/>
      <x:c r="AJ209" s="8" t="n">
        <x:v>3.102</x:v>
      </x:c>
      <x:c r="AK209" s="8" t="n">
        <x:v>157.221</x:v>
      </x:c>
      <x:c r="AL209" s="8" t="n">
        <x:v>3.102</x:v>
      </x:c>
      <x:c r="AM209" s="8" t="n">
        <x:v>157.221</x:v>
      </x:c>
      <x:c r="AN209" s="8" t="n">
        <x:v>2.114</x:v>
      </x:c>
      <x:c r="AO209" s="8" t="n">
        <x:v>144.554</x:v>
      </x:c>
      <x:c r="AP209" s="8" t="n">
        <x:v>2.114</x:v>
      </x:c>
      <x:c r="AQ209" s="8" t="n">
        <x:v>144.554</x:v>
      </x:c>
      <x:c r="AR209" s="8" t="n">
        <x:v>3.144</x:v>
      </x:c>
      <x:c r="AS209" s="8" t="n">
        <x:v>219.851</x:v>
      </x:c>
      <x:c r="AT209" s="8" t="n">
        <x:v>1.951</x:v>
      </x:c>
      <x:c r="AU209" s="8" t="n">
        <x:v>158.898</x:v>
      </x:c>
      <x:c r="AV209" s="8" t="n">
        <x:v>2.716</x:v>
      </x:c>
      <x:c r="AW209" s="8" t="n">
        <x:v>191.392</x:v>
      </x:c>
      <x:c r="AX209" s="8" t="n">
        <x:v>2.954</x:v>
      </x:c>
      <x:c r="AY209" s="8" t="n">
        <x:v>193.979</x:v>
      </x:c>
      <x:c r="AZ209" s="8" t="n">
        <x:v>2.954</x:v>
      </x:c>
      <x:c r="BA209" s="8" t="n">
        <x:v>193.979</x:v>
      </x:c>
      <x:c r="BB209" s="8" t="n">
        <x:f>LET(m,MIN(IF(D209&gt;0,D209,1E+99),IF(F209&gt;0,F209,1E+99),IF(H209&gt;0,H209,1E+99),IF(J209&gt;0,J209,1E+99),IF(L209&gt;0,L209,1E+99),IF(N209&gt;0,N209,1E+99),IF(P209&gt;0,P209,1E+99),IF(R209&gt;0,R209,1E+99),IF(T209&gt;0,T209,1E+99),IF(V209&gt;0,V209,1E+99),IF(X209&gt;0,X209,1E+99),IF(Z209&gt;0,Z209,1E+99),IF(AB209&gt;0,AB209,1E+99),IF(AD209&gt;0,AD209,1E+99),IF(AF209&gt;0,AF209,1E+99),IF(AH209&gt;0,AH209,1E+99),IF(AJ209&gt;0,AJ209,1E+99),IF(AL209&gt;0,AL209,1E+99),IF(AN209&gt;0,AN209,1E+99),IF(AP209&gt;0,AP209,1E+99),IF(AR209&gt;0,AR209,1E+99),IF(AT209&gt;0,AT209,1E+99),IF(AV209&gt;0,AV209,1E+99),IF(AX209&gt;0,AX209,1E+99),IF(AZ209&gt;0,AZ209,1E+99)),IF(m=1E+99,"",m))</x:f>
        <x:v>1.336</x:v>
      </x:c>
      <x:c r="BC209" s="12" t="e">
        <x:f>IF(BB209="","",INDEX({"v1.4.20","v1.4.20","v1.4.21","v1.4.21","v1.4.23","v1.4.23","v1.4.26","v1.4.26","v1.4.26.1","v1.4.26.1","v1.4.27","v1.4.27","v1.4.29","v1.4.29","v1.4.30","v1.4.30","v1.4.31","v1.4.31","v1.4.33","v1.4.33","v1.4.35","v1.4.35.2","v1.5","v1.5.1","v1.5.1"},MATCH(BB209,CHOOSE({1,2,3,4,5,6,7,8,9,10,11,12,13,14,15,16,17,18,19,20,21,22,23,24,25},D209,F209,H209,J209,L209,N209,P209,R209,T209,V209,X209,Z209,AB209,AD209,AF209,AH209,AJ209,AL209,AN209,AP209,AR209,AT209,AV209,AX209,AZ209),0)))</x:f>
      </x:c>
      <x:c r="BD209" s="14" t="n">
        <x:f>LET(m,MIN(IF(E209&gt;0,E209,1E+99),IF(G209&gt;0,G209,1E+99),IF(I209&gt;0,I209,1E+99),IF(K209&gt;0,K209,1E+99),IF(M209&gt;0,M209,1E+99),IF(O209&gt;0,O209,1E+99),IF(Q209&gt;0,Q209,1E+99),IF(S209&gt;0,S209,1E+99),IF(U209&gt;0,U209,1E+99),IF(W209&gt;0,W209,1E+99),IF(Y209&gt;0,Y209,1E+99),IF(AA209&gt;0,AA209,1E+99),IF(AC209&gt;0,AC209,1E+99),IF(AE209&gt;0,AE209,1E+99),IF(AG209&gt;0,AG209,1E+99),IF(AI209&gt;0,AI209,1E+99),IF(AK209&gt;0,AK209,1E+99),IF(AM209&gt;0,AM209,1E+99),IF(AO209&gt;0,AO209,1E+99),IF(AQ209&gt;0,AQ209,1E+99),IF(AS209&gt;0,AS209,1E+99),IF(AU209&gt;0,AU209,1E+99),IF(AW209&gt;0,AW209,1E+99),IF(AY209&gt;0,AY209,1E+99),IF(BA209&gt;0,BA209,1E+99)),IF(m=1E+99,"",m))</x:f>
        <x:v>118.798</x:v>
      </x:c>
      <x:c r="BE209" s="16" t="e">
        <x:f>IF(BD209="","",INDEX({"v1.4.20","v1.4.20","v1.4.21","v1.4.21","v1.4.23","v1.4.23","v1.4.26","v1.4.26","v1.4.26.1","v1.4.26.1","v1.4.27","v1.4.27","v1.4.29","v1.4.29","v1.4.30","v1.4.30","v1.4.31","v1.4.31","v1.4.33","v1.4.33","v1.4.35","v1.4.35.2","v1.5","v1.5.1","v1.5.1"},MATCH(BD209,CHOOSE({1,2,3,4,5,6,7,8,9,10,11,12,13,14,15,16,17,18,19,20,21,22,23,24,25},E209,G209,I209,K209,M209,O209,Q209,S209,U209,W209,Y209,AA209,AC209,AE209,AG209,AI209,AK209,AM209,AO209,AQ209,AS209,AU209,AW209,AY209,BA209),0)))</x:f>
      </x:c>
      <x:c r="BF209" s="10" t="n">
        <x:f>IFERROR((AX209-BB209)/BB209,"")</x:f>
        <x:v>1.2110778443113772</x:v>
      </x:c>
      <x:c r="BG209" s="10" t="n">
        <x:f>IFERROR((AY209-BD209)/BD209,"")</x:f>
        <x:v>0.6328473543325646</x:v>
      </x:c>
    </x:row>
    <x:row r="210">
      <x:c r="A210" t="str">
        <x:v>Monthly Change</x:v>
      </x:c>
      <x:c r="B210" t="str">
        <x:v>Create / Refresh All Templates</x:v>
      </x:c>
      <x:c r="C210" t="str">
        <x:v>Apply Monthly Change subheader guide: Template - Monthly Change</x:v>
      </x:c>
      <x:c r="D210" s="8" t="n">
        <x:v>0.346</x:v>
      </x:c>
      <x:c r="E210" s="8" t="n">
        <x:v>143.467</x:v>
      </x:c>
      <x:c r="F210" s="8" t="n">
        <x:v>0.346</x:v>
      </x:c>
      <x:c r="G210" s="8" t="n">
        <x:v>143.467</x:v>
      </x:c>
      <x:c r="H210" s="8" t="n">
        <x:v>0.258</x:v>
      </x:c>
      <x:c r="I210" s="8" t="n">
        <x:v>181.363</x:v>
      </x:c>
      <x:c r="J210" s="8" t="n">
        <x:v>0.258</x:v>
      </x:c>
      <x:c r="K210" s="8" t="n">
        <x:v>181.363</x:v>
      </x:c>
      <x:c r="L210" s="8" t="n">
        <x:v>0.442</x:v>
      </x:c>
      <x:c r="M210" s="8" t="n">
        <x:v>179.449</x:v>
      </x:c>
      <x:c r="N210" s="8" t="n">
        <x:v>0.442</x:v>
      </x:c>
      <x:c r="O210" s="8" t="n">
        <x:v>179.449</x:v>
      </x:c>
      <x:c r="P210" s="8" t="n">
        <x:v>0.296</x:v>
      </x:c>
      <x:c r="Q210" s="8" t="n">
        <x:v>119.094</x:v>
      </x:c>
      <x:c r="R210" s="8" t="n">
        <x:v>0.296</x:v>
      </x:c>
      <x:c r="S210" s="8" t="n">
        <x:v>119.094</x:v>
      </x:c>
      <x:c r="T210" s="8" t="n">
        <x:v>0.215</x:v>
      </x:c>
      <x:c r="U210" s="8" t="n">
        <x:v>144.443</x:v>
      </x:c>
      <x:c r="V210" s="8" t="n">
        <x:v>0.215</x:v>
      </x:c>
      <x:c r="W210" s="8" t="n">
        <x:v>144.443</x:v>
      </x:c>
      <x:c r="X210" s="8" t="n">
        <x:v>0.28</x:v>
      </x:c>
      <x:c r="Y210" s="8" t="n">
        <x:v>219.86</x:v>
      </x:c>
      <x:c r="Z210" s="8" t="n">
        <x:v>0.28</x:v>
      </x:c>
      <x:c r="AA210" s="8" t="n">
        <x:v>219.86</x:v>
      </x:c>
      <x:c r="AB210" s="8" t="n">
        <x:v>0.229</x:v>
      </x:c>
      <x:c r="AC210" s="8" t="n">
        <x:v>200.893</x:v>
      </x:c>
      <x:c r="AD210" s="8" t="n">
        <x:v>0.229</x:v>
      </x:c>
      <x:c r="AE210" s="8" t="n">
        <x:v>200.893</x:v>
      </x:c>
      <x:c r="AF210" s="8" t="n">
        <x:v>0.555</x:v>
      </x:c>
      <x:c r="AG210" s="8" t="n">
        <x:v>205.864</x:v>
      </x:c>
      <x:c r="AH210" s="8"/>
      <x:c r="AI210" s="8"/>
      <x:c r="AJ210" s="8" t="n">
        <x:v>0.323</x:v>
      </x:c>
      <x:c r="AK210" s="8" t="n">
        <x:v>157.544</x:v>
      </x:c>
      <x:c r="AL210" s="8" t="n">
        <x:v>0.323</x:v>
      </x:c>
      <x:c r="AM210" s="8" t="n">
        <x:v>157.544</x:v>
      </x:c>
      <x:c r="AN210" s="8" t="n">
        <x:v>0.379</x:v>
      </x:c>
      <x:c r="AO210" s="8" t="n">
        <x:v>144.933</x:v>
      </x:c>
      <x:c r="AP210" s="8" t="n">
        <x:v>0.379</x:v>
      </x:c>
      <x:c r="AQ210" s="8" t="n">
        <x:v>144.933</x:v>
      </x:c>
      <x:c r="AR210" s="8" t="n">
        <x:v>0.649</x:v>
      </x:c>
      <x:c r="AS210" s="8" t="n">
        <x:v>220.5</x:v>
      </x:c>
      <x:c r="AT210" s="8" t="n">
        <x:v>0.418</x:v>
      </x:c>
      <x:c r="AU210" s="8" t="n">
        <x:v>159.316</x:v>
      </x:c>
      <x:c r="AV210" s="8" t="n">
        <x:v>0.14</x:v>
      </x:c>
      <x:c r="AW210" s="8" t="n">
        <x:v>191.532</x:v>
      </x:c>
      <x:c r="AX210" s="8" t="n">
        <x:v>0.379</x:v>
      </x:c>
      <x:c r="AY210" s="8" t="n">
        <x:v>194.358</x:v>
      </x:c>
      <x:c r="AZ210" s="8" t="n">
        <x:v>0.379</x:v>
      </x:c>
      <x:c r="BA210" s="8" t="n">
        <x:v>194.358</x:v>
      </x:c>
      <x:c r="BB210" s="8" t="n">
        <x:f>LET(m,MIN(IF(D210&gt;0,D210,1E+99),IF(F210&gt;0,F210,1E+99),IF(H210&gt;0,H210,1E+99),IF(J210&gt;0,J210,1E+99),IF(L210&gt;0,L210,1E+99),IF(N210&gt;0,N210,1E+99),IF(P210&gt;0,P210,1E+99),IF(R210&gt;0,R210,1E+99),IF(T210&gt;0,T210,1E+99),IF(V210&gt;0,V210,1E+99),IF(X210&gt;0,X210,1E+99),IF(Z210&gt;0,Z210,1E+99),IF(AB210&gt;0,AB210,1E+99),IF(AD210&gt;0,AD210,1E+99),IF(AF210&gt;0,AF210,1E+99),IF(AH210&gt;0,AH210,1E+99),IF(AJ210&gt;0,AJ210,1E+99),IF(AL210&gt;0,AL210,1E+99),IF(AN210&gt;0,AN210,1E+99),IF(AP210&gt;0,AP210,1E+99),IF(AR210&gt;0,AR210,1E+99),IF(AT210&gt;0,AT210,1E+99),IF(AV210&gt;0,AV210,1E+99),IF(AX210&gt;0,AX210,1E+99),IF(AZ210&gt;0,AZ210,1E+99)),IF(m=1E+99,"",m))</x:f>
        <x:v>0.14</x:v>
      </x:c>
      <x:c r="BC210" s="12" t="e">
        <x:f>IF(BB210="","",INDEX({"v1.4.20","v1.4.20","v1.4.21","v1.4.21","v1.4.23","v1.4.23","v1.4.26","v1.4.26","v1.4.26.1","v1.4.26.1","v1.4.27","v1.4.27","v1.4.29","v1.4.29","v1.4.30","v1.4.30","v1.4.31","v1.4.31","v1.4.33","v1.4.33","v1.4.35","v1.4.35.2","v1.5","v1.5.1","v1.5.1"},MATCH(BB210,CHOOSE({1,2,3,4,5,6,7,8,9,10,11,12,13,14,15,16,17,18,19,20,21,22,23,24,25},D210,F210,H210,J210,L210,N210,P210,R210,T210,V210,X210,Z210,AB210,AD210,AF210,AH210,AJ210,AL210,AN210,AP210,AR210,AT210,AV210,AX210,AZ210),0)))</x:f>
      </x:c>
      <x:c r="BD210" s="14" t="n">
        <x:f>LET(m,MIN(IF(E210&gt;0,E210,1E+99),IF(G210&gt;0,G210,1E+99),IF(I210&gt;0,I210,1E+99),IF(K210&gt;0,K210,1E+99),IF(M210&gt;0,M210,1E+99),IF(O210&gt;0,O210,1E+99),IF(Q210&gt;0,Q210,1E+99),IF(S210&gt;0,S210,1E+99),IF(U210&gt;0,U210,1E+99),IF(W210&gt;0,W210,1E+99),IF(Y210&gt;0,Y210,1E+99),IF(AA210&gt;0,AA210,1E+99),IF(AC210&gt;0,AC210,1E+99),IF(AE210&gt;0,AE210,1E+99),IF(AG210&gt;0,AG210,1E+99),IF(AI210&gt;0,AI210,1E+99),IF(AK210&gt;0,AK210,1E+99),IF(AM210&gt;0,AM210,1E+99),IF(AO210&gt;0,AO210,1E+99),IF(AQ210&gt;0,AQ210,1E+99),IF(AS210&gt;0,AS210,1E+99),IF(AU210&gt;0,AU210,1E+99),IF(AW210&gt;0,AW210,1E+99),IF(AY210&gt;0,AY210,1E+99),IF(BA210&gt;0,BA210,1E+99)),IF(m=1E+99,"",m))</x:f>
        <x:v>119.094</x:v>
      </x:c>
      <x:c r="BE210" s="16" t="e">
        <x:f>IF(BD210="","",INDEX({"v1.4.20","v1.4.20","v1.4.21","v1.4.21","v1.4.23","v1.4.23","v1.4.26","v1.4.26","v1.4.26.1","v1.4.26.1","v1.4.27","v1.4.27","v1.4.29","v1.4.29","v1.4.30","v1.4.30","v1.4.31","v1.4.31","v1.4.33","v1.4.33","v1.4.35","v1.4.35.2","v1.5","v1.5.1","v1.5.1"},MATCH(BD210,CHOOSE({1,2,3,4,5,6,7,8,9,10,11,12,13,14,15,16,17,18,19,20,21,22,23,24,25},E210,G210,I210,K210,M210,O210,Q210,S210,U210,W210,Y210,AA210,AC210,AE210,AG210,AI210,AK210,AM210,AO210,AQ210,AS210,AU210,AW210,AY210,BA210),0)))</x:f>
      </x:c>
      <x:c r="BF210" s="10" t="n">
        <x:f>IFERROR((AX210-BB210)/BB210,"")</x:f>
        <x:v>1.7071428571428569</x:v>
      </x:c>
      <x:c r="BG210" s="10" t="n">
        <x:f>IFERROR((AY210-BD210)/BD210,"")</x:f>
        <x:v>0.6319713839488137</x:v>
      </x:c>
    </x:row>
    <x:row r="211">
      <x:c r="A211" t="str">
        <x:v>Monthly Change</x:v>
      </x:c>
      <x:c r="B211" t="str">
        <x:v>Create / Refresh All Templates</x:v>
      </x:c>
      <x:c r="C211" t="str">
        <x:v>Apply row heights skipped for template: Template - Monthly Change</x:v>
      </x:c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  <x:c r="U211" s="8"/>
      <x:c r="V211" s="8"/>
      <x:c r="W211" s="8"/>
      <x:c r="X211" s="8"/>
      <x:c r="Y211" s="8"/>
      <x:c r="Z211" s="8"/>
      <x:c r="AA211" s="8"/>
      <x:c r="AB211" s="8"/>
      <x:c r="AC211" s="8"/>
      <x:c r="AD211" s="8"/>
      <x:c r="AE211" s="8"/>
      <x:c r="AF211" s="8"/>
      <x:c r="AG211" s="8"/>
      <x:c r="AH211" s="8"/>
      <x:c r="AI211" s="8"/>
      <x:c r="AJ211" s="8"/>
      <x:c r="AK211" s="8"/>
      <x:c r="AL211" s="8"/>
      <x:c r="AM211" s="8"/>
      <x:c r="AN211" s="8"/>
      <x:c r="AO211" s="8"/>
      <x:c r="AP211" s="8"/>
      <x:c r="AQ211" s="8"/>
      <x:c r="AR211" s="8"/>
      <x:c r="AS211" s="8"/>
      <x:c r="AT211" s="8"/>
      <x:c r="AU211" s="8"/>
      <x:c r="AV211" s="8" t="n">
        <x:v>0</x:v>
      </x:c>
      <x:c r="AW211" s="8" t="n">
        <x:v>191.532</x:v>
      </x:c>
      <x:c r="AX211" s="8" t="n">
        <x:v>0</x:v>
      </x:c>
      <x:c r="AY211" s="8" t="n">
        <x:v>194.358</x:v>
      </x:c>
      <x:c r="AZ211" s="8" t="n">
        <x:v>0</x:v>
      </x:c>
      <x:c r="BA211" s="8" t="n">
        <x:v>194.358</x:v>
      </x:c>
      <x:c r="BB211" s="8" t="str">
        <x:f>LET(m,MIN(IF(D211&gt;0,D211,1E+99),IF(F211&gt;0,F211,1E+99),IF(H211&gt;0,H211,1E+99),IF(J211&gt;0,J211,1E+99),IF(L211&gt;0,L211,1E+99),IF(N211&gt;0,N211,1E+99),IF(P211&gt;0,P211,1E+99),IF(R211&gt;0,R211,1E+99),IF(T211&gt;0,T211,1E+99),IF(V211&gt;0,V211,1E+99),IF(X211&gt;0,X211,1E+99),IF(Z211&gt;0,Z211,1E+99),IF(AB211&gt;0,AB211,1E+99),IF(AD211&gt;0,AD211,1E+99),IF(AF211&gt;0,AF211,1E+99),IF(AH211&gt;0,AH211,1E+99),IF(AJ211&gt;0,AJ211,1E+99),IF(AL211&gt;0,AL211,1E+99),IF(AN211&gt;0,AN211,1E+99),IF(AP211&gt;0,AP211,1E+99),IF(AR211&gt;0,AR211,1E+99),IF(AT211&gt;0,AT211,1E+99),IF(AV211&gt;0,AV211,1E+99),IF(AX211&gt;0,AX211,1E+99),IF(AZ211&gt;0,AZ211,1E+99)),IF(m=1E+99,"",m))</x:f>
      </x:c>
      <x:c r="BC211" s="12" t="str">
        <x:f>IF(BB211="","",INDEX({"v1.4.20","v1.4.20","v1.4.21","v1.4.21","v1.4.23","v1.4.23","v1.4.26","v1.4.26","v1.4.26.1","v1.4.26.1","v1.4.27","v1.4.27","v1.4.29","v1.4.29","v1.4.30","v1.4.30","v1.4.31","v1.4.31","v1.4.33","v1.4.33","v1.4.35","v1.4.35.2","v1.5","v1.5.1","v1.5.1"},MATCH(BB211,CHOOSE({1,2,3,4,5,6,7,8,9,10,11,12,13,14,15,16,17,18,19,20,21,22,23,24,25},D211,F211,H211,J211,L211,N211,P211,R211,T211,V211,X211,Z211,AB211,AD211,AF211,AH211,AJ211,AL211,AN211,AP211,AR211,AT211,AV211,AX211,AZ211),0)))</x:f>
      </x:c>
      <x:c r="BD211" s="14" t="n">
        <x:f>LET(m,MIN(IF(E211&gt;0,E211,1E+99),IF(G211&gt;0,G211,1E+99),IF(I211&gt;0,I211,1E+99),IF(K211&gt;0,K211,1E+99),IF(M211&gt;0,M211,1E+99),IF(O211&gt;0,O211,1E+99),IF(Q211&gt;0,Q211,1E+99),IF(S211&gt;0,S211,1E+99),IF(U211&gt;0,U211,1E+99),IF(W211&gt;0,W211,1E+99),IF(Y211&gt;0,Y211,1E+99),IF(AA211&gt;0,AA211,1E+99),IF(AC211&gt;0,AC211,1E+99),IF(AE211&gt;0,AE211,1E+99),IF(AG211&gt;0,AG211,1E+99),IF(AI211&gt;0,AI211,1E+99),IF(AK211&gt;0,AK211,1E+99),IF(AM211&gt;0,AM211,1E+99),IF(AO211&gt;0,AO211,1E+99),IF(AQ211&gt;0,AQ211,1E+99),IF(AS211&gt;0,AS211,1E+99),IF(AU211&gt;0,AU211,1E+99),IF(AW211&gt;0,AW211,1E+99),IF(AY211&gt;0,AY211,1E+99),IF(BA211&gt;0,BA211,1E+99)),IF(m=1E+99,"",m))</x:f>
        <x:v>191.532</x:v>
      </x:c>
      <x:c r="BE211" s="16" t="e">
        <x:f>IF(BD211="","",INDEX({"v1.4.20","v1.4.20","v1.4.21","v1.4.21","v1.4.23","v1.4.23","v1.4.26","v1.4.26","v1.4.26.1","v1.4.26.1","v1.4.27","v1.4.27","v1.4.29","v1.4.29","v1.4.30","v1.4.30","v1.4.31","v1.4.31","v1.4.33","v1.4.33","v1.4.35","v1.4.35.2","v1.5","v1.5.1","v1.5.1"},MATCH(BD211,CHOOSE({1,2,3,4,5,6,7,8,9,10,11,12,13,14,15,16,17,18,19,20,21,22,23,24,25},E211,G211,I211,K211,M211,O211,Q211,S211,U211,W211,Y211,AA211,AC211,AE211,AG211,AI211,AK211,AM211,AO211,AQ211,AS211,AU211,AW211,AY211,BA211),0)))</x:f>
      </x:c>
      <x:c r="BF211" s="10" t="str">
        <x:f>IFERROR((AX211-BB211)/BB211,"")</x:f>
      </x:c>
      <x:c r="BG211" s="10" t="n">
        <x:f>IFERROR((AY211-BD211)/BD211,"")</x:f>
        <x:v>0.014754714616878606</x:v>
      </x:c>
    </x:row>
    <x:row r="212">
      <x:c r="A212" t="str">
        <x:v>Monthly Change</x:v>
      </x:c>
      <x:c r="B212" t="str">
        <x:v>Create / Refresh All Templates</x:v>
      </x:c>
      <x:c r="C212" t="str">
        <x:v>Apply full template formatting: Template - Monthly Change</x:v>
      </x:c>
      <x:c r="D212" s="8" t="n">
        <x:v>0</x:v>
      </x:c>
      <x:c r="E212" s="8" t="n">
        <x:v>143.479</x:v>
      </x:c>
      <x:c r="F212" s="8" t="n">
        <x:v>0</x:v>
      </x:c>
      <x:c r="G212" s="8" t="n">
        <x:v>143.479</x:v>
      </x:c>
      <x:c r="H212" s="8" t="n">
        <x:v>0</x:v>
      </x:c>
      <x:c r="I212" s="8" t="n">
        <x:v>181.37</x:v>
      </x:c>
      <x:c r="J212" s="8" t="n">
        <x:v>0</x:v>
      </x:c>
      <x:c r="K212" s="8" t="n">
        <x:v>181.37</x:v>
      </x:c>
      <x:c r="L212" s="8"/>
      <x:c r="M212" s="8"/>
      <x:c r="N212" s="8"/>
      <x:c r="O212" s="8"/>
      <x:c r="P212" s="8" t="n">
        <x:v>0</x:v>
      </x:c>
      <x:c r="Q212" s="8" t="n">
        <x:v>119.099</x:v>
      </x:c>
      <x:c r="R212" s="8" t="n">
        <x:v>0</x:v>
      </x:c>
      <x:c r="S212" s="8" t="n">
        <x:v>119.099</x:v>
      </x:c>
      <x:c r="T212" s="8" t="n">
        <x:v>0</x:v>
      </x:c>
      <x:c r="U212" s="8" t="n">
        <x:v>146.706</x:v>
      </x:c>
      <x:c r="V212" s="8" t="n">
        <x:v>0</x:v>
      </x:c>
      <x:c r="W212" s="8" t="n">
        <x:v>146.706</x:v>
      </x:c>
      <x:c r="X212" s="8" t="n">
        <x:v>0</x:v>
      </x:c>
      <x:c r="Y212" s="8" t="n">
        <x:v>219.869</x:v>
      </x:c>
      <x:c r="Z212" s="8" t="n">
        <x:v>0</x:v>
      </x:c>
      <x:c r="AA212" s="8" t="n">
        <x:v>219.869</x:v>
      </x:c>
      <x:c r="AB212" s="8" t="n">
        <x:v>0</x:v>
      </x:c>
      <x:c r="AC212" s="8" t="n">
        <x:v>204.191</x:v>
      </x:c>
      <x:c r="AD212" s="8" t="n">
        <x:v>0</x:v>
      </x:c>
      <x:c r="AE212" s="8" t="n">
        <x:v>204.191</x:v>
      </x:c>
      <x:c r="AF212" s="8" t="n">
        <x:v>0</x:v>
      </x:c>
      <x:c r="AG212" s="8" t="n">
        <x:v>209.779</x:v>
      </x:c>
      <x:c r="AH212" s="8"/>
      <x:c r="AI212" s="8"/>
      <x:c r="AJ212" s="8" t="n">
        <x:v>0</x:v>
      </x:c>
      <x:c r="AK212" s="8" t="n">
        <x:v>160.2</x:v>
      </x:c>
      <x:c r="AL212" s="8" t="n">
        <x:v>0</x:v>
      </x:c>
      <x:c r="AM212" s="8" t="n">
        <x:v>160.2</x:v>
      </x:c>
      <x:c r="AN212" s="8" t="n">
        <x:v>0</x:v>
      </x:c>
      <x:c r="AO212" s="8" t="n">
        <x:v>146.887</x:v>
      </x:c>
      <x:c r="AP212" s="8" t="n">
        <x:v>0</x:v>
      </x:c>
      <x:c r="AQ212" s="8" t="n">
        <x:v>146.887</x:v>
      </x:c>
      <x:c r="AR212" s="8" t="n">
        <x:v>0</x:v>
      </x:c>
      <x:c r="AS212" s="8" t="n">
        <x:v>220.531</x:v>
      </x:c>
      <x:c r="AT212" s="8" t="n">
        <x:v>0</x:v>
      </x:c>
      <x:c r="AU212" s="8" t="n">
        <x:v>159.332</x:v>
      </x:c>
      <x:c r="AV212" s="8" t="n">
        <x:v>0</x:v>
      </x:c>
      <x:c r="AW212" s="8" t="n">
        <x:v>191.532</x:v>
      </x:c>
      <x:c r="AX212" s="8" t="n">
        <x:v>0</x:v>
      </x:c>
      <x:c r="AY212" s="8" t="n">
        <x:v>194.358</x:v>
      </x:c>
      <x:c r="AZ212" s="8" t="n">
        <x:v>0</x:v>
      </x:c>
      <x:c r="BA212" s="8" t="n">
        <x:v>194.358</x:v>
      </x:c>
      <x:c r="BB212" s="8" t="str">
        <x:f>LET(m,MIN(IF(D212&gt;0,D212,1E+99),IF(F212&gt;0,F212,1E+99),IF(H212&gt;0,H212,1E+99),IF(J212&gt;0,J212,1E+99),IF(L212&gt;0,L212,1E+99),IF(N212&gt;0,N212,1E+99),IF(P212&gt;0,P212,1E+99),IF(R212&gt;0,R212,1E+99),IF(T212&gt;0,T212,1E+99),IF(V212&gt;0,V212,1E+99),IF(X212&gt;0,X212,1E+99),IF(Z212&gt;0,Z212,1E+99),IF(AB212&gt;0,AB212,1E+99),IF(AD212&gt;0,AD212,1E+99),IF(AF212&gt;0,AF212,1E+99),IF(AH212&gt;0,AH212,1E+99),IF(AJ212&gt;0,AJ212,1E+99),IF(AL212&gt;0,AL212,1E+99),IF(AN212&gt;0,AN212,1E+99),IF(AP212&gt;0,AP212,1E+99),IF(AR212&gt;0,AR212,1E+99),IF(AT212&gt;0,AT212,1E+99),IF(AV212&gt;0,AV212,1E+99),IF(AX212&gt;0,AX212,1E+99),IF(AZ212&gt;0,AZ212,1E+99)),IF(m=1E+99,"",m))</x:f>
      </x:c>
      <x:c r="BC212" s="12" t="str">
        <x:f>IF(BB212="","",INDEX({"v1.4.20","v1.4.20","v1.4.21","v1.4.21","v1.4.23","v1.4.23","v1.4.26","v1.4.26","v1.4.26.1","v1.4.26.1","v1.4.27","v1.4.27","v1.4.29","v1.4.29","v1.4.30","v1.4.30","v1.4.31","v1.4.31","v1.4.33","v1.4.33","v1.4.35","v1.4.35.2","v1.5","v1.5.1","v1.5.1"},MATCH(BB212,CHOOSE({1,2,3,4,5,6,7,8,9,10,11,12,13,14,15,16,17,18,19,20,21,22,23,24,25},D212,F212,H212,J212,L212,N212,P212,R212,T212,V212,X212,Z212,AB212,AD212,AF212,AH212,AJ212,AL212,AN212,AP212,AR212,AT212,AV212,AX212,AZ212),0)))</x:f>
      </x:c>
      <x:c r="BD212" s="14" t="n">
        <x:f>LET(m,MIN(IF(E212&gt;0,E212,1E+99),IF(G212&gt;0,G212,1E+99),IF(I212&gt;0,I212,1E+99),IF(K212&gt;0,K212,1E+99),IF(M212&gt;0,M212,1E+99),IF(O212&gt;0,O212,1E+99),IF(Q212&gt;0,Q212,1E+99),IF(S212&gt;0,S212,1E+99),IF(U212&gt;0,U212,1E+99),IF(W212&gt;0,W212,1E+99),IF(Y212&gt;0,Y212,1E+99),IF(AA212&gt;0,AA212,1E+99),IF(AC212&gt;0,AC212,1E+99),IF(AE212&gt;0,AE212,1E+99),IF(AG212&gt;0,AG212,1E+99),IF(AI212&gt;0,AI212,1E+99),IF(AK212&gt;0,AK212,1E+99),IF(AM212&gt;0,AM212,1E+99),IF(AO212&gt;0,AO212,1E+99),IF(AQ212&gt;0,AQ212,1E+99),IF(AS212&gt;0,AS212,1E+99),IF(AU212&gt;0,AU212,1E+99),IF(AW212&gt;0,AW212,1E+99),IF(AY212&gt;0,AY212,1E+99),IF(BA212&gt;0,BA212,1E+99)),IF(m=1E+99,"",m))</x:f>
        <x:v>119.099</x:v>
      </x:c>
      <x:c r="BE212" s="16" t="e">
        <x:f>IF(BD212="","",INDEX({"v1.4.20","v1.4.20","v1.4.21","v1.4.21","v1.4.23","v1.4.23","v1.4.26","v1.4.26","v1.4.26.1","v1.4.26.1","v1.4.27","v1.4.27","v1.4.29","v1.4.29","v1.4.30","v1.4.30","v1.4.31","v1.4.31","v1.4.33","v1.4.33","v1.4.35","v1.4.35.2","v1.5","v1.5.1","v1.5.1"},MATCH(BD212,CHOOSE({1,2,3,4,5,6,7,8,9,10,11,12,13,14,15,16,17,18,19,20,21,22,23,24,25},E212,G212,I212,K212,M212,O212,Q212,S212,U212,W212,Y212,AA212,AC212,AE212,AG212,AI212,AK212,AM212,AO212,AQ212,AS212,AU212,AW212,AY212,BA212),0)))</x:f>
      </x:c>
      <x:c r="BF212" s="10" t="str">
        <x:f>IFERROR((AX212-BB212)/BB212,"")</x:f>
      </x:c>
      <x:c r="BG212" s="10" t="n">
        <x:f>IFERROR((AY212-BD212)/BD212,"")</x:f>
        <x:v>0.6319028707209968</x:v>
      </x:c>
    </x:row>
    <x:row r="213">
      <x:c r="A213" t="str">
        <x:v>Monthly Change</x:v>
      </x:c>
      <x:c r="B213" t="str">
        <x:v>Create / Refresh All Templates</x:v>
      </x:c>
      <x:c r="C213" t="str">
        <x:v>Write metadata/signature: Template - Monthly Change</x:v>
      </x:c>
      <x:c r="D213" s="8" t="n">
        <x:v>0.147</x:v>
      </x:c>
      <x:c r="E213" s="8" t="n">
        <x:v>143.626</x:v>
      </x:c>
      <x:c r="F213" s="8" t="n">
        <x:v>0.147</x:v>
      </x:c>
      <x:c r="G213" s="8" t="n">
        <x:v>143.626</x:v>
      </x:c>
      <x:c r="H213" s="8" t="n">
        <x:v>0.054</x:v>
      </x:c>
      <x:c r="I213" s="8" t="n">
        <x:v>181.424</x:v>
      </x:c>
      <x:c r="J213" s="8" t="n">
        <x:v>0.054</x:v>
      </x:c>
      <x:c r="K213" s="8" t="n">
        <x:v>181.424</x:v>
      </x:c>
      <x:c r="L213" s="8" t="n">
        <x:v>0.058</x:v>
      </x:c>
      <x:c r="M213" s="8" t="n">
        <x:v>179.517</x:v>
      </x:c>
      <x:c r="N213" s="8" t="n">
        <x:v>0.058</x:v>
      </x:c>
      <x:c r="O213" s="8" t="n">
        <x:v>179.517</x:v>
      </x:c>
      <x:c r="P213" s="8" t="n">
        <x:v>0.06</x:v>
      </x:c>
      <x:c r="Q213" s="8" t="n">
        <x:v>119.159</x:v>
      </x:c>
      <x:c r="R213" s="8" t="n">
        <x:v>0.06</x:v>
      </x:c>
      <x:c r="S213" s="8" t="n">
        <x:v>119.159</x:v>
      </x:c>
      <x:c r="T213" s="8" t="n">
        <x:v>0.113</x:v>
      </x:c>
      <x:c r="U213" s="8" t="n">
        <x:v>146.819</x:v>
      </x:c>
      <x:c r="V213" s="8" t="n">
        <x:v>0.113</x:v>
      </x:c>
      <x:c r="W213" s="8" t="n">
        <x:v>146.819</x:v>
      </x:c>
      <x:c r="X213" s="8" t="n">
        <x:v>0.072</x:v>
      </x:c>
      <x:c r="Y213" s="8" t="n">
        <x:v>219.941</x:v>
      </x:c>
      <x:c r="Z213" s="8" t="n">
        <x:v>0.072</x:v>
      </x:c>
      <x:c r="AA213" s="8" t="n">
        <x:v>219.941</x:v>
      </x:c>
      <x:c r="AB213" s="8" t="n">
        <x:v>0.057</x:v>
      </x:c>
      <x:c r="AC213" s="8" t="n">
        <x:v>204.248</x:v>
      </x:c>
      <x:c r="AD213" s="8" t="n">
        <x:v>0.057</x:v>
      </x:c>
      <x:c r="AE213" s="8" t="n">
        <x:v>204.248</x:v>
      </x:c>
      <x:c r="AF213" s="8" t="n">
        <x:v>0.124</x:v>
      </x:c>
      <x:c r="AG213" s="8" t="n">
        <x:v>209.903</x:v>
      </x:c>
      <x:c r="AH213" s="8"/>
      <x:c r="AI213" s="8"/>
      <x:c r="AJ213" s="8" t="n">
        <x:v>0.048</x:v>
      </x:c>
      <x:c r="AK213" s="8" t="n">
        <x:v>160.248</x:v>
      </x:c>
      <x:c r="AL213" s="8" t="n">
        <x:v>0.048</x:v>
      </x:c>
      <x:c r="AM213" s="8" t="n">
        <x:v>160.248</x:v>
      </x:c>
      <x:c r="AN213" s="8" t="n">
        <x:v>0.134</x:v>
      </x:c>
      <x:c r="AO213" s="8" t="n">
        <x:v>147.021</x:v>
      </x:c>
      <x:c r="AP213" s="8" t="n">
        <x:v>0.134</x:v>
      </x:c>
      <x:c r="AQ213" s="8" t="n">
        <x:v>147.021</x:v>
      </x:c>
      <x:c r="AR213" s="8" t="n">
        <x:v>0.134</x:v>
      </x:c>
      <x:c r="AS213" s="8" t="n">
        <x:v>220.665</x:v>
      </x:c>
      <x:c r="AT213" s="8" t="n">
        <x:v>0.056</x:v>
      </x:c>
      <x:c r="AU213" s="8" t="n">
        <x:v>159.388</x:v>
      </x:c>
      <x:c r="AV213" s="8" t="n">
        <x:v>0.128</x:v>
      </x:c>
      <x:c r="AW213" s="8" t="n">
        <x:v>191.66</x:v>
      </x:c>
      <x:c r="AX213" s="8" t="n">
        <x:v>0.168</x:v>
      </x:c>
      <x:c r="AY213" s="8" t="n">
        <x:v>194.526</x:v>
      </x:c>
      <x:c r="AZ213" s="8" t="n">
        <x:v>0.168</x:v>
      </x:c>
      <x:c r="BA213" s="8" t="n">
        <x:v>194.526</x:v>
      </x:c>
      <x:c r="BB213" s="8" t="n">
        <x:f>LET(m,MIN(IF(D213&gt;0,D213,1E+99),IF(F213&gt;0,F213,1E+99),IF(H213&gt;0,H213,1E+99),IF(J213&gt;0,J213,1E+99),IF(L213&gt;0,L213,1E+99),IF(N213&gt;0,N213,1E+99),IF(P213&gt;0,P213,1E+99),IF(R213&gt;0,R213,1E+99),IF(T213&gt;0,T213,1E+99),IF(V213&gt;0,V213,1E+99),IF(X213&gt;0,X213,1E+99),IF(Z213&gt;0,Z213,1E+99),IF(AB213&gt;0,AB213,1E+99),IF(AD213&gt;0,AD213,1E+99),IF(AF213&gt;0,AF213,1E+99),IF(AH213&gt;0,AH213,1E+99),IF(AJ213&gt;0,AJ213,1E+99),IF(AL213&gt;0,AL213,1E+99),IF(AN213&gt;0,AN213,1E+99),IF(AP213&gt;0,AP213,1E+99),IF(AR213&gt;0,AR213,1E+99),IF(AT213&gt;0,AT213,1E+99),IF(AV213&gt;0,AV213,1E+99),IF(AX213&gt;0,AX213,1E+99),IF(AZ213&gt;0,AZ213,1E+99)),IF(m=1E+99,"",m))</x:f>
        <x:v>0.048</x:v>
      </x:c>
      <x:c r="BC213" s="12" t="e">
        <x:f>IF(BB213="","",INDEX({"v1.4.20","v1.4.20","v1.4.21","v1.4.21","v1.4.23","v1.4.23","v1.4.26","v1.4.26","v1.4.26.1","v1.4.26.1","v1.4.27","v1.4.27","v1.4.29","v1.4.29","v1.4.30","v1.4.30","v1.4.31","v1.4.31","v1.4.33","v1.4.33","v1.4.35","v1.4.35.2","v1.5","v1.5.1","v1.5.1"},MATCH(BB213,CHOOSE({1,2,3,4,5,6,7,8,9,10,11,12,13,14,15,16,17,18,19,20,21,22,23,24,25},D213,F213,H213,J213,L213,N213,P213,R213,T213,V213,X213,Z213,AB213,AD213,AF213,AH213,AJ213,AL213,AN213,AP213,AR213,AT213,AV213,AX213,AZ213),0)))</x:f>
      </x:c>
      <x:c r="BD213" s="14" t="n">
        <x:f>LET(m,MIN(IF(E213&gt;0,E213,1E+99),IF(G213&gt;0,G213,1E+99),IF(I213&gt;0,I213,1E+99),IF(K213&gt;0,K213,1E+99),IF(M213&gt;0,M213,1E+99),IF(O213&gt;0,O213,1E+99),IF(Q213&gt;0,Q213,1E+99),IF(S213&gt;0,S213,1E+99),IF(U213&gt;0,U213,1E+99),IF(W213&gt;0,W213,1E+99),IF(Y213&gt;0,Y213,1E+99),IF(AA213&gt;0,AA213,1E+99),IF(AC213&gt;0,AC213,1E+99),IF(AE213&gt;0,AE213,1E+99),IF(AG213&gt;0,AG213,1E+99),IF(AI213&gt;0,AI213,1E+99),IF(AK213&gt;0,AK213,1E+99),IF(AM213&gt;0,AM213,1E+99),IF(AO213&gt;0,AO213,1E+99),IF(AQ213&gt;0,AQ213,1E+99),IF(AS213&gt;0,AS213,1E+99),IF(AU213&gt;0,AU213,1E+99),IF(AW213&gt;0,AW213,1E+99),IF(AY213&gt;0,AY213,1E+99),IF(BA213&gt;0,BA213,1E+99)),IF(m=1E+99,"",m))</x:f>
        <x:v>119.159</x:v>
      </x:c>
      <x:c r="BE213" s="16" t="e">
        <x:f>IF(BD213="","",INDEX({"v1.4.20","v1.4.20","v1.4.21","v1.4.21","v1.4.23","v1.4.23","v1.4.26","v1.4.26","v1.4.26.1","v1.4.26.1","v1.4.27","v1.4.27","v1.4.29","v1.4.29","v1.4.30","v1.4.30","v1.4.31","v1.4.31","v1.4.33","v1.4.33","v1.4.35","v1.4.35.2","v1.5","v1.5.1","v1.5.1"},MATCH(BD213,CHOOSE({1,2,3,4,5,6,7,8,9,10,11,12,13,14,15,16,17,18,19,20,21,22,23,24,25},E213,G213,I213,K213,M213,O213,Q213,S213,U213,W213,Y213,AA213,AC213,AE213,AG213,AI213,AK213,AM213,AO213,AQ213,AS213,AU213,AW213,AY213,BA213),0)))</x:f>
      </x:c>
      <x:c r="BF213" s="10" t="n">
        <x:f>IFERROR((AX213-BB213)/BB213,"")</x:f>
        <x:v>2.5</x:v>
      </x:c>
      <x:c r="BG213" s="10" t="n">
        <x:f>IFERROR((AY213-BD213)/BD213,"")</x:f>
        <x:v>0.6324910413816833</x:v>
      </x:c>
    </x:row>
    <x:row r="214">
      <x:c r="A214" t="str">
        <x:v>Monthly Change</x:v>
      </x:c>
      <x:c r="B214" t="str">
        <x:v>Create / Refresh All Templates</x:v>
      </x:c>
      <x:c r="C214" t="str">
        <x:v>Ensure frozen rows: Template - Monthly Change</x:v>
      </x:c>
      <x:c r="D214" s="8" t="n">
        <x:v>0.824</x:v>
      </x:c>
      <x:c r="E214" s="8" t="n">
        <x:v>144.45</x:v>
      </x:c>
      <x:c r="F214" s="8" t="n">
        <x:v>0.824</x:v>
      </x:c>
      <x:c r="G214" s="8" t="n">
        <x:v>144.45</x:v>
      </x:c>
      <x:c r="H214" s="8" t="n">
        <x:v>1.123</x:v>
      </x:c>
      <x:c r="I214" s="8" t="n">
        <x:v>182.547</x:v>
      </x:c>
      <x:c r="J214" s="8" t="n">
        <x:v>1.123</x:v>
      </x:c>
      <x:c r="K214" s="8" t="n">
        <x:v>182.547</x:v>
      </x:c>
      <x:c r="L214" s="8" t="n">
        <x:v>1.538</x:v>
      </x:c>
      <x:c r="M214" s="8" t="n">
        <x:v>181.055</x:v>
      </x:c>
      <x:c r="N214" s="8" t="n">
        <x:v>1.538</x:v>
      </x:c>
      <x:c r="O214" s="8" t="n">
        <x:v>181.055</x:v>
      </x:c>
      <x:c r="P214" s="8" t="n">
        <x:v>0.799</x:v>
      </x:c>
      <x:c r="Q214" s="8" t="n">
        <x:v>119.958</x:v>
      </x:c>
      <x:c r="R214" s="8" t="n">
        <x:v>0.799</x:v>
      </x:c>
      <x:c r="S214" s="8" t="n">
        <x:v>119.958</x:v>
      </x:c>
      <x:c r="T214" s="8" t="n">
        <x:v>0.186</x:v>
      </x:c>
      <x:c r="U214" s="8" t="n">
        <x:v>147.005</x:v>
      </x:c>
      <x:c r="V214" s="8" t="n">
        <x:v>0.186</x:v>
      </x:c>
      <x:c r="W214" s="8" t="n">
        <x:v>147.005</x:v>
      </x:c>
      <x:c r="X214" s="8" t="n">
        <x:v>2.582</x:v>
      </x:c>
      <x:c r="Y214" s="8" t="n">
        <x:v>222.523</x:v>
      </x:c>
      <x:c r="Z214" s="8" t="n">
        <x:v>2.582</x:v>
      </x:c>
      <x:c r="AA214" s="8" t="n">
        <x:v>222.523</x:v>
      </x:c>
      <x:c r="AB214" s="8" t="n">
        <x:v>0.093</x:v>
      </x:c>
      <x:c r="AC214" s="8" t="n">
        <x:v>204.341</x:v>
      </x:c>
      <x:c r="AD214" s="8" t="n">
        <x:v>0.093</x:v>
      </x:c>
      <x:c r="AE214" s="8" t="n">
        <x:v>204.341</x:v>
      </x:c>
      <x:c r="AF214" s="8" t="n">
        <x:v>0.078</x:v>
      </x:c>
      <x:c r="AG214" s="8" t="n">
        <x:v>209.981</x:v>
      </x:c>
      <x:c r="AH214" s="8"/>
      <x:c r="AI214" s="8"/>
      <x:c r="AJ214" s="8" t="n">
        <x:v>0.088</x:v>
      </x:c>
      <x:c r="AK214" s="8" t="n">
        <x:v>160.336</x:v>
      </x:c>
      <x:c r="AL214" s="8" t="n">
        <x:v>0.088</x:v>
      </x:c>
      <x:c r="AM214" s="8" t="n">
        <x:v>160.336</x:v>
      </x:c>
      <x:c r="AN214" s="8" t="n">
        <x:v>0.153</x:v>
      </x:c>
      <x:c r="AO214" s="8" t="n">
        <x:v>147.174</x:v>
      </x:c>
      <x:c r="AP214" s="8" t="n">
        <x:v>0.153</x:v>
      </x:c>
      <x:c r="AQ214" s="8" t="n">
        <x:v>147.174</x:v>
      </x:c>
      <x:c r="AR214" s="8" t="n">
        <x:v>1.244</x:v>
      </x:c>
      <x:c r="AS214" s="8" t="n">
        <x:v>221.909</x:v>
      </x:c>
      <x:c r="AT214" s="8" t="n">
        <x:v>0.873</x:v>
      </x:c>
      <x:c r="AU214" s="8" t="n">
        <x:v>160.261</x:v>
      </x:c>
      <x:c r="AV214" s="8" t="n">
        <x:v>1.565</x:v>
      </x:c>
      <x:c r="AW214" s="8" t="n">
        <x:v>193.225</x:v>
      </x:c>
      <x:c r="AX214" s="8" t="n">
        <x:v>1.369</x:v>
      </x:c>
      <x:c r="AY214" s="8" t="n">
        <x:v>195.895</x:v>
      </x:c>
      <x:c r="AZ214" s="8" t="n">
        <x:v>1.369</x:v>
      </x:c>
      <x:c r="BA214" s="8" t="n">
        <x:v>195.895</x:v>
      </x:c>
      <x:c r="BB214" s="8" t="n">
        <x:f>LET(m,MIN(IF(D214&gt;0,D214,1E+99),IF(F214&gt;0,F214,1E+99),IF(H214&gt;0,H214,1E+99),IF(J214&gt;0,J214,1E+99),IF(L214&gt;0,L214,1E+99),IF(N214&gt;0,N214,1E+99),IF(P214&gt;0,P214,1E+99),IF(R214&gt;0,R214,1E+99),IF(T214&gt;0,T214,1E+99),IF(V214&gt;0,V214,1E+99),IF(X214&gt;0,X214,1E+99),IF(Z214&gt;0,Z214,1E+99),IF(AB214&gt;0,AB214,1E+99),IF(AD214&gt;0,AD214,1E+99),IF(AF214&gt;0,AF214,1E+99),IF(AH214&gt;0,AH214,1E+99),IF(AJ214&gt;0,AJ214,1E+99),IF(AL214&gt;0,AL214,1E+99),IF(AN214&gt;0,AN214,1E+99),IF(AP214&gt;0,AP214,1E+99),IF(AR214&gt;0,AR214,1E+99),IF(AT214&gt;0,AT214,1E+99),IF(AV214&gt;0,AV214,1E+99),IF(AX214&gt;0,AX214,1E+99),IF(AZ214&gt;0,AZ214,1E+99)),IF(m=1E+99,"",m))</x:f>
        <x:v>0.078</x:v>
      </x:c>
      <x:c r="BC214" s="12" t="e">
        <x:f>IF(BB214="","",INDEX({"v1.4.20","v1.4.20","v1.4.21","v1.4.21","v1.4.23","v1.4.23","v1.4.26","v1.4.26","v1.4.26.1","v1.4.26.1","v1.4.27","v1.4.27","v1.4.29","v1.4.29","v1.4.30","v1.4.30","v1.4.31","v1.4.31","v1.4.33","v1.4.33","v1.4.35","v1.4.35.2","v1.5","v1.5.1","v1.5.1"},MATCH(BB214,CHOOSE({1,2,3,4,5,6,7,8,9,10,11,12,13,14,15,16,17,18,19,20,21,22,23,24,25},D214,F214,H214,J214,L214,N214,P214,R214,T214,V214,X214,Z214,AB214,AD214,AF214,AH214,AJ214,AL214,AN214,AP214,AR214,AT214,AV214,AX214,AZ214),0)))</x:f>
      </x:c>
      <x:c r="BD214" s="14" t="n">
        <x:f>LET(m,MIN(IF(E214&gt;0,E214,1E+99),IF(G214&gt;0,G214,1E+99),IF(I214&gt;0,I214,1E+99),IF(K214&gt;0,K214,1E+99),IF(M214&gt;0,M214,1E+99),IF(O214&gt;0,O214,1E+99),IF(Q214&gt;0,Q214,1E+99),IF(S214&gt;0,S214,1E+99),IF(U214&gt;0,U214,1E+99),IF(W214&gt;0,W214,1E+99),IF(Y214&gt;0,Y214,1E+99),IF(AA214&gt;0,AA214,1E+99),IF(AC214&gt;0,AC214,1E+99),IF(AE214&gt;0,AE214,1E+99),IF(AG214&gt;0,AG214,1E+99),IF(AI214&gt;0,AI214,1E+99),IF(AK214&gt;0,AK214,1E+99),IF(AM214&gt;0,AM214,1E+99),IF(AO214&gt;0,AO214,1E+99),IF(AQ214&gt;0,AQ214,1E+99),IF(AS214&gt;0,AS214,1E+99),IF(AU214&gt;0,AU214,1E+99),IF(AW214&gt;0,AW214,1E+99),IF(AY214&gt;0,AY214,1E+99),IF(BA214&gt;0,BA214,1E+99)),IF(m=1E+99,"",m))</x:f>
        <x:v>119.958</x:v>
      </x:c>
      <x:c r="BE214" s="16" t="e">
        <x:f>IF(BD214="","",INDEX({"v1.4.20","v1.4.20","v1.4.21","v1.4.21","v1.4.23","v1.4.23","v1.4.26","v1.4.26","v1.4.26.1","v1.4.26.1","v1.4.27","v1.4.27","v1.4.29","v1.4.29","v1.4.30","v1.4.30","v1.4.31","v1.4.31","v1.4.33","v1.4.33","v1.4.35","v1.4.35.2","v1.5","v1.5.1","v1.5.1"},MATCH(BD214,CHOOSE({1,2,3,4,5,6,7,8,9,10,11,12,13,14,15,16,17,18,19,20,21,22,23,24,25},E214,G214,I214,K214,M214,O214,Q214,S214,U214,W214,Y214,AA214,AC214,AE214,AG214,AI214,AK214,AM214,AO214,AQ214,AS214,AU214,AW214,AY214,BA214),0)))</x:f>
      </x:c>
      <x:c r="BF214" s="10" t="n">
        <x:f>IFERROR((AX214-BB214)/BB214,"")</x:f>
        <x:v>16.55128205128205</x:v>
      </x:c>
      <x:c r="BG214" s="10" t="n">
        <x:f>IFERROR((AY214-BD214)/BD214,"")</x:f>
        <x:v>0.6330298937961621</x:v>
      </x:c>
    </x:row>
    <x:row r="215">
      <x:c r="A215" t="str">
        <x:v>Monthly Change</x:v>
      </x:c>
      <x:c r="B215" t="str">
        <x:v>Create / Refresh All Templates</x:v>
      </x:c>
      <x:c r="C215" t="str">
        <x:v>Ensure frozen columns: Template - Monthly Change</x:v>
      </x:c>
      <x:c r="D215" s="8" t="n">
        <x:v>0.698</x:v>
      </x:c>
      <x:c r="E215" s="8" t="n">
        <x:v>145.148</x:v>
      </x:c>
      <x:c r="F215" s="8" t="n">
        <x:v>0.698</x:v>
      </x:c>
      <x:c r="G215" s="8" t="n">
        <x:v>145.148</x:v>
      </x:c>
      <x:c r="H215" s="8" t="n">
        <x:v>1.251</x:v>
      </x:c>
      <x:c r="I215" s="8" t="n">
        <x:v>183.798</x:v>
      </x:c>
      <x:c r="J215" s="8" t="n">
        <x:v>1.251</x:v>
      </x:c>
      <x:c r="K215" s="8" t="n">
        <x:v>183.798</x:v>
      </x:c>
      <x:c r="L215" s="8" t="n">
        <x:v>1.041</x:v>
      </x:c>
      <x:c r="M215" s="8" t="n">
        <x:v>182.096</x:v>
      </x:c>
      <x:c r="N215" s="8" t="n">
        <x:v>1.041</x:v>
      </x:c>
      <x:c r="O215" s="8" t="n">
        <x:v>182.096</x:v>
      </x:c>
      <x:c r="P215" s="8" t="n">
        <x:v>0.539</x:v>
      </x:c>
      <x:c r="Q215" s="8" t="n">
        <x:v>120.497</x:v>
      </x:c>
      <x:c r="R215" s="8" t="n">
        <x:v>0.539</x:v>
      </x:c>
      <x:c r="S215" s="8" t="n">
        <x:v>120.497</x:v>
      </x:c>
      <x:c r="T215" s="8" t="n">
        <x:v>0.68</x:v>
      </x:c>
      <x:c r="U215" s="8" t="n">
        <x:v>147.685</x:v>
      </x:c>
      <x:c r="V215" s="8" t="n">
        <x:v>0.68</x:v>
      </x:c>
      <x:c r="W215" s="8" t="n">
        <x:v>147.685</x:v>
      </x:c>
      <x:c r="X215" s="8" t="n">
        <x:v>0.704</x:v>
      </x:c>
      <x:c r="Y215" s="8" t="n">
        <x:v>223.227</x:v>
      </x:c>
      <x:c r="Z215" s="8" t="n">
        <x:v>0.704</x:v>
      </x:c>
      <x:c r="AA215" s="8" t="n">
        <x:v>223.227</x:v>
      </x:c>
      <x:c r="AB215" s="8" t="n">
        <x:v>0.922</x:v>
      </x:c>
      <x:c r="AC215" s="8" t="n">
        <x:v>205.263</x:v>
      </x:c>
      <x:c r="AD215" s="8" t="n">
        <x:v>0.922</x:v>
      </x:c>
      <x:c r="AE215" s="8" t="n">
        <x:v>205.263</x:v>
      </x:c>
      <x:c r="AF215" s="8" t="n">
        <x:v>1.042</x:v>
      </x:c>
      <x:c r="AG215" s="8" t="n">
        <x:v>211.023</x:v>
      </x:c>
      <x:c r="AH215" s="8"/>
      <x:c r="AI215" s="8"/>
      <x:c r="AJ215" s="8" t="n">
        <x:v>0.874</x:v>
      </x:c>
      <x:c r="AK215" s="8" t="n">
        <x:v>161.21</x:v>
      </x:c>
      <x:c r="AL215" s="8" t="n">
        <x:v>0.874</x:v>
      </x:c>
      <x:c r="AM215" s="8" t="n">
        <x:v>161.21</x:v>
      </x:c>
      <x:c r="AN215" s="8" t="n">
        <x:v>0.739</x:v>
      </x:c>
      <x:c r="AO215" s="8" t="n">
        <x:v>147.913</x:v>
      </x:c>
      <x:c r="AP215" s="8" t="n">
        <x:v>0.739</x:v>
      </x:c>
      <x:c r="AQ215" s="8" t="n">
        <x:v>147.913</x:v>
      </x:c>
      <x:c r="AR215" s="8" t="n">
        <x:v>1.403</x:v>
      </x:c>
      <x:c r="AS215" s="8" t="n">
        <x:v>223.312</x:v>
      </x:c>
      <x:c r="AT215" s="8" t="n">
        <x:v>0.994</x:v>
      </x:c>
      <x:c r="AU215" s="8" t="n">
        <x:v>161.255</x:v>
      </x:c>
      <x:c r="AV215" s="8" t="n">
        <x:v>1.057</x:v>
      </x:c>
      <x:c r="AW215" s="8" t="n">
        <x:v>194.282</x:v>
      </x:c>
      <x:c r="AX215" s="8" t="n">
        <x:v>1.422</x:v>
      </x:c>
      <x:c r="AY215" s="8" t="n">
        <x:v>197.317</x:v>
      </x:c>
      <x:c r="AZ215" s="8" t="n">
        <x:v>1.422</x:v>
      </x:c>
      <x:c r="BA215" s="8" t="n">
        <x:v>197.317</x:v>
      </x:c>
      <x:c r="BB215" s="8" t="n">
        <x:f>LET(m,MIN(IF(D215&gt;0,D215,1E+99),IF(F215&gt;0,F215,1E+99),IF(H215&gt;0,H215,1E+99),IF(J215&gt;0,J215,1E+99),IF(L215&gt;0,L215,1E+99),IF(N215&gt;0,N215,1E+99),IF(P215&gt;0,P215,1E+99),IF(R215&gt;0,R215,1E+99),IF(T215&gt;0,T215,1E+99),IF(V215&gt;0,V215,1E+99),IF(X215&gt;0,X215,1E+99),IF(Z215&gt;0,Z215,1E+99),IF(AB215&gt;0,AB215,1E+99),IF(AD215&gt;0,AD215,1E+99),IF(AF215&gt;0,AF215,1E+99),IF(AH215&gt;0,AH215,1E+99),IF(AJ215&gt;0,AJ215,1E+99),IF(AL215&gt;0,AL215,1E+99),IF(AN215&gt;0,AN215,1E+99),IF(AP215&gt;0,AP215,1E+99),IF(AR215&gt;0,AR215,1E+99),IF(AT215&gt;0,AT215,1E+99),IF(AV215&gt;0,AV215,1E+99),IF(AX215&gt;0,AX215,1E+99),IF(AZ215&gt;0,AZ215,1E+99)),IF(m=1E+99,"",m))</x:f>
        <x:v>0.539</x:v>
      </x:c>
      <x:c r="BC215" s="12" t="e">
        <x:f>IF(BB215="","",INDEX({"v1.4.20","v1.4.20","v1.4.21","v1.4.21","v1.4.23","v1.4.23","v1.4.26","v1.4.26","v1.4.26.1","v1.4.26.1","v1.4.27","v1.4.27","v1.4.29","v1.4.29","v1.4.30","v1.4.30","v1.4.31","v1.4.31","v1.4.33","v1.4.33","v1.4.35","v1.4.35.2","v1.5","v1.5.1","v1.5.1"},MATCH(BB215,CHOOSE({1,2,3,4,5,6,7,8,9,10,11,12,13,14,15,16,17,18,19,20,21,22,23,24,25},D215,F215,H215,J215,L215,N215,P215,R215,T215,V215,X215,Z215,AB215,AD215,AF215,AH215,AJ215,AL215,AN215,AP215,AR215,AT215,AV215,AX215,AZ215),0)))</x:f>
      </x:c>
      <x:c r="BD215" s="14" t="n">
        <x:f>LET(m,MIN(IF(E215&gt;0,E215,1E+99),IF(G215&gt;0,G215,1E+99),IF(I215&gt;0,I215,1E+99),IF(K215&gt;0,K215,1E+99),IF(M215&gt;0,M215,1E+99),IF(O215&gt;0,O215,1E+99),IF(Q215&gt;0,Q215,1E+99),IF(S215&gt;0,S215,1E+99),IF(U215&gt;0,U215,1E+99),IF(W215&gt;0,W215,1E+99),IF(Y215&gt;0,Y215,1E+99),IF(AA215&gt;0,AA215,1E+99),IF(AC215&gt;0,AC215,1E+99),IF(AE215&gt;0,AE215,1E+99),IF(AG215&gt;0,AG215,1E+99),IF(AI215&gt;0,AI215,1E+99),IF(AK215&gt;0,AK215,1E+99),IF(AM215&gt;0,AM215,1E+99),IF(AO215&gt;0,AO215,1E+99),IF(AQ215&gt;0,AQ215,1E+99),IF(AS215&gt;0,AS215,1E+99),IF(AU215&gt;0,AU215,1E+99),IF(AW215&gt;0,AW215,1E+99),IF(AY215&gt;0,AY215,1E+99),IF(BA215&gt;0,BA215,1E+99)),IF(m=1E+99,"",m))</x:f>
        <x:v>120.497</x:v>
      </x:c>
      <x:c r="BE215" s="16" t="e">
        <x:f>IF(BD215="","",INDEX({"v1.4.20","v1.4.20","v1.4.21","v1.4.21","v1.4.23","v1.4.23","v1.4.26","v1.4.26","v1.4.26.1","v1.4.26.1","v1.4.27","v1.4.27","v1.4.29","v1.4.29","v1.4.30","v1.4.30","v1.4.31","v1.4.31","v1.4.33","v1.4.33","v1.4.35","v1.4.35.2","v1.5","v1.5.1","v1.5.1"},MATCH(BD215,CHOOSE({1,2,3,4,5,6,7,8,9,10,11,12,13,14,15,16,17,18,19,20,21,22,23,24,25},E215,G215,I215,K215,M215,O215,Q215,S215,U215,W215,Y215,AA215,AC215,AE215,AG215,AI215,AK215,AM215,AO215,AQ215,AS215,AU215,AW215,AY215,BA215),0)))</x:f>
      </x:c>
      <x:c r="BF215" s="10" t="n">
        <x:f>IFERROR((AX215-BB215)/BB215,"")</x:f>
        <x:v>1.6382189239332094</x:v>
      </x:c>
      <x:c r="BG215" s="10" t="n">
        <x:f>IFERROR((AY215-BD215)/BD215,"")</x:f>
        <x:v>0.6375262454666922</x:v>
      </x:c>
    </x:row>
    <x:row r="216">
      <x:c r="A216" t="str">
        <x:v>Monthly Change</x:v>
      </x:c>
      <x:c r="B216" t="str">
        <x:v>Create / Refresh All Templates</x:v>
      </x:c>
      <x:c r="C216" t="str">
        <x:v>Ensure tab color: Template - Monthly Change</x:v>
      </x:c>
      <x:c r="D216" s="8" t="n">
        <x:v>0.722</x:v>
      </x:c>
      <x:c r="E216" s="8" t="n">
        <x:v>145.87</x:v>
      </x:c>
      <x:c r="F216" s="8" t="n">
        <x:v>0.722</x:v>
      </x:c>
      <x:c r="G216" s="8" t="n">
        <x:v>145.87</x:v>
      </x:c>
      <x:c r="H216" s="8" t="n">
        <x:v>0.771</x:v>
      </x:c>
      <x:c r="I216" s="8" t="n">
        <x:v>184.569</x:v>
      </x:c>
      <x:c r="J216" s="8" t="n">
        <x:v>0.771</x:v>
      </x:c>
      <x:c r="K216" s="8" t="n">
        <x:v>184.569</x:v>
      </x:c>
      <x:c r="L216" s="8" t="n">
        <x:v>0.841</x:v>
      </x:c>
      <x:c r="M216" s="8" t="n">
        <x:v>182.937</x:v>
      </x:c>
      <x:c r="N216" s="8" t="n">
        <x:v>0.841</x:v>
      </x:c>
      <x:c r="O216" s="8" t="n">
        <x:v>182.937</x:v>
      </x:c>
      <x:c r="P216" s="8" t="n">
        <x:v>0.554</x:v>
      </x:c>
      <x:c r="Q216" s="8" t="n">
        <x:v>121.051</x:v>
      </x:c>
      <x:c r="R216" s="8" t="n">
        <x:v>0.554</x:v>
      </x:c>
      <x:c r="S216" s="8" t="n">
        <x:v>121.051</x:v>
      </x:c>
      <x:c r="T216" s="8" t="n">
        <x:v>0.796</x:v>
      </x:c>
      <x:c r="U216" s="8" t="n">
        <x:v>148.481</x:v>
      </x:c>
      <x:c r="V216" s="8" t="n">
        <x:v>0.796</x:v>
      </x:c>
      <x:c r="W216" s="8" t="n">
        <x:v>148.481</x:v>
      </x:c>
      <x:c r="X216" s="8" t="n">
        <x:v>1.302</x:v>
      </x:c>
      <x:c r="Y216" s="8" t="n">
        <x:v>224.529</x:v>
      </x:c>
      <x:c r="Z216" s="8" t="n">
        <x:v>1.302</x:v>
      </x:c>
      <x:c r="AA216" s="8" t="n">
        <x:v>224.529</x:v>
      </x:c>
      <x:c r="AB216" s="8" t="n">
        <x:v>1.097</x:v>
      </x:c>
      <x:c r="AC216" s="8" t="n">
        <x:v>206.36</x:v>
      </x:c>
      <x:c r="AD216" s="8" t="n">
        <x:v>1.097</x:v>
      </x:c>
      <x:c r="AE216" s="8" t="n">
        <x:v>206.36</x:v>
      </x:c>
      <x:c r="AF216" s="8" t="n">
        <x:v>1.332</x:v>
      </x:c>
      <x:c r="AG216" s="8" t="n">
        <x:v>212.355</x:v>
      </x:c>
      <x:c r="AH216" s="8"/>
      <x:c r="AI216" s="8"/>
      <x:c r="AJ216" s="8" t="n">
        <x:v>1.117</x:v>
      </x:c>
      <x:c r="AK216" s="8" t="n">
        <x:v>162.327</x:v>
      </x:c>
      <x:c r="AL216" s="8" t="n">
        <x:v>1.117</x:v>
      </x:c>
      <x:c r="AM216" s="8" t="n">
        <x:v>162.327</x:v>
      </x:c>
      <x:c r="AN216" s="8" t="n">
        <x:v>0.682</x:v>
      </x:c>
      <x:c r="AO216" s="8" t="n">
        <x:v>148.595</x:v>
      </x:c>
      <x:c r="AP216" s="8" t="n">
        <x:v>0.682</x:v>
      </x:c>
      <x:c r="AQ216" s="8" t="n">
        <x:v>148.595</x:v>
      </x:c>
      <x:c r="AR216" s="8" t="n">
        <x:v>1.147</x:v>
      </x:c>
      <x:c r="AS216" s="8" t="n">
        <x:v>224.459</x:v>
      </x:c>
      <x:c r="AT216" s="8" t="n">
        <x:v>0.645</x:v>
      </x:c>
      <x:c r="AU216" s="8" t="n">
        <x:v>161.9</x:v>
      </x:c>
      <x:c r="AV216" s="8" t="n">
        <x:v>1.108</x:v>
      </x:c>
      <x:c r="AW216" s="8" t="n">
        <x:v>195.39</x:v>
      </x:c>
      <x:c r="AX216" s="8" t="n">
        <x:v>1.11</x:v>
      </x:c>
      <x:c r="AY216" s="8" t="n">
        <x:v>198.427</x:v>
      </x:c>
      <x:c r="AZ216" s="8" t="n">
        <x:v>1.11</x:v>
      </x:c>
      <x:c r="BA216" s="8" t="n">
        <x:v>198.427</x:v>
      </x:c>
      <x:c r="BB216" s="8" t="n">
        <x:f>LET(m,MIN(IF(D216&gt;0,D216,1E+99),IF(F216&gt;0,F216,1E+99),IF(H216&gt;0,H216,1E+99),IF(J216&gt;0,J216,1E+99),IF(L216&gt;0,L216,1E+99),IF(N216&gt;0,N216,1E+99),IF(P216&gt;0,P216,1E+99),IF(R216&gt;0,R216,1E+99),IF(T216&gt;0,T216,1E+99),IF(V216&gt;0,V216,1E+99),IF(X216&gt;0,X216,1E+99),IF(Z216&gt;0,Z216,1E+99),IF(AB216&gt;0,AB216,1E+99),IF(AD216&gt;0,AD216,1E+99),IF(AF216&gt;0,AF216,1E+99),IF(AH216&gt;0,AH216,1E+99),IF(AJ216&gt;0,AJ216,1E+99),IF(AL216&gt;0,AL216,1E+99),IF(AN216&gt;0,AN216,1E+99),IF(AP216&gt;0,AP216,1E+99),IF(AR216&gt;0,AR216,1E+99),IF(AT216&gt;0,AT216,1E+99),IF(AV216&gt;0,AV216,1E+99),IF(AX216&gt;0,AX216,1E+99),IF(AZ216&gt;0,AZ216,1E+99)),IF(m=1E+99,"",m))</x:f>
        <x:v>0.554</x:v>
      </x:c>
      <x:c r="BC216" s="12" t="e">
        <x:f>IF(BB216="","",INDEX({"v1.4.20","v1.4.20","v1.4.21","v1.4.21","v1.4.23","v1.4.23","v1.4.26","v1.4.26","v1.4.26.1","v1.4.26.1","v1.4.27","v1.4.27","v1.4.29","v1.4.29","v1.4.30","v1.4.30","v1.4.31","v1.4.31","v1.4.33","v1.4.33","v1.4.35","v1.4.35.2","v1.5","v1.5.1","v1.5.1"},MATCH(BB216,CHOOSE({1,2,3,4,5,6,7,8,9,10,11,12,13,14,15,16,17,18,19,20,21,22,23,24,25},D216,F216,H216,J216,L216,N216,P216,R216,T216,V216,X216,Z216,AB216,AD216,AF216,AH216,AJ216,AL216,AN216,AP216,AR216,AT216,AV216,AX216,AZ216),0)))</x:f>
      </x:c>
      <x:c r="BD216" s="14" t="n">
        <x:f>LET(m,MIN(IF(E216&gt;0,E216,1E+99),IF(G216&gt;0,G216,1E+99),IF(I216&gt;0,I216,1E+99),IF(K216&gt;0,K216,1E+99),IF(M216&gt;0,M216,1E+99),IF(O216&gt;0,O216,1E+99),IF(Q216&gt;0,Q216,1E+99),IF(S216&gt;0,S216,1E+99),IF(U216&gt;0,U216,1E+99),IF(W216&gt;0,W216,1E+99),IF(Y216&gt;0,Y216,1E+99),IF(AA216&gt;0,AA216,1E+99),IF(AC216&gt;0,AC216,1E+99),IF(AE216&gt;0,AE216,1E+99),IF(AG216&gt;0,AG216,1E+99),IF(AI216&gt;0,AI216,1E+99),IF(AK216&gt;0,AK216,1E+99),IF(AM216&gt;0,AM216,1E+99),IF(AO216&gt;0,AO216,1E+99),IF(AQ216&gt;0,AQ216,1E+99),IF(AS216&gt;0,AS216,1E+99),IF(AU216&gt;0,AU216,1E+99),IF(AW216&gt;0,AW216,1E+99),IF(AY216&gt;0,AY216,1E+99),IF(BA216&gt;0,BA216,1E+99)),IF(m=1E+99,"",m))</x:f>
        <x:v>121.051</x:v>
      </x:c>
      <x:c r="BE216" s="16" t="e">
        <x:f>IF(BD216="","",INDEX({"v1.4.20","v1.4.20","v1.4.21","v1.4.21","v1.4.23","v1.4.23","v1.4.26","v1.4.26","v1.4.26.1","v1.4.26.1","v1.4.27","v1.4.27","v1.4.29","v1.4.29","v1.4.30","v1.4.30","v1.4.31","v1.4.31","v1.4.33","v1.4.33","v1.4.35","v1.4.35.2","v1.5","v1.5.1","v1.5.1"},MATCH(BD216,CHOOSE({1,2,3,4,5,6,7,8,9,10,11,12,13,14,15,16,17,18,19,20,21,22,23,24,25},E216,G216,I216,K216,M216,O216,Q216,S216,U216,W216,Y216,AA216,AC216,AE216,AG216,AI216,AK216,AM216,AO216,AQ216,AS216,AU216,AW216,AY216,BA216),0)))</x:f>
      </x:c>
      <x:c r="BF216" s="10" t="n">
        <x:f>IFERROR((AX216-BB216)/BB216,"")</x:f>
        <x:v>1.0036101083032491</x:v>
      </x:c>
      <x:c r="BG216" s="10" t="n">
        <x:f>IFERROR((AY216-BD216)/BD216,"")</x:f>
        <x:v>0.6392016588049664</x:v>
      </x:c>
    </x:row>
    <x:row r="217">
      <x:c r="A217" t="str">
        <x:v>Monthly Change</x:v>
      </x:c>
      <x:c r="B217" t="str">
        <x:v>Create / Refresh All Templates</x:v>
      </x:c>
      <x:c r="C217" t="str">
        <x:v>Final date/number format enforcement: Template - Monthly Change</x:v>
      </x:c>
      <x:c r="D217" s="8" t="n">
        <x:v>0.905</x:v>
      </x:c>
      <x:c r="E217" s="8" t="n">
        <x:v>146.775</x:v>
      </x:c>
      <x:c r="F217" s="8" t="n">
        <x:v>0.905</x:v>
      </x:c>
      <x:c r="G217" s="8" t="n">
        <x:v>146.775</x:v>
      </x:c>
      <x:c r="H217" s="8" t="n">
        <x:v>0.945</x:v>
      </x:c>
      <x:c r="I217" s="8" t="n">
        <x:v>185.514</x:v>
      </x:c>
      <x:c r="J217" s="8" t="n">
        <x:v>0.945</x:v>
      </x:c>
      <x:c r="K217" s="8" t="n">
        <x:v>185.514</x:v>
      </x:c>
      <x:c r="L217" s="8" t="n">
        <x:v>1.039</x:v>
      </x:c>
      <x:c r="M217" s="8" t="n">
        <x:v>183.976</x:v>
      </x:c>
      <x:c r="N217" s="8" t="n">
        <x:v>1.039</x:v>
      </x:c>
      <x:c r="O217" s="8" t="n">
        <x:v>183.976</x:v>
      </x:c>
      <x:c r="P217" s="8" t="n">
        <x:v>1.214</x:v>
      </x:c>
      <x:c r="Q217" s="8" t="n">
        <x:v>122.265</x:v>
      </x:c>
      <x:c r="R217" s="8" t="n">
        <x:v>1.214</x:v>
      </x:c>
      <x:c r="S217" s="8" t="n">
        <x:v>122.265</x:v>
      </x:c>
      <x:c r="T217" s="8" t="n">
        <x:v>1.016</x:v>
      </x:c>
      <x:c r="U217" s="8" t="n">
        <x:v>149.497</x:v>
      </x:c>
      <x:c r="V217" s="8" t="n">
        <x:v>1.016</x:v>
      </x:c>
      <x:c r="W217" s="8" t="n">
        <x:v>149.497</x:v>
      </x:c>
      <x:c r="X217" s="8" t="n">
        <x:v>1.39</x:v>
      </x:c>
      <x:c r="Y217" s="8" t="n">
        <x:v>225.919</x:v>
      </x:c>
      <x:c r="Z217" s="8" t="n">
        <x:v>1.39</x:v>
      </x:c>
      <x:c r="AA217" s="8" t="n">
        <x:v>225.919</x:v>
      </x:c>
      <x:c r="AB217" s="8" t="n">
        <x:v>1.523</x:v>
      </x:c>
      <x:c r="AC217" s="8" t="n">
        <x:v>207.883</x:v>
      </x:c>
      <x:c r="AD217" s="8" t="n">
        <x:v>1.523</x:v>
      </x:c>
      <x:c r="AE217" s="8" t="n">
        <x:v>207.883</x:v>
      </x:c>
      <x:c r="AF217" s="8" t="n">
        <x:v>1.474</x:v>
      </x:c>
      <x:c r="AG217" s="8" t="n">
        <x:v>213.829</x:v>
      </x:c>
      <x:c r="AH217" s="8"/>
      <x:c r="AI217" s="8"/>
      <x:c r="AJ217" s="8" t="n">
        <x:v>1.19</x:v>
      </x:c>
      <x:c r="AK217" s="8" t="n">
        <x:v>163.517</x:v>
      </x:c>
      <x:c r="AL217" s="8" t="n">
        <x:v>1.19</x:v>
      </x:c>
      <x:c r="AM217" s="8" t="n">
        <x:v>163.517</x:v>
      </x:c>
      <x:c r="AN217" s="8" t="n">
        <x:v>0.941</x:v>
      </x:c>
      <x:c r="AO217" s="8" t="n">
        <x:v>149.536</x:v>
      </x:c>
      <x:c r="AP217" s="8" t="n">
        <x:v>0.941</x:v>
      </x:c>
      <x:c r="AQ217" s="8" t="n">
        <x:v>149.536</x:v>
      </x:c>
      <x:c r="AR217" s="8" t="n">
        <x:v>1.762</x:v>
      </x:c>
      <x:c r="AS217" s="8" t="n">
        <x:v>226.221</x:v>
      </x:c>
      <x:c r="AT217" s="8" t="n">
        <x:v>1.321</x:v>
      </x:c>
      <x:c r="AU217" s="8" t="n">
        <x:v>163.221</x:v>
      </x:c>
      <x:c r="AV217" s="8" t="n">
        <x:v>1.107</x:v>
      </x:c>
      <x:c r="AW217" s="8" t="n">
        <x:v>196.497</x:v>
      </x:c>
      <x:c r="AX217" s="8" t="n">
        <x:v>1.193</x:v>
      </x:c>
      <x:c r="AY217" s="8" t="n">
        <x:v>199.62</x:v>
      </x:c>
      <x:c r="AZ217" s="8" t="n">
        <x:v>1.193</x:v>
      </x:c>
      <x:c r="BA217" s="8" t="n">
        <x:v>199.62</x:v>
      </x:c>
      <x:c r="BB217" s="8" t="n">
        <x:f>LET(m,MIN(IF(D217&gt;0,D217,1E+99),IF(F217&gt;0,F217,1E+99),IF(H217&gt;0,H217,1E+99),IF(J217&gt;0,J217,1E+99),IF(L217&gt;0,L217,1E+99),IF(N217&gt;0,N217,1E+99),IF(P217&gt;0,P217,1E+99),IF(R217&gt;0,R217,1E+99),IF(T217&gt;0,T217,1E+99),IF(V217&gt;0,V217,1E+99),IF(X217&gt;0,X217,1E+99),IF(Z217&gt;0,Z217,1E+99),IF(AB217&gt;0,AB217,1E+99),IF(AD217&gt;0,AD217,1E+99),IF(AF217&gt;0,AF217,1E+99),IF(AH217&gt;0,AH217,1E+99),IF(AJ217&gt;0,AJ217,1E+99),IF(AL217&gt;0,AL217,1E+99),IF(AN217&gt;0,AN217,1E+99),IF(AP217&gt;0,AP217,1E+99),IF(AR217&gt;0,AR217,1E+99),IF(AT217&gt;0,AT217,1E+99),IF(AV217&gt;0,AV217,1E+99),IF(AX217&gt;0,AX217,1E+99),IF(AZ217&gt;0,AZ217,1E+99)),IF(m=1E+99,"",m))</x:f>
        <x:v>0.905</x:v>
      </x:c>
      <x:c r="BC217" s="12" t="str">
        <x:f>IF(BB217="","",INDEX({"v1.4.20","v1.4.20","v1.4.21","v1.4.21","v1.4.23","v1.4.23","v1.4.26","v1.4.26","v1.4.26.1","v1.4.26.1","v1.4.27","v1.4.27","v1.4.29","v1.4.29","v1.4.30","v1.4.30","v1.4.31","v1.4.31","v1.4.33","v1.4.33","v1.4.35","v1.4.35.2","v1.5","v1.5.1","v1.5.1"},MATCH(BB217,CHOOSE({1,2,3,4,5,6,7,8,9,10,11,12,13,14,15,16,17,18,19,20,21,22,23,24,25},D217,F217,H217,J217,L217,N217,P217,R217,T217,V217,X217,Z217,AB217,AD217,AF217,AH217,AJ217,AL217,AN217,AP217,AR217,AT217,AV217,AX217,AZ217),0)))</x:f>
        <x:v>v1.4.20</x:v>
      </x:c>
      <x:c r="BD217" s="14" t="n">
        <x:f>LET(m,MIN(IF(E217&gt;0,E217,1E+99),IF(G217&gt;0,G217,1E+99),IF(I217&gt;0,I217,1E+99),IF(K217&gt;0,K217,1E+99),IF(M217&gt;0,M217,1E+99),IF(O217&gt;0,O217,1E+99),IF(Q217&gt;0,Q217,1E+99),IF(S217&gt;0,S217,1E+99),IF(U217&gt;0,U217,1E+99),IF(W217&gt;0,W217,1E+99),IF(Y217&gt;0,Y217,1E+99),IF(AA217&gt;0,AA217,1E+99),IF(AC217&gt;0,AC217,1E+99),IF(AE217&gt;0,AE217,1E+99),IF(AG217&gt;0,AG217,1E+99),IF(AI217&gt;0,AI217,1E+99),IF(AK217&gt;0,AK217,1E+99),IF(AM217&gt;0,AM217,1E+99),IF(AO217&gt;0,AO217,1E+99),IF(AQ217&gt;0,AQ217,1E+99),IF(AS217&gt;0,AS217,1E+99),IF(AU217&gt;0,AU217,1E+99),IF(AW217&gt;0,AW217,1E+99),IF(AY217&gt;0,AY217,1E+99),IF(BA217&gt;0,BA217,1E+99)),IF(m=1E+99,"",m))</x:f>
        <x:v>122.265</x:v>
      </x:c>
      <x:c r="BE217" s="16" t="e">
        <x:f>IF(BD217="","",INDEX({"v1.4.20","v1.4.20","v1.4.21","v1.4.21","v1.4.23","v1.4.23","v1.4.26","v1.4.26","v1.4.26.1","v1.4.26.1","v1.4.27","v1.4.27","v1.4.29","v1.4.29","v1.4.30","v1.4.30","v1.4.31","v1.4.31","v1.4.33","v1.4.33","v1.4.35","v1.4.35.2","v1.5","v1.5.1","v1.5.1"},MATCH(BD217,CHOOSE({1,2,3,4,5,6,7,8,9,10,11,12,13,14,15,16,17,18,19,20,21,22,23,24,25},E217,G217,I217,K217,M217,O217,Q217,S217,U217,W217,Y217,AA217,AC217,AE217,AG217,AI217,AK217,AM217,AO217,AQ217,AS217,AU217,AW217,AY217,BA217),0)))</x:f>
      </x:c>
      <x:c r="BF217" s="10" t="n">
        <x:f>IFERROR((AX217-BB217)/BB217,"")</x:f>
        <x:v>0.31823204419889506</x:v>
      </x:c>
      <x:c r="BG217" s="10" t="n">
        <x:f>IFERROR((AY217-BD217)/BD217,"")</x:f>
        <x:v>0.632683106367317</x:v>
      </x:c>
    </x:row>
    <x:row r="218">
      <x:c r="A218" t="str">
        <x:v>Monthly Change</x:v>
      </x:c>
      <x:c r="B218" t="str">
        <x:v>Create / Refresh All Templates</x:v>
      </x:c>
      <x:c r="C218" t="str">
        <x:v>Hide template: Template - Monthly Change</x:v>
      </x:c>
      <x:c r="D218" s="8" t="n">
        <x:v>1.87</x:v>
      </x:c>
      <x:c r="E218" s="8" t="n">
        <x:v>148.645</x:v>
      </x:c>
      <x:c r="F218" s="8" t="n">
        <x:v>1.87</x:v>
      </x:c>
      <x:c r="G218" s="8" t="n">
        <x:v>148.645</x:v>
      </x:c>
      <x:c r="H218" s="8" t="n">
        <x:v>1.477</x:v>
      </x:c>
      <x:c r="I218" s="8" t="n">
        <x:v>186.991</x:v>
      </x:c>
      <x:c r="J218" s="8" t="n">
        <x:v>1.477</x:v>
      </x:c>
      <x:c r="K218" s="8" t="n">
        <x:v>186.991</x:v>
      </x:c>
      <x:c r="L218" s="8" t="n">
        <x:v>2.128</x:v>
      </x:c>
      <x:c r="M218" s="8" t="n">
        <x:v>186.104</x:v>
      </x:c>
      <x:c r="N218" s="8" t="n">
        <x:v>2.128</x:v>
      </x:c>
      <x:c r="O218" s="8" t="n">
        <x:v>186.104</x:v>
      </x:c>
      <x:c r="P218" s="8" t="n">
        <x:v>1.339</x:v>
      </x:c>
      <x:c r="Q218" s="8" t="n">
        <x:v>123.604</x:v>
      </x:c>
      <x:c r="R218" s="8" t="n">
        <x:v>1.339</x:v>
      </x:c>
      <x:c r="S218" s="8" t="n">
        <x:v>123.604</x:v>
      </x:c>
      <x:c r="T218" s="8" t="n">
        <x:v>1.15</x:v>
      </x:c>
      <x:c r="U218" s="8" t="n">
        <x:v>150.647</x:v>
      </x:c>
      <x:c r="V218" s="8" t="n">
        <x:v>1.15</x:v>
      </x:c>
      <x:c r="W218" s="8" t="n">
        <x:v>150.647</x:v>
      </x:c>
      <x:c r="X218" s="8" t="n">
        <x:v>1.82</x:v>
      </x:c>
      <x:c r="Y218" s="8" t="n">
        <x:v>227.739</x:v>
      </x:c>
      <x:c r="Z218" s="8" t="n">
        <x:v>1.82</x:v>
      </x:c>
      <x:c r="AA218" s="8" t="n">
        <x:v>227.739</x:v>
      </x:c>
      <x:c r="AB218" s="8" t="n">
        <x:v>1.594</x:v>
      </x:c>
      <x:c r="AC218" s="8" t="n">
        <x:v>209.477</x:v>
      </x:c>
      <x:c r="AD218" s="8" t="n">
        <x:v>1.594</x:v>
      </x:c>
      <x:c r="AE218" s="8" t="n">
        <x:v>209.477</x:v>
      </x:c>
      <x:c r="AF218" s="8" t="n">
        <x:v>1.975</x:v>
      </x:c>
      <x:c r="AG218" s="8" t="n">
        <x:v>215.804</x:v>
      </x:c>
      <x:c r="AH218" s="8"/>
      <x:c r="AI218" s="8"/>
      <x:c r="AJ218" s="8" t="n">
        <x:v>1.775</x:v>
      </x:c>
      <x:c r="AK218" s="8" t="n">
        <x:v>165.292</x:v>
      </x:c>
      <x:c r="AL218" s="8" t="n">
        <x:v>1.775</x:v>
      </x:c>
      <x:c r="AM218" s="8" t="n">
        <x:v>165.292</x:v>
      </x:c>
      <x:c r="AN218" s="8" t="n">
        <x:v>1.148</x:v>
      </x:c>
      <x:c r="AO218" s="8" t="n">
        <x:v>150.684</x:v>
      </x:c>
      <x:c r="AP218" s="8" t="n">
        <x:v>1.148</x:v>
      </x:c>
      <x:c r="AQ218" s="8" t="n">
        <x:v>150.684</x:v>
      </x:c>
      <x:c r="AR218" s="8" t="n">
        <x:v>2.217</x:v>
      </x:c>
      <x:c r="AS218" s="8" t="n">
        <x:v>228.438</x:v>
      </x:c>
      <x:c r="AT218" s="8" t="n">
        <x:v>1.273</x:v>
      </x:c>
      <x:c r="AU218" s="8" t="n">
        <x:v>164.494</x:v>
      </x:c>
      <x:c r="AV218" s="8" t="n">
        <x:v>1.674</x:v>
      </x:c>
      <x:c r="AW218" s="8" t="n">
        <x:v>198.171</x:v>
      </x:c>
      <x:c r="AX218" s="8" t="n">
        <x:v>1.658</x:v>
      </x:c>
      <x:c r="AY218" s="8" t="n">
        <x:v>201.278</x:v>
      </x:c>
      <x:c r="AZ218" s="8" t="n">
        <x:v>1.658</x:v>
      </x:c>
      <x:c r="BA218" s="8" t="n">
        <x:v>201.278</x:v>
      </x:c>
      <x:c r="BB218" s="8" t="n">
        <x:f>LET(m,MIN(IF(D218&gt;0,D218,1E+99),IF(F218&gt;0,F218,1E+99),IF(H218&gt;0,H218,1E+99),IF(J218&gt;0,J218,1E+99),IF(L218&gt;0,L218,1E+99),IF(N218&gt;0,N218,1E+99),IF(P218&gt;0,P218,1E+99),IF(R218&gt;0,R218,1E+99),IF(T218&gt;0,T218,1E+99),IF(V218&gt;0,V218,1E+99),IF(X218&gt;0,X218,1E+99),IF(Z218&gt;0,Z218,1E+99),IF(AB218&gt;0,AB218,1E+99),IF(AD218&gt;0,AD218,1E+99),IF(AF218&gt;0,AF218,1E+99),IF(AH218&gt;0,AH218,1E+99),IF(AJ218&gt;0,AJ218,1E+99),IF(AL218&gt;0,AL218,1E+99),IF(AN218&gt;0,AN218,1E+99),IF(AP218&gt;0,AP218,1E+99),IF(AR218&gt;0,AR218,1E+99),IF(AT218&gt;0,AT218,1E+99),IF(AV218&gt;0,AV218,1E+99),IF(AX218&gt;0,AX218,1E+99),IF(AZ218&gt;0,AZ218,1E+99)),IF(m=1E+99,"",m))</x:f>
        <x:v>1.148</x:v>
      </x:c>
      <x:c r="BC218" s="12" t="e">
        <x:f>IF(BB218="","",INDEX({"v1.4.20","v1.4.20","v1.4.21","v1.4.21","v1.4.23","v1.4.23","v1.4.26","v1.4.26","v1.4.26.1","v1.4.26.1","v1.4.27","v1.4.27","v1.4.29","v1.4.29","v1.4.30","v1.4.30","v1.4.31","v1.4.31","v1.4.33","v1.4.33","v1.4.35","v1.4.35.2","v1.5","v1.5.1","v1.5.1"},MATCH(BB218,CHOOSE({1,2,3,4,5,6,7,8,9,10,11,12,13,14,15,16,17,18,19,20,21,22,23,24,25},D218,F218,H218,J218,L218,N218,P218,R218,T218,V218,X218,Z218,AB218,AD218,AF218,AH218,AJ218,AL218,AN218,AP218,AR218,AT218,AV218,AX218,AZ218),0)))</x:f>
      </x:c>
      <x:c r="BD218" s="14" t="n">
        <x:f>LET(m,MIN(IF(E218&gt;0,E218,1E+99),IF(G218&gt;0,G218,1E+99),IF(I218&gt;0,I218,1E+99),IF(K218&gt;0,K218,1E+99),IF(M218&gt;0,M218,1E+99),IF(O218&gt;0,O218,1E+99),IF(Q218&gt;0,Q218,1E+99),IF(S218&gt;0,S218,1E+99),IF(U218&gt;0,U218,1E+99),IF(W218&gt;0,W218,1E+99),IF(Y218&gt;0,Y218,1E+99),IF(AA218&gt;0,AA218,1E+99),IF(AC218&gt;0,AC218,1E+99),IF(AE218&gt;0,AE218,1E+99),IF(AG218&gt;0,AG218,1E+99),IF(AI218&gt;0,AI218,1E+99),IF(AK218&gt;0,AK218,1E+99),IF(AM218&gt;0,AM218,1E+99),IF(AO218&gt;0,AO218,1E+99),IF(AQ218&gt;0,AQ218,1E+99),IF(AS218&gt;0,AS218,1E+99),IF(AU218&gt;0,AU218,1E+99),IF(AW218&gt;0,AW218,1E+99),IF(AY218&gt;0,AY218,1E+99),IF(BA218&gt;0,BA218,1E+99)),IF(m=1E+99,"",m))</x:f>
        <x:v>123.604</x:v>
      </x:c>
      <x:c r="BE218" s="16" t="e">
        <x:f>IF(BD218="","",INDEX({"v1.4.20","v1.4.20","v1.4.21","v1.4.21","v1.4.23","v1.4.23","v1.4.26","v1.4.26","v1.4.26.1","v1.4.26.1","v1.4.27","v1.4.27","v1.4.29","v1.4.29","v1.4.30","v1.4.30","v1.4.31","v1.4.31","v1.4.33","v1.4.33","v1.4.35","v1.4.35.2","v1.5","v1.5.1","v1.5.1"},MATCH(BD218,CHOOSE({1,2,3,4,5,6,7,8,9,10,11,12,13,14,15,16,17,18,19,20,21,22,23,24,25},E218,G218,I218,K218,M218,O218,Q218,S218,U218,W218,Y218,AA218,AC218,AE218,AG218,AI218,AK218,AM218,AO218,AQ218,AS218,AU218,AW218,AY218,BA218),0)))</x:f>
      </x:c>
      <x:c r="BF218" s="10" t="n">
        <x:f>IFERROR((AX218-BB218)/BB218,"")</x:f>
        <x:v>0.44425087108013944</x:v>
      </x:c>
      <x:c r="BG218" s="10" t="n">
        <x:f>IFERROR((AY218-BD218)/BD218,"")</x:f>
        <x:v>0.6284100838160577</x:v>
      </x:c>
    </x:row>
    <x:row r="219">
      <x:c r="A219" t="str">
        <x:v>Monthly Change</x:v>
      </x:c>
      <x:c r="B219" t="str">
        <x:v>Create / Refresh All Templates</x:v>
      </x:c>
      <x:c r="C219" t="str">
        <x:v>Complete full template build: Template - Monthly Change</x:v>
      </x:c>
      <x:c r="D219" s="8" t="n">
        <x:v>0</x:v>
      </x:c>
      <x:c r="E219" s="8" t="n">
        <x:v>148.645</x:v>
      </x:c>
      <x:c r="F219" s="8" t="n">
        <x:v>0</x:v>
      </x:c>
      <x:c r="G219" s="8" t="n">
        <x:v>148.645</x:v>
      </x:c>
      <x:c r="H219" s="8" t="n">
        <x:v>0</x:v>
      </x:c>
      <x:c r="I219" s="8" t="n">
        <x:v>186.991</x:v>
      </x:c>
      <x:c r="J219" s="8" t="n">
        <x:v>0</x:v>
      </x:c>
      <x:c r="K219" s="8" t="n">
        <x:v>186.991</x:v>
      </x:c>
      <x:c r="L219" s="8" t="n">
        <x:v>0</x:v>
      </x:c>
      <x:c r="M219" s="8" t="n">
        <x:v>186.104</x:v>
      </x:c>
      <x:c r="N219" s="8" t="n">
        <x:v>0</x:v>
      </x:c>
      <x:c r="O219" s="8" t="n">
        <x:v>186.104</x:v>
      </x:c>
      <x:c r="P219" s="8" t="n">
        <x:v>0</x:v>
      </x:c>
      <x:c r="Q219" s="8" t="n">
        <x:v>123.604</x:v>
      </x:c>
      <x:c r="R219" s="8" t="n">
        <x:v>0</x:v>
      </x:c>
      <x:c r="S219" s="8" t="n">
        <x:v>123.604</x:v>
      </x:c>
      <x:c r="T219" s="8" t="n">
        <x:v>0</x:v>
      </x:c>
      <x:c r="U219" s="8" t="n">
        <x:v>150.647</x:v>
      </x:c>
      <x:c r="V219" s="8" t="n">
        <x:v>0</x:v>
      </x:c>
      <x:c r="W219" s="8" t="n">
        <x:v>150.647</x:v>
      </x:c>
      <x:c r="X219" s="8" t="n">
        <x:v>0</x:v>
      </x:c>
      <x:c r="Y219" s="8" t="n">
        <x:v>227.739</x:v>
      </x:c>
      <x:c r="Z219" s="8" t="n">
        <x:v>0</x:v>
      </x:c>
      <x:c r="AA219" s="8" t="n">
        <x:v>227.739</x:v>
      </x:c>
      <x:c r="AB219" s="8" t="n">
        <x:v>0</x:v>
      </x:c>
      <x:c r="AC219" s="8" t="n">
        <x:v>209.477</x:v>
      </x:c>
      <x:c r="AD219" s="8" t="n">
        <x:v>0</x:v>
      </x:c>
      <x:c r="AE219" s="8" t="n">
        <x:v>209.477</x:v>
      </x:c>
      <x:c r="AF219" s="8" t="n">
        <x:v>0</x:v>
      </x:c>
      <x:c r="AG219" s="8" t="n">
        <x:v>215.804</x:v>
      </x:c>
      <x:c r="AH219" s="8"/>
      <x:c r="AI219" s="8"/>
      <x:c r="AJ219" s="8" t="n">
        <x:v>0</x:v>
      </x:c>
      <x:c r="AK219" s="8" t="n">
        <x:v>165.292</x:v>
      </x:c>
      <x:c r="AL219" s="8" t="n">
        <x:v>0</x:v>
      </x:c>
      <x:c r="AM219" s="8" t="n">
        <x:v>165.292</x:v>
      </x:c>
      <x:c r="AN219" s="8" t="n">
        <x:v>0</x:v>
      </x:c>
      <x:c r="AO219" s="8" t="n">
        <x:v>150.684</x:v>
      </x:c>
      <x:c r="AP219" s="8" t="n">
        <x:v>0</x:v>
      </x:c>
      <x:c r="AQ219" s="8" t="n">
        <x:v>150.684</x:v>
      </x:c>
      <x:c r="AR219" s="8" t="n">
        <x:v>0.001</x:v>
      </x:c>
      <x:c r="AS219" s="8" t="n">
        <x:v>228.439</x:v>
      </x:c>
      <x:c r="AT219" s="8" t="n">
        <x:v>0</x:v>
      </x:c>
      <x:c r="AU219" s="8" t="n">
        <x:v>164.494</x:v>
      </x:c>
      <x:c r="AV219" s="8" t="n">
        <x:v>0</x:v>
      </x:c>
      <x:c r="AW219" s="8" t="n">
        <x:v>198.171</x:v>
      </x:c>
      <x:c r="AX219" s="8" t="n">
        <x:v>0</x:v>
      </x:c>
      <x:c r="AY219" s="8" t="n">
        <x:v>201.278</x:v>
      </x:c>
      <x:c r="AZ219" s="8" t="n">
        <x:v>0</x:v>
      </x:c>
      <x:c r="BA219" s="8" t="n">
        <x:v>201.278</x:v>
      </x:c>
      <x:c r="BB219" s="8" t="n">
        <x:f>LET(m,MIN(IF(D219&gt;0,D219,1E+99),IF(F219&gt;0,F219,1E+99),IF(H219&gt;0,H219,1E+99),IF(J219&gt;0,J219,1E+99),IF(L219&gt;0,L219,1E+99),IF(N219&gt;0,N219,1E+99),IF(P219&gt;0,P219,1E+99),IF(R219&gt;0,R219,1E+99),IF(T219&gt;0,T219,1E+99),IF(V219&gt;0,V219,1E+99),IF(X219&gt;0,X219,1E+99),IF(Z219&gt;0,Z219,1E+99),IF(AB219&gt;0,AB219,1E+99),IF(AD219&gt;0,AD219,1E+99),IF(AF219&gt;0,AF219,1E+99),IF(AH219&gt;0,AH219,1E+99),IF(AJ219&gt;0,AJ219,1E+99),IF(AL219&gt;0,AL219,1E+99),IF(AN219&gt;0,AN219,1E+99),IF(AP219&gt;0,AP219,1E+99),IF(AR219&gt;0,AR219,1E+99),IF(AT219&gt;0,AT219,1E+99),IF(AV219&gt;0,AV219,1E+99),IF(AX219&gt;0,AX219,1E+99),IF(AZ219&gt;0,AZ219,1E+99)),IF(m=1E+99,"",m))</x:f>
        <x:v>0.001</x:v>
      </x:c>
      <x:c r="BC219" s="12" t="e">
        <x:f>IF(BB219="","",INDEX({"v1.4.20","v1.4.20","v1.4.21","v1.4.21","v1.4.23","v1.4.23","v1.4.26","v1.4.26","v1.4.26.1","v1.4.26.1","v1.4.27","v1.4.27","v1.4.29","v1.4.29","v1.4.30","v1.4.30","v1.4.31","v1.4.31","v1.4.33","v1.4.33","v1.4.35","v1.4.35.2","v1.5","v1.5.1","v1.5.1"},MATCH(BB219,CHOOSE({1,2,3,4,5,6,7,8,9,10,11,12,13,14,15,16,17,18,19,20,21,22,23,24,25},D219,F219,H219,J219,L219,N219,P219,R219,T219,V219,X219,Z219,AB219,AD219,AF219,AH219,AJ219,AL219,AN219,AP219,AR219,AT219,AV219,AX219,AZ219),0)))</x:f>
      </x:c>
      <x:c r="BD219" s="14" t="n">
        <x:f>LET(m,MIN(IF(E219&gt;0,E219,1E+99),IF(G219&gt;0,G219,1E+99),IF(I219&gt;0,I219,1E+99),IF(K219&gt;0,K219,1E+99),IF(M219&gt;0,M219,1E+99),IF(O219&gt;0,O219,1E+99),IF(Q219&gt;0,Q219,1E+99),IF(S219&gt;0,S219,1E+99),IF(U219&gt;0,U219,1E+99),IF(W219&gt;0,W219,1E+99),IF(Y219&gt;0,Y219,1E+99),IF(AA219&gt;0,AA219,1E+99),IF(AC219&gt;0,AC219,1E+99),IF(AE219&gt;0,AE219,1E+99),IF(AG219&gt;0,AG219,1E+99),IF(AI219&gt;0,AI219,1E+99),IF(AK219&gt;0,AK219,1E+99),IF(AM219&gt;0,AM219,1E+99),IF(AO219&gt;0,AO219,1E+99),IF(AQ219&gt;0,AQ219,1E+99),IF(AS219&gt;0,AS219,1E+99),IF(AU219&gt;0,AU219,1E+99),IF(AW219&gt;0,AW219,1E+99),IF(AY219&gt;0,AY219,1E+99),IF(BA219&gt;0,BA219,1E+99)),IF(m=1E+99,"",m))</x:f>
        <x:v>123.604</x:v>
      </x:c>
      <x:c r="BE219" s="16" t="e">
        <x:f>IF(BD219="","",INDEX({"v1.4.20","v1.4.20","v1.4.21","v1.4.21","v1.4.23","v1.4.23","v1.4.26","v1.4.26","v1.4.26.1","v1.4.26.1","v1.4.27","v1.4.27","v1.4.29","v1.4.29","v1.4.30","v1.4.30","v1.4.31","v1.4.31","v1.4.33","v1.4.33","v1.4.35","v1.4.35.2","v1.5","v1.5.1","v1.5.1"},MATCH(BD219,CHOOSE({1,2,3,4,5,6,7,8,9,10,11,12,13,14,15,16,17,18,19,20,21,22,23,24,25},E219,G219,I219,K219,M219,O219,Q219,S219,U219,W219,Y219,AA219,AC219,AE219,AG219,AI219,AK219,AM219,AO219,AQ219,AS219,AU219,AW219,AY219,BA219),0)))</x:f>
      </x:c>
      <x:c r="BF219" s="10" t="n">
        <x:f>IFERROR((AX219-BB219)/BB219,"")</x:f>
        <x:v>-1</x:v>
      </x:c>
      <x:c r="BG219" s="10" t="n">
        <x:f>IFERROR((AY219-BD219)/BD219,"")</x:f>
        <x:v>0.6284100838160577</x:v>
      </x:c>
    </x:row>
    <x:row r="220">
      <x:c r="A220" t="str">
        <x:v>Monthly Change</x:v>
      </x:c>
      <x:c r="B220" t="str">
        <x:v>Create / Refresh All Templates</x:v>
      </x:c>
      <x:c r="C220" t="str">
        <x:v>Apply row heights: Template - Monthly Change</x:v>
      </x:c>
      <x:c r="D220" s="8" t="n">
        <x:v>0.012</x:v>
      </x:c>
      <x:c r="E220" s="8" t="n">
        <x:v>143.479</x:v>
      </x:c>
      <x:c r="F220" s="8" t="n">
        <x:v>0.012</x:v>
      </x:c>
      <x:c r="G220" s="8" t="n">
        <x:v>143.479</x:v>
      </x:c>
      <x:c r="H220" s="8" t="n">
        <x:v>0.007</x:v>
      </x:c>
      <x:c r="I220" s="8" t="n">
        <x:v>181.37</x:v>
      </x:c>
      <x:c r="J220" s="8" t="n">
        <x:v>0.007</x:v>
      </x:c>
      <x:c r="K220" s="8" t="n">
        <x:v>181.37</x:v>
      </x:c>
      <x:c r="L220" s="8" t="n">
        <x:v>0.01</x:v>
      </x:c>
      <x:c r="M220" s="8" t="n">
        <x:v>179.459</x:v>
      </x:c>
      <x:c r="N220" s="8" t="n">
        <x:v>0.01</x:v>
      </x:c>
      <x:c r="O220" s="8" t="n">
        <x:v>179.459</x:v>
      </x:c>
      <x:c r="P220" s="8" t="n">
        <x:v>0.005</x:v>
      </x:c>
      <x:c r="Q220" s="8" t="n">
        <x:v>119.099</x:v>
      </x:c>
      <x:c r="R220" s="8" t="n">
        <x:v>0.005</x:v>
      </x:c>
      <x:c r="S220" s="8" t="n">
        <x:v>119.099</x:v>
      </x:c>
      <x:c r="T220" s="8" t="n">
        <x:v>2.263</x:v>
      </x:c>
      <x:c r="U220" s="8" t="n">
        <x:v>146.706</x:v>
      </x:c>
      <x:c r="V220" s="8" t="n">
        <x:v>2.263</x:v>
      </x:c>
      <x:c r="W220" s="8" t="n">
        <x:v>146.706</x:v>
      </x:c>
      <x:c r="X220" s="8" t="n">
        <x:v>0.009</x:v>
      </x:c>
      <x:c r="Y220" s="8" t="n">
        <x:v>219.869</x:v>
      </x:c>
      <x:c r="Z220" s="8" t="n">
        <x:v>0.009</x:v>
      </x:c>
      <x:c r="AA220" s="8" t="n">
        <x:v>219.869</x:v>
      </x:c>
      <x:c r="AB220" s="8" t="n">
        <x:v>3.298</x:v>
      </x:c>
      <x:c r="AC220" s="8" t="n">
        <x:v>204.191</x:v>
      </x:c>
      <x:c r="AD220" s="8" t="n">
        <x:v>3.298</x:v>
      </x:c>
      <x:c r="AE220" s="8" t="n">
        <x:v>204.191</x:v>
      </x:c>
      <x:c r="AF220" s="8" t="n">
        <x:v>3.915</x:v>
      </x:c>
      <x:c r="AG220" s="8" t="n">
        <x:v>209.779</x:v>
      </x:c>
      <x:c r="AH220" s="8"/>
      <x:c r="AI220" s="8"/>
      <x:c r="AJ220" s="8" t="n">
        <x:v>2.656</x:v>
      </x:c>
      <x:c r="AK220" s="8" t="n">
        <x:v>160.2</x:v>
      </x:c>
      <x:c r="AL220" s="8" t="n">
        <x:v>2.656</x:v>
      </x:c>
      <x:c r="AM220" s="8" t="n">
        <x:v>160.2</x:v>
      </x:c>
      <x:c r="AN220" s="8" t="n">
        <x:v>1.954</x:v>
      </x:c>
      <x:c r="AO220" s="8" t="n">
        <x:v>146.887</x:v>
      </x:c>
      <x:c r="AP220" s="8" t="n">
        <x:v>1.954</x:v>
      </x:c>
      <x:c r="AQ220" s="8" t="n">
        <x:v>146.887</x:v>
      </x:c>
      <x:c r="AR220" s="8" t="n">
        <x:v>0.031</x:v>
      </x:c>
      <x:c r="AS220" s="8" t="n">
        <x:v>220.531</x:v>
      </x:c>
      <x:c r="AT220" s="8" t="n">
        <x:v>0.016</x:v>
      </x:c>
      <x:c r="AU220" s="8" t="n">
        <x:v>159.332</x:v>
      </x:c>
      <x:c r="AV220" s="8"/>
      <x:c r="AW220" s="8"/>
      <x:c r="AX220" s="8"/>
      <x:c r="AY220" s="8"/>
      <x:c r="AZ220" s="8"/>
      <x:c r="BA220" s="8"/>
      <x:c r="BB220" s="8" t="n">
        <x:f>LET(m,MIN(IF(D220&gt;0,D220,1E+99),IF(F220&gt;0,F220,1E+99),IF(H220&gt;0,H220,1E+99),IF(J220&gt;0,J220,1E+99),IF(L220&gt;0,L220,1E+99),IF(N220&gt;0,N220,1E+99),IF(P220&gt;0,P220,1E+99),IF(R220&gt;0,R220,1E+99),IF(T220&gt;0,T220,1E+99),IF(V220&gt;0,V220,1E+99),IF(X220&gt;0,X220,1E+99),IF(Z220&gt;0,Z220,1E+99),IF(AB220&gt;0,AB220,1E+99),IF(AD220&gt;0,AD220,1E+99),IF(AF220&gt;0,AF220,1E+99),IF(AH220&gt;0,AH220,1E+99),IF(AJ220&gt;0,AJ220,1E+99),IF(AL220&gt;0,AL220,1E+99),IF(AN220&gt;0,AN220,1E+99),IF(AP220&gt;0,AP220,1E+99),IF(AR220&gt;0,AR220,1E+99),IF(AT220&gt;0,AT220,1E+99),IF(AV220&gt;0,AV220,1E+99),IF(AX220&gt;0,AX220,1E+99),IF(AZ220&gt;0,AZ220,1E+99)),IF(m=1E+99,"",m))</x:f>
        <x:v>0.005</x:v>
      </x:c>
      <x:c r="BC220" s="12" t="e">
        <x:f>IF(BB220="","",INDEX({"v1.4.20","v1.4.20","v1.4.21","v1.4.21","v1.4.23","v1.4.23","v1.4.26","v1.4.26","v1.4.26.1","v1.4.26.1","v1.4.27","v1.4.27","v1.4.29","v1.4.29","v1.4.30","v1.4.30","v1.4.31","v1.4.31","v1.4.33","v1.4.33","v1.4.35","v1.4.35.2","v1.5","v1.5.1","v1.5.1"},MATCH(BB220,CHOOSE({1,2,3,4,5,6,7,8,9,10,11,12,13,14,15,16,17,18,19,20,21,22,23,24,25},D220,F220,H220,J220,L220,N220,P220,R220,T220,V220,X220,Z220,AB220,AD220,AF220,AH220,AJ220,AL220,AN220,AP220,AR220,AT220,AV220,AX220,AZ220),0)))</x:f>
      </x:c>
      <x:c r="BD220" s="14" t="n">
        <x:f>LET(m,MIN(IF(E220&gt;0,E220,1E+99),IF(G220&gt;0,G220,1E+99),IF(I220&gt;0,I220,1E+99),IF(K220&gt;0,K220,1E+99),IF(M220&gt;0,M220,1E+99),IF(O220&gt;0,O220,1E+99),IF(Q220&gt;0,Q220,1E+99),IF(S220&gt;0,S220,1E+99),IF(U220&gt;0,U220,1E+99),IF(W220&gt;0,W220,1E+99),IF(Y220&gt;0,Y220,1E+99),IF(AA220&gt;0,AA220,1E+99),IF(AC220&gt;0,AC220,1E+99),IF(AE220&gt;0,AE220,1E+99),IF(AG220&gt;0,AG220,1E+99),IF(AI220&gt;0,AI220,1E+99),IF(AK220&gt;0,AK220,1E+99),IF(AM220&gt;0,AM220,1E+99),IF(AO220&gt;0,AO220,1E+99),IF(AQ220&gt;0,AQ220,1E+99),IF(AS220&gt;0,AS220,1E+99),IF(AU220&gt;0,AU220,1E+99),IF(AW220&gt;0,AW220,1E+99),IF(AY220&gt;0,AY220,1E+99),IF(BA220&gt;0,BA220,1E+99)),IF(m=1E+99,"",m))</x:f>
        <x:v>119.099</x:v>
      </x:c>
      <x:c r="BE220" s="16" t="e">
        <x:f>IF(BD220="","",INDEX({"v1.4.20","v1.4.20","v1.4.21","v1.4.21","v1.4.23","v1.4.23","v1.4.26","v1.4.26","v1.4.26.1","v1.4.26.1","v1.4.27","v1.4.27","v1.4.29","v1.4.29","v1.4.30","v1.4.30","v1.4.31","v1.4.31","v1.4.33","v1.4.33","v1.4.35","v1.4.35.2","v1.5","v1.5.1","v1.5.1"},MATCH(BD220,CHOOSE({1,2,3,4,5,6,7,8,9,10,11,12,13,14,15,16,17,18,19,20,21,22,23,24,25},E220,G220,I220,K220,M220,O220,Q220,S220,U220,W220,Y220,AA220,AC220,AE220,AG220,AI220,AK220,AM220,AO220,AQ220,AS220,AU220,AW220,AY220,BA220),0)))</x:f>
      </x:c>
      <x:c r="BF220" s="10" t="n">
        <x:f>IFERROR((AX220-BB220)/BB220,"")</x:f>
        <x:v>-1</x:v>
      </x:c>
      <x:c r="BG220" s="10" t="n">
        <x:f>IFERROR((AY220-BD220)/BD220,"")</x:f>
        <x:v>-1</x:v>
      </x:c>
    </x:row>
    <x:row r="221">
      <x:c r="A221" t="str">
        <x:v>Monthly Change</x:v>
      </x:c>
      <x:c r="B221" t="str">
        <x:v>Create / Refresh All Templates</x:v>
      </x:c>
      <x:c r="C221" t="str">
        <x:v>Clear sheet/formats for full build: Template - Monthly Change</x:v>
      </x:c>
      <x:c r="D221" s="8" t="n">
        <x:v>8.464</x:v>
      </x:c>
      <x:c r="E221" s="8" t="n">
        <x:v>136.58</x:v>
      </x:c>
      <x:c r="F221" s="8" t="n">
        <x:v>8.464</x:v>
      </x:c>
      <x:c r="G221" s="8" t="n">
        <x:v>136.58</x:v>
      </x:c>
      <x:c r="H221" s="8" t="n">
        <x:v>11.3</x:v>
      </x:c>
      <x:c r="I221" s="8" t="n">
        <x:v>173.167</x:v>
      </x:c>
      <x:c r="J221" s="8" t="n">
        <x:v>11.3</x:v>
      </x:c>
      <x:c r="K221" s="8" t="n">
        <x:v>173.167</x:v>
      </x:c>
      <x:c r="L221" s="8"/>
      <x:c r="M221" s="8"/>
      <x:c r="N221" s="8"/>
      <x:c r="O221" s="8"/>
      <x:c r="P221" s="8" t="n">
        <x:v>7.931</x:v>
      </x:c>
      <x:c r="Q221" s="8" t="n">
        <x:v>113.448</x:v>
      </x:c>
      <x:c r="R221" s="8" t="n">
        <x:v>7.931</x:v>
      </x:c>
      <x:c r="S221" s="8" t="n">
        <x:v>113.448</x:v>
      </x:c>
      <x:c r="T221" s="8"/>
      <x:c r="U221" s="8"/>
      <x:c r="V221" s="8"/>
      <x:c r="W221" s="8"/>
      <x:c r="X221" s="8" t="n">
        <x:v>15.006</x:v>
      </x:c>
      <x:c r="Y221" s="8" t="n">
        <x:v>209.029</x:v>
      </x:c>
      <x:c r="Z221" s="8" t="n">
        <x:v>15.006</x:v>
      </x:c>
      <x:c r="AA221" s="8" t="n">
        <x:v>209.029</x:v>
      </x:c>
      <x:c r="AB221" s="8"/>
      <x:c r="AC221" s="8"/>
      <x:c r="AD221" s="8"/>
      <x:c r="AE221" s="8"/>
      <x:c r="AF221" s="8"/>
      <x:c r="AG221" s="8"/>
      <x:c r="AH221" s="8"/>
      <x:c r="AI221" s="8"/>
      <x:c r="AJ221" s="8"/>
      <x:c r="AK221" s="8"/>
      <x:c r="AL221" s="8"/>
      <x:c r="AM221" s="8"/>
      <x:c r="AN221" s="8"/>
      <x:c r="AO221" s="8"/>
      <x:c r="AP221" s="8"/>
      <x:c r="AQ221" s="8"/>
      <x:c r="AR221" s="8" t="n">
        <x:v>15.899</x:v>
      </x:c>
      <x:c r="AS221" s="8" t="n">
        <x:v>208.956</x:v>
      </x:c>
      <x:c r="AT221" s="8" t="n">
        <x:v>11.565</x:v>
      </x:c>
      <x:c r="AU221" s="8" t="n">
        <x:v>150.292</x:v>
      </x:c>
      <x:c r="AV221" s="8"/>
      <x:c r="AW221" s="8"/>
      <x:c r="AX221" s="8"/>
      <x:c r="AY221" s="8"/>
      <x:c r="AZ221" s="8"/>
      <x:c r="BA221" s="8"/>
      <x:c r="BB221" s="8" t="n">
        <x:f>LET(m,MIN(IF(D221&gt;0,D221,1E+99),IF(F221&gt;0,F221,1E+99),IF(H221&gt;0,H221,1E+99),IF(J221&gt;0,J221,1E+99),IF(L221&gt;0,L221,1E+99),IF(N221&gt;0,N221,1E+99),IF(P221&gt;0,P221,1E+99),IF(R221&gt;0,R221,1E+99),IF(T221&gt;0,T221,1E+99),IF(V221&gt;0,V221,1E+99),IF(X221&gt;0,X221,1E+99),IF(Z221&gt;0,Z221,1E+99),IF(AB221&gt;0,AB221,1E+99),IF(AD221&gt;0,AD221,1E+99),IF(AF221&gt;0,AF221,1E+99),IF(AH221&gt;0,AH221,1E+99),IF(AJ221&gt;0,AJ221,1E+99),IF(AL221&gt;0,AL221,1E+99),IF(AN221&gt;0,AN221,1E+99),IF(AP221&gt;0,AP221,1E+99),IF(AR221&gt;0,AR221,1E+99),IF(AT221&gt;0,AT221,1E+99),IF(AV221&gt;0,AV221,1E+99),IF(AX221&gt;0,AX221,1E+99),IF(AZ221&gt;0,AZ221,1E+99)),IF(m=1E+99,"",m))</x:f>
        <x:v>7.931</x:v>
      </x:c>
      <x:c r="BC221" s="12" t="e">
        <x:f>IF(BB221="","",INDEX({"v1.4.20","v1.4.20","v1.4.21","v1.4.21","v1.4.23","v1.4.23","v1.4.26","v1.4.26","v1.4.26.1","v1.4.26.1","v1.4.27","v1.4.27","v1.4.29","v1.4.29","v1.4.30","v1.4.30","v1.4.31","v1.4.31","v1.4.33","v1.4.33","v1.4.35","v1.4.35.2","v1.5","v1.5.1","v1.5.1"},MATCH(BB221,CHOOSE({1,2,3,4,5,6,7,8,9,10,11,12,13,14,15,16,17,18,19,20,21,22,23,24,25},D221,F221,H221,J221,L221,N221,P221,R221,T221,V221,X221,Z221,AB221,AD221,AF221,AH221,AJ221,AL221,AN221,AP221,AR221,AT221,AV221,AX221,AZ221),0)))</x:f>
      </x:c>
      <x:c r="BD221" s="14" t="n">
        <x:f>LET(m,MIN(IF(E221&gt;0,E221,1E+99),IF(G221&gt;0,G221,1E+99),IF(I221&gt;0,I221,1E+99),IF(K221&gt;0,K221,1E+99),IF(M221&gt;0,M221,1E+99),IF(O221&gt;0,O221,1E+99),IF(Q221&gt;0,Q221,1E+99),IF(S221&gt;0,S221,1E+99),IF(U221&gt;0,U221,1E+99),IF(W221&gt;0,W221,1E+99),IF(Y221&gt;0,Y221,1E+99),IF(AA221&gt;0,AA221,1E+99),IF(AC221&gt;0,AC221,1E+99),IF(AE221&gt;0,AE221,1E+99),IF(AG221&gt;0,AG221,1E+99),IF(AI221&gt;0,AI221,1E+99),IF(AK221&gt;0,AK221,1E+99),IF(AM221&gt;0,AM221,1E+99),IF(AO221&gt;0,AO221,1E+99),IF(AQ221&gt;0,AQ221,1E+99),IF(AS221&gt;0,AS221,1E+99),IF(AU221&gt;0,AU221,1E+99),IF(AW221&gt;0,AW221,1E+99),IF(AY221&gt;0,AY221,1E+99),IF(BA221&gt;0,BA221,1E+99)),IF(m=1E+99,"",m))</x:f>
        <x:v>113.448</x:v>
      </x:c>
      <x:c r="BE221" s="16" t="e">
        <x:f>IF(BD221="","",INDEX({"v1.4.20","v1.4.20","v1.4.21","v1.4.21","v1.4.23","v1.4.23","v1.4.26","v1.4.26","v1.4.26.1","v1.4.26.1","v1.4.27","v1.4.27","v1.4.29","v1.4.29","v1.4.30","v1.4.30","v1.4.31","v1.4.31","v1.4.33","v1.4.33","v1.4.35","v1.4.35.2","v1.5","v1.5.1","v1.5.1"},MATCH(BD221,CHOOSE({1,2,3,4,5,6,7,8,9,10,11,12,13,14,15,16,17,18,19,20,21,22,23,24,25},E221,G221,I221,K221,M221,O221,Q221,S221,U221,W221,Y221,AA221,AC221,AE221,AG221,AI221,AK221,AM221,AO221,AQ221,AS221,AU221,AW221,AY221,BA221),0)))</x:f>
      </x:c>
      <x:c r="BF221" s="10" t="n">
        <x:f>IFERROR((AX221-BB221)/BB221,"")</x:f>
        <x:v>-1</x:v>
      </x:c>
      <x:c r="BG221" s="10" t="n">
        <x:f>IFERROR((AY221-BD221)/BD221,"")</x:f>
        <x:v>-1</x:v>
      </x:c>
    </x:row>
    <x:row r="222">
      <x:c r="A222" t="str">
        <x:v>Monthly Change</x:v>
      </x:c>
      <x:c r="B222" t="str">
        <x:v>Create / Refresh All Templates</x:v>
      </x:c>
      <x:c r="C222" t="str">
        <x:v>Resize columns: Template - Monthly Change (89 cols)</x:v>
      </x:c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 t="n">
        <x:v>0.391</x:v>
      </x:c>
      <x:c r="U222" s="8" t="n">
        <x:v>137.465</x:v>
      </x:c>
      <x:c r="V222" s="8" t="n">
        <x:v>0.391</x:v>
      </x:c>
      <x:c r="W222" s="8" t="n">
        <x:v>137.465</x:v>
      </x:c>
      <x:c r="X222" s="8"/>
      <x:c r="Y222" s="8"/>
      <x:c r="Z222" s="8"/>
      <x:c r="AA222" s="8"/>
      <x:c r="AB222" s="8"/>
      <x:c r="AC222" s="8"/>
      <x:c r="AD222" s="8"/>
      <x:c r="AE222" s="8"/>
      <x:c r="AF222" s="8" t="n">
        <x:v>0.101</x:v>
      </x:c>
      <x:c r="AG222" s="8" t="n">
        <x:v>196.257</x:v>
      </x:c>
      <x:c r="AH222" s="8"/>
      <x:c r="AI222" s="8"/>
      <x:c r="AJ222" s="8" t="n">
        <x:v>0.103</x:v>
      </x:c>
      <x:c r="AK222" s="8" t="n">
        <x:v>147.968</x:v>
      </x:c>
      <x:c r="AL222" s="8" t="n">
        <x:v>0.103</x:v>
      </x:c>
      <x:c r="AM222" s="8" t="n">
        <x:v>147.968</x:v>
      </x:c>
      <x:c r="AN222" s="8" t="n">
        <x:v>0.158</x:v>
      </x:c>
      <x:c r="AO222" s="8" t="n">
        <x:v>136.666</x:v>
      </x:c>
      <x:c r="AP222" s="8" t="n">
        <x:v>0.158</x:v>
      </x:c>
      <x:c r="AQ222" s="8" t="n">
        <x:v>136.666</x:v>
      </x:c>
      <x:c r="AR222" s="8"/>
      <x:c r="AS222" s="8"/>
      <x:c r="AT222" s="8"/>
      <x:c r="AU222" s="8"/>
      <x:c r="AV222" s="8"/>
      <x:c r="AW222" s="8"/>
      <x:c r="AX222" s="8"/>
      <x:c r="AY222" s="8"/>
      <x:c r="AZ222" s="8"/>
      <x:c r="BA222" s="8"/>
      <x:c r="BB222" s="8" t="n">
        <x:f>LET(m,MIN(IF(D222&gt;0,D222,1E+99),IF(F222&gt;0,F222,1E+99),IF(H222&gt;0,H222,1E+99),IF(J222&gt;0,J222,1E+99),IF(L222&gt;0,L222,1E+99),IF(N222&gt;0,N222,1E+99),IF(P222&gt;0,P222,1E+99),IF(R222&gt;0,R222,1E+99),IF(T222&gt;0,T222,1E+99),IF(V222&gt;0,V222,1E+99),IF(X222&gt;0,X222,1E+99),IF(Z222&gt;0,Z222,1E+99),IF(AB222&gt;0,AB222,1E+99),IF(AD222&gt;0,AD222,1E+99),IF(AF222&gt;0,AF222,1E+99),IF(AH222&gt;0,AH222,1E+99),IF(AJ222&gt;0,AJ222,1E+99),IF(AL222&gt;0,AL222,1E+99),IF(AN222&gt;0,AN222,1E+99),IF(AP222&gt;0,AP222,1E+99),IF(AR222&gt;0,AR222,1E+99),IF(AT222&gt;0,AT222,1E+99),IF(AV222&gt;0,AV222,1E+99),IF(AX222&gt;0,AX222,1E+99),IF(AZ222&gt;0,AZ222,1E+99)),IF(m=1E+99,"",m))</x:f>
        <x:v>0.101</x:v>
      </x:c>
      <x:c r="BC222" s="12" t="e">
        <x:f>IF(BB222="","",INDEX({"v1.4.20","v1.4.20","v1.4.21","v1.4.21","v1.4.23","v1.4.23","v1.4.26","v1.4.26","v1.4.26.1","v1.4.26.1","v1.4.27","v1.4.27","v1.4.29","v1.4.29","v1.4.30","v1.4.30","v1.4.31","v1.4.31","v1.4.33","v1.4.33","v1.4.35","v1.4.35.2","v1.5","v1.5.1","v1.5.1"},MATCH(BB222,CHOOSE({1,2,3,4,5,6,7,8,9,10,11,12,13,14,15,16,17,18,19,20,21,22,23,24,25},D222,F222,H222,J222,L222,N222,P222,R222,T222,V222,X222,Z222,AB222,AD222,AF222,AH222,AJ222,AL222,AN222,AP222,AR222,AT222,AV222,AX222,AZ222),0)))</x:f>
      </x:c>
      <x:c r="BD222" s="14" t="n">
        <x:f>LET(m,MIN(IF(E222&gt;0,E222,1E+99),IF(G222&gt;0,G222,1E+99),IF(I222&gt;0,I222,1E+99),IF(K222&gt;0,K222,1E+99),IF(M222&gt;0,M222,1E+99),IF(O222&gt;0,O222,1E+99),IF(Q222&gt;0,Q222,1E+99),IF(S222&gt;0,S222,1E+99),IF(U222&gt;0,U222,1E+99),IF(W222&gt;0,W222,1E+99),IF(Y222&gt;0,Y222,1E+99),IF(AA222&gt;0,AA222,1E+99),IF(AC222&gt;0,AC222,1E+99),IF(AE222&gt;0,AE222,1E+99),IF(AG222&gt;0,AG222,1E+99),IF(AI222&gt;0,AI222,1E+99),IF(AK222&gt;0,AK222,1E+99),IF(AM222&gt;0,AM222,1E+99),IF(AO222&gt;0,AO222,1E+99),IF(AQ222&gt;0,AQ222,1E+99),IF(AS222&gt;0,AS222,1E+99),IF(AU222&gt;0,AU222,1E+99),IF(AW222&gt;0,AW222,1E+99),IF(AY222&gt;0,AY222,1E+99),IF(BA222&gt;0,BA222,1E+99)),IF(m=1E+99,"",m))</x:f>
        <x:v>136.666</x:v>
      </x:c>
      <x:c r="BE222" s="16" t="e">
        <x:f>IF(BD222="","",INDEX({"v1.4.20","v1.4.20","v1.4.21","v1.4.21","v1.4.23","v1.4.23","v1.4.26","v1.4.26","v1.4.26.1","v1.4.26.1","v1.4.27","v1.4.27","v1.4.29","v1.4.29","v1.4.30","v1.4.30","v1.4.31","v1.4.31","v1.4.33","v1.4.33","v1.4.35","v1.4.35.2","v1.5","v1.5.1","v1.5.1"},MATCH(BD222,CHOOSE({1,2,3,4,5,6,7,8,9,10,11,12,13,14,15,16,17,18,19,20,21,22,23,24,25},E222,G222,I222,K222,M222,O222,Q222,S222,U222,W222,Y222,AA222,AC222,AE222,AG222,AI222,AK222,AM222,AO222,AQ222,AS222,AU222,AW222,AY222,BA222),0)))</x:f>
      </x:c>
      <x:c r="BF222" s="10" t="n">
        <x:f>IFERROR((AX222-BB222)/BB222,"")</x:f>
        <x:v>-1</x:v>
      </x:c>
      <x:c r="BG222" s="10" t="n">
        <x:f>IFERROR((AY222-BD222)/BD222,"")</x:f>
        <x:v>-1</x:v>
      </x:c>
    </x:row>
    <x:row r="223">
      <x:c r="A223" t="str">
        <x:v>Monthly Change</x:v>
      </x:c>
      <x:c r="B223" t="str">
        <x:v>Create / Refresh All Templates</x:v>
      </x:c>
      <x:c r="C223" t="str">
        <x:v>Resize rows: Template - Monthly Change (1000 rows)</x:v>
      </x:c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8" t="n">
        <x:v>9.655</x:v>
      </x:c>
      <x:c r="U223" s="8" t="n">
        <x:v>137.074</x:v>
      </x:c>
      <x:c r="V223" s="8" t="n">
        <x:v>9.655</x:v>
      </x:c>
      <x:c r="W223" s="8" t="n">
        <x:v>137.074</x:v>
      </x:c>
      <x:c r="X223" s="8"/>
      <x:c r="Y223" s="8"/>
      <x:c r="Z223" s="8"/>
      <x:c r="AA223" s="8"/>
      <x:c r="AB223" s="8"/>
      <x:c r="AC223" s="8"/>
      <x:c r="AD223" s="8"/>
      <x:c r="AE223" s="8"/>
      <x:c r="AF223" s="8" t="n">
        <x:v>13.918</x:v>
      </x:c>
      <x:c r="AG223" s="8" t="n">
        <x:v>196.156</x:v>
      </x:c>
      <x:c r="AH223" s="8"/>
      <x:c r="AI223" s="8"/>
      <x:c r="AJ223" s="8" t="n">
        <x:v>14.548</x:v>
      </x:c>
      <x:c r="AK223" s="8" t="n">
        <x:v>147.865</x:v>
      </x:c>
      <x:c r="AL223" s="8" t="n">
        <x:v>14.548</x:v>
      </x:c>
      <x:c r="AM223" s="8" t="n">
        <x:v>147.865</x:v>
      </x:c>
      <x:c r="AN223" s="8" t="n">
        <x:v>7.986</x:v>
      </x:c>
      <x:c r="AO223" s="8" t="n">
        <x:v>136.508</x:v>
      </x:c>
      <x:c r="AP223" s="8" t="n">
        <x:v>7.986</x:v>
      </x:c>
      <x:c r="AQ223" s="8" t="n">
        <x:v>136.508</x:v>
      </x:c>
      <x:c r="AR223" s="8"/>
      <x:c r="AS223" s="8"/>
      <x:c r="AT223" s="8"/>
      <x:c r="AU223" s="8"/>
      <x:c r="AV223" s="8"/>
      <x:c r="AW223" s="8"/>
      <x:c r="AX223" s="8"/>
      <x:c r="AY223" s="8"/>
      <x:c r="AZ223" s="8"/>
      <x:c r="BA223" s="8"/>
      <x:c r="BB223" s="8" t="n">
        <x:f>LET(m,MIN(IF(D223&gt;0,D223,1E+99),IF(F223&gt;0,F223,1E+99),IF(H223&gt;0,H223,1E+99),IF(J223&gt;0,J223,1E+99),IF(L223&gt;0,L223,1E+99),IF(N223&gt;0,N223,1E+99),IF(P223&gt;0,P223,1E+99),IF(R223&gt;0,R223,1E+99),IF(T223&gt;0,T223,1E+99),IF(V223&gt;0,V223,1E+99),IF(X223&gt;0,X223,1E+99),IF(Z223&gt;0,Z223,1E+99),IF(AB223&gt;0,AB223,1E+99),IF(AD223&gt;0,AD223,1E+99),IF(AF223&gt;0,AF223,1E+99),IF(AH223&gt;0,AH223,1E+99),IF(AJ223&gt;0,AJ223,1E+99),IF(AL223&gt;0,AL223,1E+99),IF(AN223&gt;0,AN223,1E+99),IF(AP223&gt;0,AP223,1E+99),IF(AR223&gt;0,AR223,1E+99),IF(AT223&gt;0,AT223,1E+99),IF(AV223&gt;0,AV223,1E+99),IF(AX223&gt;0,AX223,1E+99),IF(AZ223&gt;0,AZ223,1E+99)),IF(m=1E+99,"",m))</x:f>
        <x:v>7.986</x:v>
      </x:c>
      <x:c r="BC223" s="12" t="e">
        <x:f>IF(BB223="","",INDEX({"v1.4.20","v1.4.20","v1.4.21","v1.4.21","v1.4.23","v1.4.23","v1.4.26","v1.4.26","v1.4.26.1","v1.4.26.1","v1.4.27","v1.4.27","v1.4.29","v1.4.29","v1.4.30","v1.4.30","v1.4.31","v1.4.31","v1.4.33","v1.4.33","v1.4.35","v1.4.35.2","v1.5","v1.5.1","v1.5.1"},MATCH(BB223,CHOOSE({1,2,3,4,5,6,7,8,9,10,11,12,13,14,15,16,17,18,19,20,21,22,23,24,25},D223,F223,H223,J223,L223,N223,P223,R223,T223,V223,X223,Z223,AB223,AD223,AF223,AH223,AJ223,AL223,AN223,AP223,AR223,AT223,AV223,AX223,AZ223),0)))</x:f>
      </x:c>
      <x:c r="BD223" s="14" t="n">
        <x:f>LET(m,MIN(IF(E223&gt;0,E223,1E+99),IF(G223&gt;0,G223,1E+99),IF(I223&gt;0,I223,1E+99),IF(K223&gt;0,K223,1E+99),IF(M223&gt;0,M223,1E+99),IF(O223&gt;0,O223,1E+99),IF(Q223&gt;0,Q223,1E+99),IF(S223&gt;0,S223,1E+99),IF(U223&gt;0,U223,1E+99),IF(W223&gt;0,W223,1E+99),IF(Y223&gt;0,Y223,1E+99),IF(AA223&gt;0,AA223,1E+99),IF(AC223&gt;0,AC223,1E+99),IF(AE223&gt;0,AE223,1E+99),IF(AG223&gt;0,AG223,1E+99),IF(AI223&gt;0,AI223,1E+99),IF(AK223&gt;0,AK223,1E+99),IF(AM223&gt;0,AM223,1E+99),IF(AO223&gt;0,AO223,1E+99),IF(AQ223&gt;0,AQ223,1E+99),IF(AS223&gt;0,AS223,1E+99),IF(AU223&gt;0,AU223,1E+99),IF(AW223&gt;0,AW223,1E+99),IF(AY223&gt;0,AY223,1E+99),IF(BA223&gt;0,BA223,1E+99)),IF(m=1E+99,"",m))</x:f>
        <x:v>136.508</x:v>
      </x:c>
      <x:c r="BE223" s="16" t="e">
        <x:f>IF(BD223="","",INDEX({"v1.4.20","v1.4.20","v1.4.21","v1.4.21","v1.4.23","v1.4.23","v1.4.26","v1.4.26","v1.4.26.1","v1.4.26.1","v1.4.27","v1.4.27","v1.4.29","v1.4.29","v1.4.30","v1.4.30","v1.4.31","v1.4.31","v1.4.33","v1.4.33","v1.4.35","v1.4.35.2","v1.5","v1.5.1","v1.5.1"},MATCH(BD223,CHOOSE({1,2,3,4,5,6,7,8,9,10,11,12,13,14,15,16,17,18,19,20,21,22,23,24,25},E223,G223,I223,K223,M223,O223,Q223,S223,U223,W223,Y223,AA223,AC223,AE223,AG223,AI223,AK223,AM223,AO223,AQ223,AS223,AU223,AW223,AY223,BA223),0)))</x:f>
      </x:c>
      <x:c r="BF223" s="10" t="n">
        <x:f>IFERROR((AX223-BB223)/BB223,"")</x:f>
        <x:v>-1</x:v>
      </x:c>
      <x:c r="BG223" s="10" t="n">
        <x:f>IFERROR((AY223-BD223)/BD223,"")</x:f>
        <x:v>-1</x:v>
      </x:c>
    </x:row>
    <x:row r="224">
      <x:c r="A224" t="str">
        <x:v>Monthly Change</x:v>
      </x:c>
      <x:c r="B224" t="str">
        <x:v>Create / Refresh All Templates</x:v>
      </x:c>
      <x:c r="C224" t="str">
        <x:v>Resize sheet: Template - Monthly Change (1000 rows x 86 cols)</x:v>
      </x:c>
      <x:c r="D224" s="8" t="n">
        <x:v>0.543</x:v>
      </x:c>
      <x:c r="E224" s="8" t="n">
        <x:v>137.123</x:v>
      </x:c>
      <x:c r="F224" s="8" t="n">
        <x:v>0.543</x:v>
      </x:c>
      <x:c r="G224" s="8" t="n">
        <x:v>137.123</x:v>
      </x:c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  <x:c r="U224" s="8"/>
      <x:c r="V224" s="8"/>
      <x:c r="W224" s="8"/>
      <x:c r="X224" s="8"/>
      <x:c r="Y224" s="8"/>
      <x:c r="Z224" s="8"/>
      <x:c r="AA224" s="8"/>
      <x:c r="AB224" s="8"/>
      <x:c r="AC224" s="8"/>
      <x:c r="AD224" s="8"/>
      <x:c r="AE224" s="8"/>
      <x:c r="AF224" s="8"/>
      <x:c r="AG224" s="8"/>
      <x:c r="AH224" s="8"/>
      <x:c r="AI224" s="8"/>
      <x:c r="AJ224" s="8"/>
      <x:c r="AK224" s="8"/>
      <x:c r="AL224" s="8"/>
      <x:c r="AM224" s="8"/>
      <x:c r="AN224" s="8"/>
      <x:c r="AO224" s="8"/>
      <x:c r="AP224" s="8"/>
      <x:c r="AQ224" s="8"/>
      <x:c r="AR224" s="8"/>
      <x:c r="AS224" s="8"/>
      <x:c r="AT224" s="8"/>
      <x:c r="AU224" s="8"/>
      <x:c r="AV224" s="8"/>
      <x:c r="AW224" s="8"/>
      <x:c r="AX224" s="8"/>
      <x:c r="AY224" s="8"/>
      <x:c r="AZ224" s="8"/>
      <x:c r="BA224" s="8"/>
      <x:c r="BB224" s="8" t="n">
        <x:f>LET(m,MIN(IF(D224&gt;0,D224,1E+99),IF(F224&gt;0,F224,1E+99),IF(H224&gt;0,H224,1E+99),IF(J224&gt;0,J224,1E+99),IF(L224&gt;0,L224,1E+99),IF(N224&gt;0,N224,1E+99),IF(P224&gt;0,P224,1E+99),IF(R224&gt;0,R224,1E+99),IF(T224&gt;0,T224,1E+99),IF(V224&gt;0,V224,1E+99),IF(X224&gt;0,X224,1E+99),IF(Z224&gt;0,Z224,1E+99),IF(AB224&gt;0,AB224,1E+99),IF(AD224&gt;0,AD224,1E+99),IF(AF224&gt;0,AF224,1E+99),IF(AH224&gt;0,AH224,1E+99),IF(AJ224&gt;0,AJ224,1E+99),IF(AL224&gt;0,AL224,1E+99),IF(AN224&gt;0,AN224,1E+99),IF(AP224&gt;0,AP224,1E+99),IF(AR224&gt;0,AR224,1E+99),IF(AT224&gt;0,AT224,1E+99),IF(AV224&gt;0,AV224,1E+99),IF(AX224&gt;0,AX224,1E+99),IF(AZ224&gt;0,AZ224,1E+99)),IF(m=1E+99,"",m))</x:f>
        <x:v>0.543</x:v>
      </x:c>
      <x:c r="BC224" s="12" t="str">
        <x:f>IF(BB224="","",INDEX({"v1.4.20","v1.4.20","v1.4.21","v1.4.21","v1.4.23","v1.4.23","v1.4.26","v1.4.26","v1.4.26.1","v1.4.26.1","v1.4.27","v1.4.27","v1.4.29","v1.4.29","v1.4.30","v1.4.30","v1.4.31","v1.4.31","v1.4.33","v1.4.33","v1.4.35","v1.4.35.2","v1.5","v1.5.1","v1.5.1"},MATCH(BB224,CHOOSE({1,2,3,4,5,6,7,8,9,10,11,12,13,14,15,16,17,18,19,20,21,22,23,24,25},D224,F224,H224,J224,L224,N224,P224,R224,T224,V224,X224,Z224,AB224,AD224,AF224,AH224,AJ224,AL224,AN224,AP224,AR224,AT224,AV224,AX224,AZ224),0)))</x:f>
        <x:v>v1.4.20</x:v>
      </x:c>
      <x:c r="BD224" s="14" t="n">
        <x:f>LET(m,MIN(IF(E224&gt;0,E224,1E+99),IF(G224&gt;0,G224,1E+99),IF(I224&gt;0,I224,1E+99),IF(K224&gt;0,K224,1E+99),IF(M224&gt;0,M224,1E+99),IF(O224&gt;0,O224,1E+99),IF(Q224&gt;0,Q224,1E+99),IF(S224&gt;0,S224,1E+99),IF(U224&gt;0,U224,1E+99),IF(W224&gt;0,W224,1E+99),IF(Y224&gt;0,Y224,1E+99),IF(AA224&gt;0,AA224,1E+99),IF(AC224&gt;0,AC224,1E+99),IF(AE224&gt;0,AE224,1E+99),IF(AG224&gt;0,AG224,1E+99),IF(AI224&gt;0,AI224,1E+99),IF(AK224&gt;0,AK224,1E+99),IF(AM224&gt;0,AM224,1E+99),IF(AO224&gt;0,AO224,1E+99),IF(AQ224&gt;0,AQ224,1E+99),IF(AS224&gt;0,AS224,1E+99),IF(AU224&gt;0,AU224,1E+99),IF(AW224&gt;0,AW224,1E+99),IF(AY224&gt;0,AY224,1E+99),IF(BA224&gt;0,BA224,1E+99)),IF(m=1E+99,"",m))</x:f>
        <x:v>137.123</x:v>
      </x:c>
      <x:c r="BE224" s="16" t="str">
        <x:f>IF(BD224="","",INDEX({"v1.4.20","v1.4.20","v1.4.21","v1.4.21","v1.4.23","v1.4.23","v1.4.26","v1.4.26","v1.4.26.1","v1.4.26.1","v1.4.27","v1.4.27","v1.4.29","v1.4.29","v1.4.30","v1.4.30","v1.4.31","v1.4.31","v1.4.33","v1.4.33","v1.4.35","v1.4.35.2","v1.5","v1.5.1","v1.5.1"},MATCH(BD224,CHOOSE({1,2,3,4,5,6,7,8,9,10,11,12,13,14,15,16,17,18,19,20,21,22,23,24,25},E224,G224,I224,K224,M224,O224,Q224,S224,U224,W224,Y224,AA224,AC224,AE224,AG224,AI224,AK224,AM224,AO224,AQ224,AS224,AU224,AW224,AY224,BA224),0)))</x:f>
        <x:v>v1.4.20</x:v>
      </x:c>
      <x:c r="BF224" s="10" t="n">
        <x:f>IFERROR((AX224-BB224)/BB224,"")</x:f>
        <x:v>-1</x:v>
      </x:c>
      <x:c r="BG224" s="10" t="n">
        <x:f>IFERROR((AY224-BD224)/BD224,"")</x:f>
        <x:v>-1</x:v>
      </x:c>
    </x:row>
    <x:row r="225">
      <x:c r="A225" t="str">
        <x:v>Disenrolled Exclusion</x:v>
      </x:c>
      <x:c r="B225" t="str">
        <x:v>Create / Refresh All Templates</x:v>
      </x:c>
      <x:c r="C225" t="str">
        <x:v>Open/create sheet: Template - Disenrolled Exclusion</x:v>
      </x:c>
      <x:c r="D225" s="8" t="n">
        <x:v>2.711</x:v>
      </x:c>
      <x:c r="E225" s="8" t="n">
        <x:v>151.356</x:v>
      </x:c>
      <x:c r="F225" s="8" t="n">
        <x:v>2.711</x:v>
      </x:c>
      <x:c r="G225" s="8" t="n">
        <x:v>151.356</x:v>
      </x:c>
      <x:c r="H225" s="8" t="n">
        <x:v>2.604</x:v>
      </x:c>
      <x:c r="I225" s="8" t="n">
        <x:v>189.595</x:v>
      </x:c>
      <x:c r="J225" s="8" t="n">
        <x:v>2.604</x:v>
      </x:c>
      <x:c r="K225" s="8" t="n">
        <x:v>189.595</x:v>
      </x:c>
      <x:c r="L225" s="8" t="n">
        <x:v>2.941</x:v>
      </x:c>
      <x:c r="M225" s="8" t="n">
        <x:v>189.045</x:v>
      </x:c>
      <x:c r="N225" s="8" t="n">
        <x:v>2.941</x:v>
      </x:c>
      <x:c r="O225" s="8" t="n">
        <x:v>189.045</x:v>
      </x:c>
      <x:c r="P225" s="8" t="n">
        <x:v>1.894</x:v>
      </x:c>
      <x:c r="Q225" s="8" t="n">
        <x:v>125.498</x:v>
      </x:c>
      <x:c r="R225" s="8" t="n">
        <x:v>1.894</x:v>
      </x:c>
      <x:c r="S225" s="8" t="n">
        <x:v>125.498</x:v>
      </x:c>
      <x:c r="T225" s="8" t="n">
        <x:v>2.331</x:v>
      </x:c>
      <x:c r="U225" s="8" t="n">
        <x:v>152.978</x:v>
      </x:c>
      <x:c r="V225" s="8" t="n">
        <x:v>2.331</x:v>
      </x:c>
      <x:c r="W225" s="8" t="n">
        <x:v>152.978</x:v>
      </x:c>
      <x:c r="X225" s="8" t="n">
        <x:v>3.566</x:v>
      </x:c>
      <x:c r="Y225" s="8" t="n">
        <x:v>231.305</x:v>
      </x:c>
      <x:c r="Z225" s="8" t="n">
        <x:v>3.566</x:v>
      </x:c>
      <x:c r="AA225" s="8" t="n">
        <x:v>231.305</x:v>
      </x:c>
      <x:c r="AB225" s="8" t="n">
        <x:v>3.233</x:v>
      </x:c>
      <x:c r="AC225" s="8" t="n">
        <x:v>212.71</x:v>
      </x:c>
      <x:c r="AD225" s="8" t="n">
        <x:v>3.233</x:v>
      </x:c>
      <x:c r="AE225" s="8" t="n">
        <x:v>212.71</x:v>
      </x:c>
      <x:c r="AF225" s="8" t="n">
        <x:v>3.711</x:v>
      </x:c>
      <x:c r="AG225" s="8" t="n">
        <x:v>219.515</x:v>
      </x:c>
      <x:c r="AH225" s="8"/>
      <x:c r="AI225" s="8"/>
      <x:c r="AJ225" s="8" t="n">
        <x:v>3.991</x:v>
      </x:c>
      <x:c r="AK225" s="8" t="n">
        <x:v>169.283</x:v>
      </x:c>
      <x:c r="AL225" s="8" t="n">
        <x:v>3.991</x:v>
      </x:c>
      <x:c r="AM225" s="8" t="n">
        <x:v>169.283</x:v>
      </x:c>
      <x:c r="AN225" s="8" t="n">
        <x:v>2.429</x:v>
      </x:c>
      <x:c r="AO225" s="8" t="n">
        <x:v>153.113</x:v>
      </x:c>
      <x:c r="AP225" s="8" t="n">
        <x:v>2.429</x:v>
      </x:c>
      <x:c r="AQ225" s="8" t="n">
        <x:v>153.113</x:v>
      </x:c>
      <x:c r="AR225" s="8" t="n">
        <x:v>4.502</x:v>
      </x:c>
      <x:c r="AS225" s="8" t="n">
        <x:v>232.941</x:v>
      </x:c>
      <x:c r="AT225" s="8" t="n">
        <x:v>2.792</x:v>
      </x:c>
      <x:c r="AU225" s="8" t="n">
        <x:v>167.286</x:v>
      </x:c>
      <x:c r="AV225" s="8" t="n">
        <x:v>3.777</x:v>
      </x:c>
      <x:c r="AW225" s="8" t="n">
        <x:v>201.948</x:v>
      </x:c>
      <x:c r="AX225" s="8" t="n">
        <x:v>3.302</x:v>
      </x:c>
      <x:c r="AY225" s="8" t="n">
        <x:v>204.58</x:v>
      </x:c>
      <x:c r="AZ225" s="8" t="n">
        <x:v>3.302</x:v>
      </x:c>
      <x:c r="BA225" s="8" t="n">
        <x:v>204.58</x:v>
      </x:c>
      <x:c r="BB225" s="8" t="n">
        <x:f>LET(m,MIN(IF(D225&gt;0,D225,1E+99),IF(F225&gt;0,F225,1E+99),IF(H225&gt;0,H225,1E+99),IF(J225&gt;0,J225,1E+99),IF(L225&gt;0,L225,1E+99),IF(N225&gt;0,N225,1E+99),IF(P225&gt;0,P225,1E+99),IF(R225&gt;0,R225,1E+99),IF(T225&gt;0,T225,1E+99),IF(V225&gt;0,V225,1E+99),IF(X225&gt;0,X225,1E+99),IF(Z225&gt;0,Z225,1E+99),IF(AB225&gt;0,AB225,1E+99),IF(AD225&gt;0,AD225,1E+99),IF(AF225&gt;0,AF225,1E+99),IF(AH225&gt;0,AH225,1E+99),IF(AJ225&gt;0,AJ225,1E+99),IF(AL225&gt;0,AL225,1E+99),IF(AN225&gt;0,AN225,1E+99),IF(AP225&gt;0,AP225,1E+99),IF(AR225&gt;0,AR225,1E+99),IF(AT225&gt;0,AT225,1E+99),IF(AV225&gt;0,AV225,1E+99),IF(AX225&gt;0,AX225,1E+99),IF(AZ225&gt;0,AZ225,1E+99)),IF(m=1E+99,"",m))</x:f>
        <x:v>1.894</x:v>
      </x:c>
      <x:c r="BC225" s="12" t="e">
        <x:f>IF(BB225="","",INDEX({"v1.4.20","v1.4.20","v1.4.21","v1.4.21","v1.4.23","v1.4.23","v1.4.26","v1.4.26","v1.4.26.1","v1.4.26.1","v1.4.27","v1.4.27","v1.4.29","v1.4.29","v1.4.30","v1.4.30","v1.4.31","v1.4.31","v1.4.33","v1.4.33","v1.4.35","v1.4.35.2","v1.5","v1.5.1","v1.5.1"},MATCH(BB225,CHOOSE({1,2,3,4,5,6,7,8,9,10,11,12,13,14,15,16,17,18,19,20,21,22,23,24,25},D225,F225,H225,J225,L225,N225,P225,R225,T225,V225,X225,Z225,AB225,AD225,AF225,AH225,AJ225,AL225,AN225,AP225,AR225,AT225,AV225,AX225,AZ225),0)))</x:f>
      </x:c>
      <x:c r="BD225" s="14" t="n">
        <x:f>LET(m,MIN(IF(E225&gt;0,E225,1E+99),IF(G225&gt;0,G225,1E+99),IF(I225&gt;0,I225,1E+99),IF(K225&gt;0,K225,1E+99),IF(M225&gt;0,M225,1E+99),IF(O225&gt;0,O225,1E+99),IF(Q225&gt;0,Q225,1E+99),IF(S225&gt;0,S225,1E+99),IF(U225&gt;0,U225,1E+99),IF(W225&gt;0,W225,1E+99),IF(Y225&gt;0,Y225,1E+99),IF(AA225&gt;0,AA225,1E+99),IF(AC225&gt;0,AC225,1E+99),IF(AE225&gt;0,AE225,1E+99),IF(AG225&gt;0,AG225,1E+99),IF(AI225&gt;0,AI225,1E+99),IF(AK225&gt;0,AK225,1E+99),IF(AM225&gt;0,AM225,1E+99),IF(AO225&gt;0,AO225,1E+99),IF(AQ225&gt;0,AQ225,1E+99),IF(AS225&gt;0,AS225,1E+99),IF(AU225&gt;0,AU225,1E+99),IF(AW225&gt;0,AW225,1E+99),IF(AY225&gt;0,AY225,1E+99),IF(BA225&gt;0,BA225,1E+99)),IF(m=1E+99,"",m))</x:f>
        <x:v>125.498</x:v>
      </x:c>
      <x:c r="BE225" s="16" t="e">
        <x:f>IF(BD225="","",INDEX({"v1.4.20","v1.4.20","v1.4.21","v1.4.21","v1.4.23","v1.4.23","v1.4.26","v1.4.26","v1.4.26.1","v1.4.26.1","v1.4.27","v1.4.27","v1.4.29","v1.4.29","v1.4.30","v1.4.30","v1.4.31","v1.4.31","v1.4.33","v1.4.33","v1.4.35","v1.4.35.2","v1.5","v1.5.1","v1.5.1"},MATCH(BD225,CHOOSE({1,2,3,4,5,6,7,8,9,10,11,12,13,14,15,16,17,18,19,20,21,22,23,24,25},E225,G225,I225,K225,M225,O225,Q225,S225,U225,W225,Y225,AA225,AC225,AE225,AG225,AI225,AK225,AM225,AO225,AQ225,AS225,AU225,AW225,AY225,BA225),0)))</x:f>
      </x:c>
      <x:c r="BF225" s="10" t="n">
        <x:f>IFERROR((AX225-BB225)/BB225,"")</x:f>
        <x:v>0.743400211193242</x:v>
      </x:c>
      <x:c r="BG225" s="10" t="n">
        <x:f>IFERROR((AY225-BD225)/BD225,"")</x:f>
        <x:v>0.6301455003266985</x:v>
      </x:c>
    </x:row>
    <x:row r="226">
      <x:c r="A226" t="str">
        <x:v>Disenrolled Exclusion</x:v>
      </x:c>
      <x:c r="B226" t="str">
        <x:v>Create / Refresh All Templates</x:v>
      </x:c>
      <x:c r="C226" t="str">
        <x:v>Template signature mismatch - full build required: Template - Disenrolled Exclusion</x:v>
      </x:c>
      <x:c r="D226" s="8" t="n">
        <x:v>0.032</x:v>
      </x:c>
      <x:c r="E226" s="8" t="n">
        <x:v>151.388</x:v>
      </x:c>
      <x:c r="F226" s="8" t="n">
        <x:v>0.032</x:v>
      </x:c>
      <x:c r="G226" s="8" t="n">
        <x:v>151.388</x:v>
      </x:c>
      <x:c r="H226" s="8" t="n">
        <x:v>0.014</x:v>
      </x:c>
      <x:c r="I226" s="8" t="n">
        <x:v>189.609</x:v>
      </x:c>
      <x:c r="J226" s="8" t="n">
        <x:v>0.014</x:v>
      </x:c>
      <x:c r="K226" s="8" t="n">
        <x:v>189.609</x:v>
      </x:c>
      <x:c r="L226" s="8" t="n">
        <x:v>0.055</x:v>
      </x:c>
      <x:c r="M226" s="8" t="n">
        <x:v>189.1</x:v>
      </x:c>
      <x:c r="N226" s="8" t="n">
        <x:v>0.055</x:v>
      </x:c>
      <x:c r="O226" s="8" t="n">
        <x:v>189.1</x:v>
      </x:c>
      <x:c r="P226" s="8" t="n">
        <x:v>0.026</x:v>
      </x:c>
      <x:c r="Q226" s="8" t="n">
        <x:v>125.524</x:v>
      </x:c>
      <x:c r="R226" s="8" t="n">
        <x:v>0.026</x:v>
      </x:c>
      <x:c r="S226" s="8" t="n">
        <x:v>125.524</x:v>
      </x:c>
      <x:c r="T226" s="8" t="n">
        <x:v>0.091</x:v>
      </x:c>
      <x:c r="U226" s="8" t="n">
        <x:v>153.069</x:v>
      </x:c>
      <x:c r="V226" s="8" t="n">
        <x:v>0.091</x:v>
      </x:c>
      <x:c r="W226" s="8" t="n">
        <x:v>153.069</x:v>
      </x:c>
      <x:c r="X226" s="8" t="n">
        <x:v>0.044</x:v>
      </x:c>
      <x:c r="Y226" s="8" t="n">
        <x:v>231.349</x:v>
      </x:c>
      <x:c r="Z226" s="8" t="n">
        <x:v>0.044</x:v>
      </x:c>
      <x:c r="AA226" s="8" t="n">
        <x:v>231.349</x:v>
      </x:c>
      <x:c r="AB226" s="8" t="n">
        <x:v>0.044</x:v>
      </x:c>
      <x:c r="AC226" s="8" t="n">
        <x:v>212.754</x:v>
      </x:c>
      <x:c r="AD226" s="8" t="n">
        <x:v>0.044</x:v>
      </x:c>
      <x:c r="AE226" s="8" t="n">
        <x:v>212.754</x:v>
      </x:c>
      <x:c r="AF226" s="8" t="n">
        <x:v>0.034</x:v>
      </x:c>
      <x:c r="AG226" s="8" t="n">
        <x:v>219.549</x:v>
      </x:c>
      <x:c r="AH226" s="8"/>
      <x:c r="AI226" s="8"/>
      <x:c r="AJ226" s="8" t="n">
        <x:v>0.037</x:v>
      </x:c>
      <x:c r="AK226" s="8" t="n">
        <x:v>169.32</x:v>
      </x:c>
      <x:c r="AL226" s="8" t="n">
        <x:v>0.037</x:v>
      </x:c>
      <x:c r="AM226" s="8" t="n">
        <x:v>169.32</x:v>
      </x:c>
      <x:c r="AN226" s="8" t="n">
        <x:v>0.039</x:v>
      </x:c>
      <x:c r="AO226" s="8" t="n">
        <x:v>153.152</x:v>
      </x:c>
      <x:c r="AP226" s="8" t="n">
        <x:v>0.039</x:v>
      </x:c>
      <x:c r="AQ226" s="8" t="n">
        <x:v>153.152</x:v>
      </x:c>
      <x:c r="AR226" s="8" t="n">
        <x:v>0.048</x:v>
      </x:c>
      <x:c r="AS226" s="8" t="n">
        <x:v>232.989</x:v>
      </x:c>
      <x:c r="AT226" s="8" t="n">
        <x:v>0.013</x:v>
      </x:c>
      <x:c r="AU226" s="8" t="n">
        <x:v>167.299</x:v>
      </x:c>
      <x:c r="AV226" s="8" t="n">
        <x:v>0.04</x:v>
      </x:c>
      <x:c r="AW226" s="8" t="n">
        <x:v>201.988</x:v>
      </x:c>
      <x:c r="AX226" s="8" t="n">
        <x:v>0.05</x:v>
      </x:c>
      <x:c r="AY226" s="8" t="n">
        <x:v>204.63</x:v>
      </x:c>
      <x:c r="AZ226" s="8" t="n">
        <x:v>0.05</x:v>
      </x:c>
      <x:c r="BA226" s="8" t="n">
        <x:v>204.63</x:v>
      </x:c>
      <x:c r="BB226" s="8" t="n">
        <x:f>LET(m,MIN(IF(D226&gt;0,D226,1E+99),IF(F226&gt;0,F226,1E+99),IF(H226&gt;0,H226,1E+99),IF(J226&gt;0,J226,1E+99),IF(L226&gt;0,L226,1E+99),IF(N226&gt;0,N226,1E+99),IF(P226&gt;0,P226,1E+99),IF(R226&gt;0,R226,1E+99),IF(T226&gt;0,T226,1E+99),IF(V226&gt;0,V226,1E+99),IF(X226&gt;0,X226,1E+99),IF(Z226&gt;0,Z226,1E+99),IF(AB226&gt;0,AB226,1E+99),IF(AD226&gt;0,AD226,1E+99),IF(AF226&gt;0,AF226,1E+99),IF(AH226&gt;0,AH226,1E+99),IF(AJ226&gt;0,AJ226,1E+99),IF(AL226&gt;0,AL226,1E+99),IF(AN226&gt;0,AN226,1E+99),IF(AP226&gt;0,AP226,1E+99),IF(AR226&gt;0,AR226,1E+99),IF(AT226&gt;0,AT226,1E+99),IF(AV226&gt;0,AV226,1E+99),IF(AX226&gt;0,AX226,1E+99),IF(AZ226&gt;0,AZ226,1E+99)),IF(m=1E+99,"",m))</x:f>
        <x:v>0.013</x:v>
      </x:c>
      <x:c r="BC226" s="12" t="e">
        <x:f>IF(BB226="","",INDEX({"v1.4.20","v1.4.20","v1.4.21","v1.4.21","v1.4.23","v1.4.23","v1.4.26","v1.4.26","v1.4.26.1","v1.4.26.1","v1.4.27","v1.4.27","v1.4.29","v1.4.29","v1.4.30","v1.4.30","v1.4.31","v1.4.31","v1.4.33","v1.4.33","v1.4.35","v1.4.35.2","v1.5","v1.5.1","v1.5.1"},MATCH(BB226,CHOOSE({1,2,3,4,5,6,7,8,9,10,11,12,13,14,15,16,17,18,19,20,21,22,23,24,25},D226,F226,H226,J226,L226,N226,P226,R226,T226,V226,X226,Z226,AB226,AD226,AF226,AH226,AJ226,AL226,AN226,AP226,AR226,AT226,AV226,AX226,AZ226),0)))</x:f>
      </x:c>
      <x:c r="BD226" s="14" t="n">
        <x:f>LET(m,MIN(IF(E226&gt;0,E226,1E+99),IF(G226&gt;0,G226,1E+99),IF(I226&gt;0,I226,1E+99),IF(K226&gt;0,K226,1E+99),IF(M226&gt;0,M226,1E+99),IF(O226&gt;0,O226,1E+99),IF(Q226&gt;0,Q226,1E+99),IF(S226&gt;0,S226,1E+99),IF(U226&gt;0,U226,1E+99),IF(W226&gt;0,W226,1E+99),IF(Y226&gt;0,Y226,1E+99),IF(AA226&gt;0,AA226,1E+99),IF(AC226&gt;0,AC226,1E+99),IF(AE226&gt;0,AE226,1E+99),IF(AG226&gt;0,AG226,1E+99),IF(AI226&gt;0,AI226,1E+99),IF(AK226&gt;0,AK226,1E+99),IF(AM226&gt;0,AM226,1E+99),IF(AO226&gt;0,AO226,1E+99),IF(AQ226&gt;0,AQ226,1E+99),IF(AS226&gt;0,AS226,1E+99),IF(AU226&gt;0,AU226,1E+99),IF(AW226&gt;0,AW226,1E+99),IF(AY226&gt;0,AY226,1E+99),IF(BA226&gt;0,BA226,1E+99)),IF(m=1E+99,"",m))</x:f>
        <x:v>125.524</x:v>
      </x:c>
      <x:c r="BE226" s="16" t="e">
        <x:f>IF(BD226="","",INDEX({"v1.4.20","v1.4.20","v1.4.21","v1.4.21","v1.4.23","v1.4.23","v1.4.26","v1.4.26","v1.4.26.1","v1.4.26.1","v1.4.27","v1.4.27","v1.4.29","v1.4.29","v1.4.30","v1.4.30","v1.4.31","v1.4.31","v1.4.33","v1.4.33","v1.4.35","v1.4.35.2","v1.5","v1.5.1","v1.5.1"},MATCH(BD226,CHOOSE({1,2,3,4,5,6,7,8,9,10,11,12,13,14,15,16,17,18,19,20,21,22,23,24,25},E226,G226,I226,K226,M226,O226,Q226,S226,U226,W226,Y226,AA226,AC226,AE226,AG226,AI226,AK226,AM226,AO226,AQ226,AS226,AU226,AW226,AY226,BA226),0)))</x:f>
      </x:c>
      <x:c r="BF226" s="10" t="n">
        <x:f>IFERROR((AX226-BB226)/BB226,"")</x:f>
        <x:v>2.8461538461538467</x:v>
      </x:c>
      <x:c r="BG226" s="10" t="n">
        <x:f>IFERROR((AY226-BD226)/BD226,"")</x:f>
        <x:v>0.6302061757114177</x:v>
      </x:c>
    </x:row>
    <x:row r="227">
      <x:c r="A227" t="str">
        <x:v>Disenrolled Exclusion</x:v>
      </x:c>
      <x:c r="B227" t="str">
        <x:v>Create / Refresh All Templates</x:v>
      </x:c>
      <x:c r="C227" t="str">
        <x:v>Template refresh decision: FULL_BUILD - Template - Disenrolled Exclusion (template sheet did not exist; no stored signature)</x:v>
      </x:c>
      <x:c r="D227" s="8" t="n">
        <x:v>0</x:v>
      </x:c>
      <x:c r="E227" s="8" t="n">
        <x:v>151.388</x:v>
      </x:c>
      <x:c r="F227" s="8" t="n">
        <x:v>0</x:v>
      </x:c>
      <x:c r="G227" s="8" t="n">
        <x:v>151.388</x:v>
      </x:c>
      <x:c r="H227" s="8" t="n">
        <x:v>0</x:v>
      </x:c>
      <x:c r="I227" s="8" t="n">
        <x:v>189.609</x:v>
      </x:c>
      <x:c r="J227" s="8" t="n">
        <x:v>0</x:v>
      </x:c>
      <x:c r="K227" s="8" t="n">
        <x:v>189.609</x:v>
      </x:c>
      <x:c r="L227" s="8" t="n">
        <x:v>0</x:v>
      </x:c>
      <x:c r="M227" s="8" t="n">
        <x:v>189.1</x:v>
      </x:c>
      <x:c r="N227" s="8" t="n">
        <x:v>0</x:v>
      </x:c>
      <x:c r="O227" s="8" t="n">
        <x:v>189.1</x:v>
      </x:c>
      <x:c r="P227" s="8" t="n">
        <x:v>0</x:v>
      </x:c>
      <x:c r="Q227" s="8" t="n">
        <x:v>125.524</x:v>
      </x:c>
      <x:c r="R227" s="8" t="n">
        <x:v>0</x:v>
      </x:c>
      <x:c r="S227" s="8" t="n">
        <x:v>125.524</x:v>
      </x:c>
      <x:c r="T227" s="8" t="n">
        <x:v>0</x:v>
      </x:c>
      <x:c r="U227" s="8" t="n">
        <x:v>153.069</x:v>
      </x:c>
      <x:c r="V227" s="8" t="n">
        <x:v>0</x:v>
      </x:c>
      <x:c r="W227" s="8" t="n">
        <x:v>153.069</x:v>
      </x:c>
      <x:c r="X227" s="8" t="n">
        <x:v>0</x:v>
      </x:c>
      <x:c r="Y227" s="8" t="n">
        <x:v>231.349</x:v>
      </x:c>
      <x:c r="Z227" s="8" t="n">
        <x:v>0</x:v>
      </x:c>
      <x:c r="AA227" s="8" t="n">
        <x:v>231.349</x:v>
      </x:c>
      <x:c r="AB227" s="8" t="n">
        <x:v>0</x:v>
      </x:c>
      <x:c r="AC227" s="8" t="n">
        <x:v>212.754</x:v>
      </x:c>
      <x:c r="AD227" s="8" t="n">
        <x:v>0</x:v>
      </x:c>
      <x:c r="AE227" s="8" t="n">
        <x:v>212.754</x:v>
      </x:c>
      <x:c r="AF227" s="8" t="n">
        <x:v>0</x:v>
      </x:c>
      <x:c r="AG227" s="8" t="n">
        <x:v>219.549</x:v>
      </x:c>
      <x:c r="AH227" s="8"/>
      <x:c r="AI227" s="8"/>
      <x:c r="AJ227" s="8" t="n">
        <x:v>0</x:v>
      </x:c>
      <x:c r="AK227" s="8" t="n">
        <x:v>169.32</x:v>
      </x:c>
      <x:c r="AL227" s="8" t="n">
        <x:v>0</x:v>
      </x:c>
      <x:c r="AM227" s="8" t="n">
        <x:v>169.32</x:v>
      </x:c>
      <x:c r="AN227" s="8" t="n">
        <x:v>0</x:v>
      </x:c>
      <x:c r="AO227" s="8" t="n">
        <x:v>153.152</x:v>
      </x:c>
      <x:c r="AP227" s="8" t="n">
        <x:v>0</x:v>
      </x:c>
      <x:c r="AQ227" s="8" t="n">
        <x:v>153.152</x:v>
      </x:c>
      <x:c r="AR227" s="8" t="n">
        <x:v>0</x:v>
      </x:c>
      <x:c r="AS227" s="8" t="n">
        <x:v>232.989</x:v>
      </x:c>
      <x:c r="AT227" s="8" t="n">
        <x:v>0</x:v>
      </x:c>
      <x:c r="AU227" s="8" t="n">
        <x:v>167.299</x:v>
      </x:c>
      <x:c r="AV227" s="8" t="n">
        <x:v>0</x:v>
      </x:c>
      <x:c r="AW227" s="8" t="n">
        <x:v>201.988</x:v>
      </x:c>
      <x:c r="AX227" s="8" t="n">
        <x:v>0</x:v>
      </x:c>
      <x:c r="AY227" s="8" t="n">
        <x:v>204.63</x:v>
      </x:c>
      <x:c r="AZ227" s="8" t="n">
        <x:v>0</x:v>
      </x:c>
      <x:c r="BA227" s="8" t="n">
        <x:v>204.63</x:v>
      </x:c>
      <x:c r="BB227" s="8" t="str">
        <x:f>LET(m,MIN(IF(D227&gt;0,D227,1E+99),IF(F227&gt;0,F227,1E+99),IF(H227&gt;0,H227,1E+99),IF(J227&gt;0,J227,1E+99),IF(L227&gt;0,L227,1E+99),IF(N227&gt;0,N227,1E+99),IF(P227&gt;0,P227,1E+99),IF(R227&gt;0,R227,1E+99),IF(T227&gt;0,T227,1E+99),IF(V227&gt;0,V227,1E+99),IF(X227&gt;0,X227,1E+99),IF(Z227&gt;0,Z227,1E+99),IF(AB227&gt;0,AB227,1E+99),IF(AD227&gt;0,AD227,1E+99),IF(AF227&gt;0,AF227,1E+99),IF(AH227&gt;0,AH227,1E+99),IF(AJ227&gt;0,AJ227,1E+99),IF(AL227&gt;0,AL227,1E+99),IF(AN227&gt;0,AN227,1E+99),IF(AP227&gt;0,AP227,1E+99),IF(AR227&gt;0,AR227,1E+99),IF(AT227&gt;0,AT227,1E+99),IF(AV227&gt;0,AV227,1E+99),IF(AX227&gt;0,AX227,1E+99),IF(AZ227&gt;0,AZ227,1E+99)),IF(m=1E+99,"",m))</x:f>
      </x:c>
      <x:c r="BC227" s="12" t="str">
        <x:f>IF(BB227="","",INDEX({"v1.4.20","v1.4.20","v1.4.21","v1.4.21","v1.4.23","v1.4.23","v1.4.26","v1.4.26","v1.4.26.1","v1.4.26.1","v1.4.27","v1.4.27","v1.4.29","v1.4.29","v1.4.30","v1.4.30","v1.4.31","v1.4.31","v1.4.33","v1.4.33","v1.4.35","v1.4.35.2","v1.5","v1.5.1","v1.5.1"},MATCH(BB227,CHOOSE({1,2,3,4,5,6,7,8,9,10,11,12,13,14,15,16,17,18,19,20,21,22,23,24,25},D227,F227,H227,J227,L227,N227,P227,R227,T227,V227,X227,Z227,AB227,AD227,AF227,AH227,AJ227,AL227,AN227,AP227,AR227,AT227,AV227,AX227,AZ227),0)))</x:f>
      </x:c>
      <x:c r="BD227" s="14" t="n">
        <x:f>LET(m,MIN(IF(E227&gt;0,E227,1E+99),IF(G227&gt;0,G227,1E+99),IF(I227&gt;0,I227,1E+99),IF(K227&gt;0,K227,1E+99),IF(M227&gt;0,M227,1E+99),IF(O227&gt;0,O227,1E+99),IF(Q227&gt;0,Q227,1E+99),IF(S227&gt;0,S227,1E+99),IF(U227&gt;0,U227,1E+99),IF(W227&gt;0,W227,1E+99),IF(Y227&gt;0,Y227,1E+99),IF(AA227&gt;0,AA227,1E+99),IF(AC227&gt;0,AC227,1E+99),IF(AE227&gt;0,AE227,1E+99),IF(AG227&gt;0,AG227,1E+99),IF(AI227&gt;0,AI227,1E+99),IF(AK227&gt;0,AK227,1E+99),IF(AM227&gt;0,AM227,1E+99),IF(AO227&gt;0,AO227,1E+99),IF(AQ227&gt;0,AQ227,1E+99),IF(AS227&gt;0,AS227,1E+99),IF(AU227&gt;0,AU227,1E+99),IF(AW227&gt;0,AW227,1E+99),IF(AY227&gt;0,AY227,1E+99),IF(BA227&gt;0,BA227,1E+99)),IF(m=1E+99,"",m))</x:f>
        <x:v>125.524</x:v>
      </x:c>
      <x:c r="BE227" s="16" t="e">
        <x:f>IF(BD227="","",INDEX({"v1.4.20","v1.4.20","v1.4.21","v1.4.21","v1.4.23","v1.4.23","v1.4.26","v1.4.26","v1.4.26.1","v1.4.26.1","v1.4.27","v1.4.27","v1.4.29","v1.4.29","v1.4.30","v1.4.30","v1.4.31","v1.4.31","v1.4.33","v1.4.33","v1.4.35","v1.4.35.2","v1.5","v1.5.1","v1.5.1"},MATCH(BD227,CHOOSE({1,2,3,4,5,6,7,8,9,10,11,12,13,14,15,16,17,18,19,20,21,22,23,24,25},E227,G227,I227,K227,M227,O227,Q227,S227,U227,W227,Y227,AA227,AC227,AE227,AG227,AI227,AK227,AM227,AO227,AQ227,AS227,AU227,AW227,AY227,BA227),0)))</x:f>
      </x:c>
      <x:c r="BF227" s="10" t="str">
        <x:f>IFERROR((AX227-BB227)/BB227,"")</x:f>
      </x:c>
      <x:c r="BG227" s="10" t="n">
        <x:f>IFERROR((AY227-BD227)/BD227,"")</x:f>
        <x:v>0.6302061757114177</x:v>
      </x:c>
    </x:row>
    <x:row r="228">
      <x:c r="A228" t="str">
        <x:v>Disenrolled Exclusion</x:v>
      </x:c>
      <x:c r="B228" t="str">
        <x:v>Create / Refresh All Templates</x:v>
      </x:c>
      <x:c r="C228" t="str">
        <x:v>Full template build required: Template - Disenrolled Exclusion</x:v>
      </x:c>
      <x:c r="D228" s="8" t="n">
        <x:v>0</x:v>
      </x:c>
      <x:c r="E228" s="8" t="n">
        <x:v>151.388</x:v>
      </x:c>
      <x:c r="F228" s="8" t="n">
        <x:v>0</x:v>
      </x:c>
      <x:c r="G228" s="8" t="n">
        <x:v>151.388</x:v>
      </x:c>
      <x:c r="H228" s="8" t="n">
        <x:v>0</x:v>
      </x:c>
      <x:c r="I228" s="8" t="n">
        <x:v>189.609</x:v>
      </x:c>
      <x:c r="J228" s="8" t="n">
        <x:v>0</x:v>
      </x:c>
      <x:c r="K228" s="8" t="n">
        <x:v>189.609</x:v>
      </x:c>
      <x:c r="L228" s="8" t="n">
        <x:v>0</x:v>
      </x:c>
      <x:c r="M228" s="8" t="n">
        <x:v>189.1</x:v>
      </x:c>
      <x:c r="N228" s="8" t="n">
        <x:v>0</x:v>
      </x:c>
      <x:c r="O228" s="8" t="n">
        <x:v>189.1</x:v>
      </x:c>
      <x:c r="P228" s="8" t="n">
        <x:v>0</x:v>
      </x:c>
      <x:c r="Q228" s="8" t="n">
        <x:v>125.524</x:v>
      </x:c>
      <x:c r="R228" s="8" t="n">
        <x:v>0</x:v>
      </x:c>
      <x:c r="S228" s="8" t="n">
        <x:v>125.524</x:v>
      </x:c>
      <x:c r="T228" s="8" t="n">
        <x:v>0</x:v>
      </x:c>
      <x:c r="U228" s="8" t="n">
        <x:v>153.069</x:v>
      </x:c>
      <x:c r="V228" s="8" t="n">
        <x:v>0</x:v>
      </x:c>
      <x:c r="W228" s="8" t="n">
        <x:v>153.069</x:v>
      </x:c>
      <x:c r="X228" s="8" t="n">
        <x:v>0</x:v>
      </x:c>
      <x:c r="Y228" s="8" t="n">
        <x:v>231.349</x:v>
      </x:c>
      <x:c r="Z228" s="8" t="n">
        <x:v>0</x:v>
      </x:c>
      <x:c r="AA228" s="8" t="n">
        <x:v>231.349</x:v>
      </x:c>
      <x:c r="AB228" s="8" t="n">
        <x:v>0</x:v>
      </x:c>
      <x:c r="AC228" s="8" t="n">
        <x:v>212.754</x:v>
      </x:c>
      <x:c r="AD228" s="8" t="n">
        <x:v>0</x:v>
      </x:c>
      <x:c r="AE228" s="8" t="n">
        <x:v>212.754</x:v>
      </x:c>
      <x:c r="AF228" s="8" t="n">
        <x:v>0</x:v>
      </x:c>
      <x:c r="AG228" s="8" t="n">
        <x:v>219.549</x:v>
      </x:c>
      <x:c r="AH228" s="8"/>
      <x:c r="AI228" s="8"/>
      <x:c r="AJ228" s="8" t="n">
        <x:v>0</x:v>
      </x:c>
      <x:c r="AK228" s="8" t="n">
        <x:v>169.32</x:v>
      </x:c>
      <x:c r="AL228" s="8" t="n">
        <x:v>0</x:v>
      </x:c>
      <x:c r="AM228" s="8" t="n">
        <x:v>169.32</x:v>
      </x:c>
      <x:c r="AN228" s="8" t="n">
        <x:v>0</x:v>
      </x:c>
      <x:c r="AO228" s="8" t="n">
        <x:v>153.152</x:v>
      </x:c>
      <x:c r="AP228" s="8" t="n">
        <x:v>0</x:v>
      </x:c>
      <x:c r="AQ228" s="8" t="n">
        <x:v>153.152</x:v>
      </x:c>
      <x:c r="AR228" s="8" t="n">
        <x:v>0</x:v>
      </x:c>
      <x:c r="AS228" s="8" t="n">
        <x:v>232.989</x:v>
      </x:c>
      <x:c r="AT228" s="8" t="n">
        <x:v>0</x:v>
      </x:c>
      <x:c r="AU228" s="8" t="n">
        <x:v>167.299</x:v>
      </x:c>
      <x:c r="AV228" s="8" t="n">
        <x:v>0</x:v>
      </x:c>
      <x:c r="AW228" s="8" t="n">
        <x:v>201.988</x:v>
      </x:c>
      <x:c r="AX228" s="8" t="n">
        <x:v>0</x:v>
      </x:c>
      <x:c r="AY228" s="8" t="n">
        <x:v>204.63</x:v>
      </x:c>
      <x:c r="AZ228" s="8" t="n">
        <x:v>0</x:v>
      </x:c>
      <x:c r="BA228" s="8" t="n">
        <x:v>204.63</x:v>
      </x:c>
      <x:c r="BB228" s="8" t="str">
        <x:f>LET(m,MIN(IF(D228&gt;0,D228,1E+99),IF(F228&gt;0,F228,1E+99),IF(H228&gt;0,H228,1E+99),IF(J228&gt;0,J228,1E+99),IF(L228&gt;0,L228,1E+99),IF(N228&gt;0,N228,1E+99),IF(P228&gt;0,P228,1E+99),IF(R228&gt;0,R228,1E+99),IF(T228&gt;0,T228,1E+99),IF(V228&gt;0,V228,1E+99),IF(X228&gt;0,X228,1E+99),IF(Z228&gt;0,Z228,1E+99),IF(AB228&gt;0,AB228,1E+99),IF(AD228&gt;0,AD228,1E+99),IF(AF228&gt;0,AF228,1E+99),IF(AH228&gt;0,AH228,1E+99),IF(AJ228&gt;0,AJ228,1E+99),IF(AL228&gt;0,AL228,1E+99),IF(AN228&gt;0,AN228,1E+99),IF(AP228&gt;0,AP228,1E+99),IF(AR228&gt;0,AR228,1E+99),IF(AT228&gt;0,AT228,1E+99),IF(AV228&gt;0,AV228,1E+99),IF(AX228&gt;0,AX228,1E+99),IF(AZ228&gt;0,AZ228,1E+99)),IF(m=1E+99,"",m))</x:f>
      </x:c>
      <x:c r="BC228" s="12" t="str">
        <x:f>IF(BB228="","",INDEX({"v1.4.20","v1.4.20","v1.4.21","v1.4.21","v1.4.23","v1.4.23","v1.4.26","v1.4.26","v1.4.26.1","v1.4.26.1","v1.4.27","v1.4.27","v1.4.29","v1.4.29","v1.4.30","v1.4.30","v1.4.31","v1.4.31","v1.4.33","v1.4.33","v1.4.35","v1.4.35.2","v1.5","v1.5.1","v1.5.1"},MATCH(BB228,CHOOSE({1,2,3,4,5,6,7,8,9,10,11,12,13,14,15,16,17,18,19,20,21,22,23,24,25},D228,F228,H228,J228,L228,N228,P228,R228,T228,V228,X228,Z228,AB228,AD228,AF228,AH228,AJ228,AL228,AN228,AP228,AR228,AT228,AV228,AX228,AZ228),0)))</x:f>
      </x:c>
      <x:c r="BD228" s="14" t="n">
        <x:f>LET(m,MIN(IF(E228&gt;0,E228,1E+99),IF(G228&gt;0,G228,1E+99),IF(I228&gt;0,I228,1E+99),IF(K228&gt;0,K228,1E+99),IF(M228&gt;0,M228,1E+99),IF(O228&gt;0,O228,1E+99),IF(Q228&gt;0,Q228,1E+99),IF(S228&gt;0,S228,1E+99),IF(U228&gt;0,U228,1E+99),IF(W228&gt;0,W228,1E+99),IF(Y228&gt;0,Y228,1E+99),IF(AA228&gt;0,AA228,1E+99),IF(AC228&gt;0,AC228,1E+99),IF(AE228&gt;0,AE228,1E+99),IF(AG228&gt;0,AG228,1E+99),IF(AI228&gt;0,AI228,1E+99),IF(AK228&gt;0,AK228,1E+99),IF(AM228&gt;0,AM228,1E+99),IF(AO228&gt;0,AO228,1E+99),IF(AQ228&gt;0,AQ228,1E+99),IF(AS228&gt;0,AS228,1E+99),IF(AU228&gt;0,AU228,1E+99),IF(AW228&gt;0,AW228,1E+99),IF(AY228&gt;0,AY228,1E+99),IF(BA228&gt;0,BA228,1E+99)),IF(m=1E+99,"",m))</x:f>
        <x:v>125.524</x:v>
      </x:c>
      <x:c r="BE228" s="16" t="e">
        <x:f>IF(BD228="","",INDEX({"v1.4.20","v1.4.20","v1.4.21","v1.4.21","v1.4.23","v1.4.23","v1.4.26","v1.4.26","v1.4.26.1","v1.4.26.1","v1.4.27","v1.4.27","v1.4.29","v1.4.29","v1.4.30","v1.4.30","v1.4.31","v1.4.31","v1.4.33","v1.4.33","v1.4.35","v1.4.35.2","v1.5","v1.5.1","v1.5.1"},MATCH(BD228,CHOOSE({1,2,3,4,5,6,7,8,9,10,11,12,13,14,15,16,17,18,19,20,21,22,23,24,25},E228,G228,I228,K228,M228,O228,Q228,S228,U228,W228,Y228,AA228,AC228,AE228,AG228,AI228,AK228,AM228,AO228,AQ228,AS228,AU228,AW228,AY228,BA228),0)))</x:f>
      </x:c>
      <x:c r="BF228" s="10" t="str">
        <x:f>IFERROR((AX228-BB228)/BB228,"")</x:f>
      </x:c>
      <x:c r="BG228" s="10" t="n">
        <x:f>IFERROR((AY228-BD228)/BD228,"")</x:f>
        <x:v>0.6302061757114177</x:v>
      </x:c>
    </x:row>
    <x:row r="229">
      <x:c r="A229" t="str">
        <x:v>Disenrolled Exclusion</x:v>
      </x:c>
      <x:c r="B229" t="str">
        <x:v>Create / Refresh All Templates</x:v>
      </x:c>
      <x:c r="C229" t="str">
        <x:v>Create template fast path - clear skipped for blank sheet: Template - Disenrolled Exclusion</x:v>
      </x:c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 t="n">
        <x:v>0</x:v>
      </x:c>
      <x:c r="U229" s="8" t="n">
        <x:v>153.069</x:v>
      </x:c>
      <x:c r="V229" s="8" t="n">
        <x:v>0</x:v>
      </x:c>
      <x:c r="W229" s="8" t="n">
        <x:v>153.069</x:v>
      </x:c>
      <x:c r="X229" s="8"/>
      <x:c r="Y229" s="8"/>
      <x:c r="Z229" s="8"/>
      <x:c r="AA229" s="8"/>
      <x:c r="AB229" s="8" t="n">
        <x:v>0</x:v>
      </x:c>
      <x:c r="AC229" s="8" t="n">
        <x:v>212.754</x:v>
      </x:c>
      <x:c r="AD229" s="8" t="n">
        <x:v>0</x:v>
      </x:c>
      <x:c r="AE229" s="8" t="n">
        <x:v>212.754</x:v>
      </x:c>
      <x:c r="AF229" s="8" t="n">
        <x:v>0</x:v>
      </x:c>
      <x:c r="AG229" s="8" t="n">
        <x:v>219.549</x:v>
      </x:c>
      <x:c r="AH229" s="8"/>
      <x:c r="AI229" s="8"/>
      <x:c r="AJ229" s="8" t="n">
        <x:v>0</x:v>
      </x:c>
      <x:c r="AK229" s="8" t="n">
        <x:v>169.32</x:v>
      </x:c>
      <x:c r="AL229" s="8" t="n">
        <x:v>0</x:v>
      </x:c>
      <x:c r="AM229" s="8" t="n">
        <x:v>169.32</x:v>
      </x:c>
      <x:c r="AN229" s="8" t="n">
        <x:v>0</x:v>
      </x:c>
      <x:c r="AO229" s="8" t="n">
        <x:v>153.152</x:v>
      </x:c>
      <x:c r="AP229" s="8" t="n">
        <x:v>0</x:v>
      </x:c>
      <x:c r="AQ229" s="8" t="n">
        <x:v>153.152</x:v>
      </x:c>
      <x:c r="AR229" s="8"/>
      <x:c r="AS229" s="8"/>
      <x:c r="AT229" s="8"/>
      <x:c r="AU229" s="8"/>
      <x:c r="AV229" s="8" t="n">
        <x:v>13.522</x:v>
      </x:c>
      <x:c r="AW229" s="8" t="n">
        <x:v>215.51</x:v>
      </x:c>
      <x:c r="AX229" s="8" t="n">
        <x:v>13.53</x:v>
      </x:c>
      <x:c r="AY229" s="8" t="n">
        <x:v>218.16</x:v>
      </x:c>
      <x:c r="AZ229" s="8" t="n">
        <x:v>13.53</x:v>
      </x:c>
      <x:c r="BA229" s="8" t="n">
        <x:v>218.16</x:v>
      </x:c>
      <x:c r="BB229" s="8" t="n">
        <x:f>LET(m,MIN(IF(D229&gt;0,D229,1E+99),IF(F229&gt;0,F229,1E+99),IF(H229&gt;0,H229,1E+99),IF(J229&gt;0,J229,1E+99),IF(L229&gt;0,L229,1E+99),IF(N229&gt;0,N229,1E+99),IF(P229&gt;0,P229,1E+99),IF(R229&gt;0,R229,1E+99),IF(T229&gt;0,T229,1E+99),IF(V229&gt;0,V229,1E+99),IF(X229&gt;0,X229,1E+99),IF(Z229&gt;0,Z229,1E+99),IF(AB229&gt;0,AB229,1E+99),IF(AD229&gt;0,AD229,1E+99),IF(AF229&gt;0,AF229,1E+99),IF(AH229&gt;0,AH229,1E+99),IF(AJ229&gt;0,AJ229,1E+99),IF(AL229&gt;0,AL229,1E+99),IF(AN229&gt;0,AN229,1E+99),IF(AP229&gt;0,AP229,1E+99),IF(AR229&gt;0,AR229,1E+99),IF(AT229&gt;0,AT229,1E+99),IF(AV229&gt;0,AV229,1E+99),IF(AX229&gt;0,AX229,1E+99),IF(AZ229&gt;0,AZ229,1E+99)),IF(m=1E+99,"",m))</x:f>
        <x:v>13.522</x:v>
      </x:c>
      <x:c r="BC229" s="12" t="e">
        <x:f>IF(BB229="","",INDEX({"v1.4.20","v1.4.20","v1.4.21","v1.4.21","v1.4.23","v1.4.23","v1.4.26","v1.4.26","v1.4.26.1","v1.4.26.1","v1.4.27","v1.4.27","v1.4.29","v1.4.29","v1.4.30","v1.4.30","v1.4.31","v1.4.31","v1.4.33","v1.4.33","v1.4.35","v1.4.35.2","v1.5","v1.5.1","v1.5.1"},MATCH(BB229,CHOOSE({1,2,3,4,5,6,7,8,9,10,11,12,13,14,15,16,17,18,19,20,21,22,23,24,25},D229,F229,H229,J229,L229,N229,P229,R229,T229,V229,X229,Z229,AB229,AD229,AF229,AH229,AJ229,AL229,AN229,AP229,AR229,AT229,AV229,AX229,AZ229),0)))</x:f>
      </x:c>
      <x:c r="BD229" s="14" t="n">
        <x:f>LET(m,MIN(IF(E229&gt;0,E229,1E+99),IF(G229&gt;0,G229,1E+99),IF(I229&gt;0,I229,1E+99),IF(K229&gt;0,K229,1E+99),IF(M229&gt;0,M229,1E+99),IF(O229&gt;0,O229,1E+99),IF(Q229&gt;0,Q229,1E+99),IF(S229&gt;0,S229,1E+99),IF(U229&gt;0,U229,1E+99),IF(W229&gt;0,W229,1E+99),IF(Y229&gt;0,Y229,1E+99),IF(AA229&gt;0,AA229,1E+99),IF(AC229&gt;0,AC229,1E+99),IF(AE229&gt;0,AE229,1E+99),IF(AG229&gt;0,AG229,1E+99),IF(AI229&gt;0,AI229,1E+99),IF(AK229&gt;0,AK229,1E+99),IF(AM229&gt;0,AM229,1E+99),IF(AO229&gt;0,AO229,1E+99),IF(AQ229&gt;0,AQ229,1E+99),IF(AS229&gt;0,AS229,1E+99),IF(AU229&gt;0,AU229,1E+99),IF(AW229&gt;0,AW229,1E+99),IF(AY229&gt;0,AY229,1E+99),IF(BA229&gt;0,BA229,1E+99)),IF(m=1E+99,"",m))</x:f>
        <x:v>153.069</x:v>
      </x:c>
      <x:c r="BE229" s="16" t="e">
        <x:f>IF(BD229="","",INDEX({"v1.4.20","v1.4.20","v1.4.21","v1.4.21","v1.4.23","v1.4.23","v1.4.26","v1.4.26","v1.4.26.1","v1.4.26.1","v1.4.27","v1.4.27","v1.4.29","v1.4.29","v1.4.30","v1.4.30","v1.4.31","v1.4.31","v1.4.33","v1.4.33","v1.4.35","v1.4.35.2","v1.5","v1.5.1","v1.5.1"},MATCH(BD229,CHOOSE({1,2,3,4,5,6,7,8,9,10,11,12,13,14,15,16,17,18,19,20,21,22,23,24,25},E229,G229,I229,K229,M229,O229,Q229,S229,U229,W229,Y229,AA229,AC229,AE229,AG229,AI229,AK229,AM229,AO229,AQ229,AS229,AU229,AW229,AY229,BA229),0)))</x:f>
      </x:c>
      <x:c r="BF229" s="10" t="n">
        <x:f>IFERROR((AX229-BB229)/BB229,"")</x:f>
        <x:v>0.0005916284573287324</x:v>
      </x:c>
      <x:c r="BG229" s="10" t="n">
        <x:f>IFERROR((AY229-BD229)/BD229,"")</x:f>
        <x:v>0.4252395978284304</x:v>
      </x:c>
    </x:row>
    <x:row r="230">
      <x:c r="A230" t="str">
        <x:v>Disenrolled Exclusion</x:v>
      </x:c>
      <x:c r="B230" t="str">
        <x:v>Create / Refresh All Templates</x:v>
      </x:c>
      <x:c r="C230" t="str">
        <x:v>Resize sheet: Template - Disenrolled Exclusion (1000 rows x 32 cols)</x:v>
      </x:c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  <x:c r="U230" s="8"/>
      <x:c r="V230" s="8"/>
      <x:c r="W230" s="8"/>
      <x:c r="X230" s="8"/>
      <x:c r="Y230" s="8"/>
      <x:c r="Z230" s="8"/>
      <x:c r="AA230" s="8"/>
      <x:c r="AB230" s="8"/>
      <x:c r="AC230" s="8"/>
      <x:c r="AD230" s="8"/>
      <x:c r="AE230" s="8"/>
      <x:c r="AF230" s="8"/>
      <x:c r="AG230" s="8"/>
      <x:c r="AH230" s="8"/>
      <x:c r="AI230" s="8"/>
      <x:c r="AJ230" s="8"/>
      <x:c r="AK230" s="8"/>
      <x:c r="AL230" s="8"/>
      <x:c r="AM230" s="8"/>
      <x:c r="AN230" s="8"/>
      <x:c r="AO230" s="8"/>
      <x:c r="AP230" s="8"/>
      <x:c r="AQ230" s="8"/>
      <x:c r="AR230" s="8" t="n">
        <x:v>0.931</x:v>
      </x:c>
      <x:c r="AS230" s="8" t="n">
        <x:v>252.185</x:v>
      </x:c>
      <x:c r="AT230" s="8" t="n">
        <x:v>0.685</x:v>
      </x:c>
      <x:c r="AU230" s="8" t="n">
        <x:v>178.118</x:v>
      </x:c>
      <x:c r="AV230" s="8" t="n">
        <x:v>0.137</x:v>
      </x:c>
      <x:c r="AW230" s="8" t="n">
        <x:v>215.647</x:v>
      </x:c>
      <x:c r="AX230" s="8" t="n">
        <x:v>0.108</x:v>
      </x:c>
      <x:c r="AY230" s="8" t="n">
        <x:v>218.268</x:v>
      </x:c>
      <x:c r="AZ230" s="8" t="n">
        <x:v>0.108</x:v>
      </x:c>
      <x:c r="BA230" s="8" t="n">
        <x:v>218.268</x:v>
      </x:c>
      <x:c r="BB230" s="8" t="n">
        <x:f>LET(m,MIN(IF(D230&gt;0,D230,1E+99),IF(F230&gt;0,F230,1E+99),IF(H230&gt;0,H230,1E+99),IF(J230&gt;0,J230,1E+99),IF(L230&gt;0,L230,1E+99),IF(N230&gt;0,N230,1E+99),IF(P230&gt;0,P230,1E+99),IF(R230&gt;0,R230,1E+99),IF(T230&gt;0,T230,1E+99),IF(V230&gt;0,V230,1E+99),IF(X230&gt;0,X230,1E+99),IF(Z230&gt;0,Z230,1E+99),IF(AB230&gt;0,AB230,1E+99),IF(AD230&gt;0,AD230,1E+99),IF(AF230&gt;0,AF230,1E+99),IF(AH230&gt;0,AH230,1E+99),IF(AJ230&gt;0,AJ230,1E+99),IF(AL230&gt;0,AL230,1E+99),IF(AN230&gt;0,AN230,1E+99),IF(AP230&gt;0,AP230,1E+99),IF(AR230&gt;0,AR230,1E+99),IF(AT230&gt;0,AT230,1E+99),IF(AV230&gt;0,AV230,1E+99),IF(AX230&gt;0,AX230,1E+99),IF(AZ230&gt;0,AZ230,1E+99)),IF(m=1E+99,"",m))</x:f>
        <x:v>0.108</x:v>
      </x:c>
      <x:c r="BC230" s="12" t="e">
        <x:f>IF(BB230="","",INDEX({"v1.4.20","v1.4.20","v1.4.21","v1.4.21","v1.4.23","v1.4.23","v1.4.26","v1.4.26","v1.4.26.1","v1.4.26.1","v1.4.27","v1.4.27","v1.4.29","v1.4.29","v1.4.30","v1.4.30","v1.4.31","v1.4.31","v1.4.33","v1.4.33","v1.4.35","v1.4.35.2","v1.5","v1.5.1","v1.5.1"},MATCH(BB230,CHOOSE({1,2,3,4,5,6,7,8,9,10,11,12,13,14,15,16,17,18,19,20,21,22,23,24,25},D230,F230,H230,J230,L230,N230,P230,R230,T230,V230,X230,Z230,AB230,AD230,AF230,AH230,AJ230,AL230,AN230,AP230,AR230,AT230,AV230,AX230,AZ230),0)))</x:f>
      </x:c>
      <x:c r="BD230" s="14" t="n">
        <x:f>LET(m,MIN(IF(E230&gt;0,E230,1E+99),IF(G230&gt;0,G230,1E+99),IF(I230&gt;0,I230,1E+99),IF(K230&gt;0,K230,1E+99),IF(M230&gt;0,M230,1E+99),IF(O230&gt;0,O230,1E+99),IF(Q230&gt;0,Q230,1E+99),IF(S230&gt;0,S230,1E+99),IF(U230&gt;0,U230,1E+99),IF(W230&gt;0,W230,1E+99),IF(Y230&gt;0,Y230,1E+99),IF(AA230&gt;0,AA230,1E+99),IF(AC230&gt;0,AC230,1E+99),IF(AE230&gt;0,AE230,1E+99),IF(AG230&gt;0,AG230,1E+99),IF(AI230&gt;0,AI230,1E+99),IF(AK230&gt;0,AK230,1E+99),IF(AM230&gt;0,AM230,1E+99),IF(AO230&gt;0,AO230,1E+99),IF(AQ230&gt;0,AQ230,1E+99),IF(AS230&gt;0,AS230,1E+99),IF(AU230&gt;0,AU230,1E+99),IF(AW230&gt;0,AW230,1E+99),IF(AY230&gt;0,AY230,1E+99),IF(BA230&gt;0,BA230,1E+99)),IF(m=1E+99,"",m))</x:f>
        <x:v>178.118</x:v>
      </x:c>
      <x:c r="BE230" s="16" t="e">
        <x:f>IF(BD230="","",INDEX({"v1.4.20","v1.4.20","v1.4.21","v1.4.21","v1.4.23","v1.4.23","v1.4.26","v1.4.26","v1.4.26.1","v1.4.26.1","v1.4.27","v1.4.27","v1.4.29","v1.4.29","v1.4.30","v1.4.30","v1.4.31","v1.4.31","v1.4.33","v1.4.33","v1.4.35","v1.4.35.2","v1.5","v1.5.1","v1.5.1"},MATCH(BD230,CHOOSE({1,2,3,4,5,6,7,8,9,10,11,12,13,14,15,16,17,18,19,20,21,22,23,24,25},E230,G230,I230,K230,M230,O230,Q230,S230,U230,W230,Y230,AA230,AC230,AE230,AG230,AI230,AK230,AM230,AO230,AQ230,AS230,AU230,AW230,AY230,BA230),0)))</x:f>
      </x:c>
      <x:c r="BF230" s="10" t="n">
        <x:f>IFERROR((AX230-BB230)/BB230,"")</x:f>
        <x:v>0</x:v>
      </x:c>
      <x:c r="BG230" s="10" t="n">
        <x:f>IFERROR((AY230-BD230)/BD230,"")</x:f>
        <x:v>0.2254123670824959</x:v>
      </x:c>
    </x:row>
    <x:row r="231">
      <x:c r="A231" t="str">
        <x:v>Disenrolled Exclusion</x:v>
      </x:c>
      <x:c r="B231" t="str">
        <x:v>Create / Refresh All Templates</x:v>
      </x:c>
      <x:c r="C231" t="str">
        <x:v>Apply title rows: Template - Disenrolled Exclusion</x:v>
      </x:c>
      <x:c r="D231" s="8" t="n">
        <x:v>0.667</x:v>
      </x:c>
      <x:c r="E231" s="8" t="n">
        <x:v>163.475</x:v>
      </x:c>
      <x:c r="F231" s="8" t="n">
        <x:v>0.667</x:v>
      </x:c>
      <x:c r="G231" s="8" t="n">
        <x:v>163.475</x:v>
      </x:c>
      <x:c r="H231" s="8" t="n">
        <x:v>0.149</x:v>
      </x:c>
      <x:c r="I231" s="8" t="n">
        <x:v>206.268</x:v>
      </x:c>
      <x:c r="J231" s="8" t="n">
        <x:v>0.149</x:v>
      </x:c>
      <x:c r="K231" s="8" t="n">
        <x:v>206.268</x:v>
      </x:c>
      <x:c r="L231" s="8" t="n">
        <x:v>0.856</x:v>
      </x:c>
      <x:c r="M231" s="8" t="n">
        <x:v>203.602</x:v>
      </x:c>
      <x:c r="N231" s="8" t="n">
        <x:v>0.856</x:v>
      </x:c>
      <x:c r="O231" s="8" t="n">
        <x:v>203.602</x:v>
      </x:c>
      <x:c r="P231" s="8" t="n">
        <x:v>0.491</x:v>
      </x:c>
      <x:c r="Q231" s="8" t="n">
        <x:v>136.012</x:v>
      </x:c>
      <x:c r="R231" s="8" t="n">
        <x:v>0.491</x:v>
      </x:c>
      <x:c r="S231" s="8" t="n">
        <x:v>136.012</x:v>
      </x:c>
      <x:c r="T231" s="8" t="n">
        <x:v>0.633</x:v>
      </x:c>
      <x:c r="U231" s="8" t="n">
        <x:v>163.464</x:v>
      </x:c>
      <x:c r="V231" s="8" t="n">
        <x:v>0.633</x:v>
      </x:c>
      <x:c r="W231" s="8" t="n">
        <x:v>163.464</x:v>
      </x:c>
      <x:c r="X231" s="8" t="n">
        <x:v>1.101</x:v>
      </x:c>
      <x:c r="Y231" s="8" t="n">
        <x:v>252.85</x:v>
      </x:c>
      <x:c r="Z231" s="8" t="n">
        <x:v>1.101</x:v>
      </x:c>
      <x:c r="AA231" s="8" t="n">
        <x:v>252.85</x:v>
      </x:c>
      <x:c r="AB231" s="8" t="n">
        <x:v>1.434</x:v>
      </x:c>
      <x:c r="AC231" s="8" t="n">
        <x:v>229.51</x:v>
      </x:c>
      <x:c r="AD231" s="8" t="n">
        <x:v>1.434</x:v>
      </x:c>
      <x:c r="AE231" s="8" t="n">
        <x:v>229.51</x:v>
      </x:c>
      <x:c r="AF231" s="8" t="n">
        <x:v>1.061</x:v>
      </x:c>
      <x:c r="AG231" s="8" t="n">
        <x:v>238.175</x:v>
      </x:c>
      <x:c r="AH231" s="8"/>
      <x:c r="AI231" s="8"/>
      <x:c r="AJ231" s="8" t="n">
        <x:v>0.972</x:v>
      </x:c>
      <x:c r="AK231" s="8" t="n">
        <x:v>188.3</x:v>
      </x:c>
      <x:c r="AL231" s="8" t="n">
        <x:v>0.972</x:v>
      </x:c>
      <x:c r="AM231" s="8" t="n">
        <x:v>188.3</x:v>
      </x:c>
      <x:c r="AN231" s="8" t="n">
        <x:v>0.565</x:v>
      </x:c>
      <x:c r="AO231" s="8" t="n">
        <x:v>162.752</x:v>
      </x:c>
      <x:c r="AP231" s="8" t="n">
        <x:v>0.565</x:v>
      </x:c>
      <x:c r="AQ231" s="8" t="n">
        <x:v>162.752</x:v>
      </x:c>
      <x:c r="AR231" s="8" t="n">
        <x:v>1.36</x:v>
      </x:c>
      <x:c r="AS231" s="8" t="n">
        <x:v>253.545</x:v>
      </x:c>
      <x:c r="AT231" s="8" t="n">
        <x:v>0.612</x:v>
      </x:c>
      <x:c r="AU231" s="8" t="n">
        <x:v>178.73</x:v>
      </x:c>
      <x:c r="AV231" s="8" t="n">
        <x:v>0.966</x:v>
      </x:c>
      <x:c r="AW231" s="8" t="n">
        <x:v>216.613</x:v>
      </x:c>
      <x:c r="AX231" s="8" t="n">
        <x:v>0.773</x:v>
      </x:c>
      <x:c r="AY231" s="8" t="n">
        <x:v>219.041</x:v>
      </x:c>
      <x:c r="AZ231" s="8" t="n">
        <x:v>0.773</x:v>
      </x:c>
      <x:c r="BA231" s="8" t="n">
        <x:v>219.041</x:v>
      </x:c>
      <x:c r="BB231" s="8" t="n">
        <x:f>LET(m,MIN(IF(D231&gt;0,D231,1E+99),IF(F231&gt;0,F231,1E+99),IF(H231&gt;0,H231,1E+99),IF(J231&gt;0,J231,1E+99),IF(L231&gt;0,L231,1E+99),IF(N231&gt;0,N231,1E+99),IF(P231&gt;0,P231,1E+99),IF(R231&gt;0,R231,1E+99),IF(T231&gt;0,T231,1E+99),IF(V231&gt;0,V231,1E+99),IF(X231&gt;0,X231,1E+99),IF(Z231&gt;0,Z231,1E+99),IF(AB231&gt;0,AB231,1E+99),IF(AD231&gt;0,AD231,1E+99),IF(AF231&gt;0,AF231,1E+99),IF(AH231&gt;0,AH231,1E+99),IF(AJ231&gt;0,AJ231,1E+99),IF(AL231&gt;0,AL231,1E+99),IF(AN231&gt;0,AN231,1E+99),IF(AP231&gt;0,AP231,1E+99),IF(AR231&gt;0,AR231,1E+99),IF(AT231&gt;0,AT231,1E+99),IF(AV231&gt;0,AV231,1E+99),IF(AX231&gt;0,AX231,1E+99),IF(AZ231&gt;0,AZ231,1E+99)),IF(m=1E+99,"",m))</x:f>
        <x:v>0.149</x:v>
      </x:c>
      <x:c r="BC231" s="12" t="e">
        <x:f>IF(BB231="","",INDEX({"v1.4.20","v1.4.20","v1.4.21","v1.4.21","v1.4.23","v1.4.23","v1.4.26","v1.4.26","v1.4.26.1","v1.4.26.1","v1.4.27","v1.4.27","v1.4.29","v1.4.29","v1.4.30","v1.4.30","v1.4.31","v1.4.31","v1.4.33","v1.4.33","v1.4.35","v1.4.35.2","v1.5","v1.5.1","v1.5.1"},MATCH(BB231,CHOOSE({1,2,3,4,5,6,7,8,9,10,11,12,13,14,15,16,17,18,19,20,21,22,23,24,25},D231,F231,H231,J231,L231,N231,P231,R231,T231,V231,X231,Z231,AB231,AD231,AF231,AH231,AJ231,AL231,AN231,AP231,AR231,AT231,AV231,AX231,AZ231),0)))</x:f>
      </x:c>
      <x:c r="BD231" s="14" t="n">
        <x:f>LET(m,MIN(IF(E231&gt;0,E231,1E+99),IF(G231&gt;0,G231,1E+99),IF(I231&gt;0,I231,1E+99),IF(K231&gt;0,K231,1E+99),IF(M231&gt;0,M231,1E+99),IF(O231&gt;0,O231,1E+99),IF(Q231&gt;0,Q231,1E+99),IF(S231&gt;0,S231,1E+99),IF(U231&gt;0,U231,1E+99),IF(W231&gt;0,W231,1E+99),IF(Y231&gt;0,Y231,1E+99),IF(AA231&gt;0,AA231,1E+99),IF(AC231&gt;0,AC231,1E+99),IF(AE231&gt;0,AE231,1E+99),IF(AG231&gt;0,AG231,1E+99),IF(AI231&gt;0,AI231,1E+99),IF(AK231&gt;0,AK231,1E+99),IF(AM231&gt;0,AM231,1E+99),IF(AO231&gt;0,AO231,1E+99),IF(AQ231&gt;0,AQ231,1E+99),IF(AS231&gt;0,AS231,1E+99),IF(AU231&gt;0,AU231,1E+99),IF(AW231&gt;0,AW231,1E+99),IF(AY231&gt;0,AY231,1E+99),IF(BA231&gt;0,BA231,1E+99)),IF(m=1E+99,"",m))</x:f>
        <x:v>136.012</x:v>
      </x:c>
      <x:c r="BE231" s="16" t="e">
        <x:f>IF(BD231="","",INDEX({"v1.4.20","v1.4.20","v1.4.21","v1.4.21","v1.4.23","v1.4.23","v1.4.26","v1.4.26","v1.4.26.1","v1.4.26.1","v1.4.27","v1.4.27","v1.4.29","v1.4.29","v1.4.30","v1.4.30","v1.4.31","v1.4.31","v1.4.33","v1.4.33","v1.4.35","v1.4.35.2","v1.5","v1.5.1","v1.5.1"},MATCH(BD231,CHOOSE({1,2,3,4,5,6,7,8,9,10,11,12,13,14,15,16,17,18,19,20,21,22,23,24,25},E231,G231,I231,K231,M231,O231,Q231,S231,U231,W231,Y231,AA231,AC231,AE231,AG231,AI231,AK231,AM231,AO231,AQ231,AS231,AU231,AW231,AY231,BA231),0)))</x:f>
      </x:c>
      <x:c r="BF231" s="10" t="n">
        <x:f>IFERROR((AX231-BB231)/BB231,"")</x:f>
        <x:v>4.1879194630872485</x:v>
      </x:c>
      <x:c r="BG231" s="10" t="n">
        <x:f>IFERROR((AY231-BD231)/BD231,"")</x:f>
        <x:v>0.6104534893979943</x:v>
      </x:c>
    </x:row>
    <x:row r="232">
      <x:c r="A232" t="str">
        <x:v>Disenrolled Exclusion</x:v>
      </x:c>
      <x:c r="B232" t="str">
        <x:v>Create / Refresh All Templates</x:v>
      </x:c>
      <x:c r="C232" t="str">
        <x:v>Apply header row: Template - Disenrolled Exclusion</x:v>
      </x:c>
      <x:c r="D232" s="8" t="n">
        <x:v>0.232</x:v>
      </x:c>
      <x:c r="E232" s="8" t="n">
        <x:v>163.707</x:v>
      </x:c>
      <x:c r="F232" s="8" t="n">
        <x:v>0.232</x:v>
      </x:c>
      <x:c r="G232" s="8" t="n">
        <x:v>163.707</x:v>
      </x:c>
      <x:c r="H232" s="8" t="n">
        <x:v>0.201</x:v>
      </x:c>
      <x:c r="I232" s="8" t="n">
        <x:v>206.469</x:v>
      </x:c>
      <x:c r="J232" s="8" t="n">
        <x:v>0.201</x:v>
      </x:c>
      <x:c r="K232" s="8" t="n">
        <x:v>206.469</x:v>
      </x:c>
      <x:c r="L232" s="8" t="n">
        <x:v>0.252</x:v>
      </x:c>
      <x:c r="M232" s="8" t="n">
        <x:v>203.854</x:v>
      </x:c>
      <x:c r="N232" s="8" t="n">
        <x:v>0.252</x:v>
      </x:c>
      <x:c r="O232" s="8" t="n">
        <x:v>203.854</x:v>
      </x:c>
      <x:c r="P232" s="8" t="n">
        <x:v>0.128</x:v>
      </x:c>
      <x:c r="Q232" s="8" t="n">
        <x:v>136.14</x:v>
      </x:c>
      <x:c r="R232" s="8" t="n">
        <x:v>0.128</x:v>
      </x:c>
      <x:c r="S232" s="8" t="n">
        <x:v>136.14</x:v>
      </x:c>
      <x:c r="T232" s="8" t="n">
        <x:v>0.122</x:v>
      </x:c>
      <x:c r="U232" s="8" t="n">
        <x:v>163.586</x:v>
      </x:c>
      <x:c r="V232" s="8" t="n">
        <x:v>0.122</x:v>
      </x:c>
      <x:c r="W232" s="8" t="n">
        <x:v>163.586</x:v>
      </x:c>
      <x:c r="X232" s="8" t="n">
        <x:v>0.215</x:v>
      </x:c>
      <x:c r="Y232" s="8" t="n">
        <x:v>253.065</x:v>
      </x:c>
      <x:c r="Z232" s="8" t="n">
        <x:v>0.215</x:v>
      </x:c>
      <x:c r="AA232" s="8" t="n">
        <x:v>253.065</x:v>
      </x:c>
      <x:c r="AB232" s="8" t="n">
        <x:v>0.088</x:v>
      </x:c>
      <x:c r="AC232" s="8" t="n">
        <x:v>229.598</x:v>
      </x:c>
      <x:c r="AD232" s="8" t="n">
        <x:v>0.088</x:v>
      </x:c>
      <x:c r="AE232" s="8" t="n">
        <x:v>229.598</x:v>
      </x:c>
      <x:c r="AF232" s="8" t="n">
        <x:v>0.18</x:v>
      </x:c>
      <x:c r="AG232" s="8" t="n">
        <x:v>238.355</x:v>
      </x:c>
      <x:c r="AH232" s="8"/>
      <x:c r="AI232" s="8"/>
      <x:c r="AJ232" s="8" t="n">
        <x:v>0.168</x:v>
      </x:c>
      <x:c r="AK232" s="8" t="n">
        <x:v>188.468</x:v>
      </x:c>
      <x:c r="AL232" s="8" t="n">
        <x:v>0.168</x:v>
      </x:c>
      <x:c r="AM232" s="8" t="n">
        <x:v>188.468</x:v>
      </x:c>
      <x:c r="AN232" s="8" t="n">
        <x:v>0.096</x:v>
      </x:c>
      <x:c r="AO232" s="8" t="n">
        <x:v>162.848</x:v>
      </x:c>
      <x:c r="AP232" s="8" t="n">
        <x:v>0.096</x:v>
      </x:c>
      <x:c r="AQ232" s="8" t="n">
        <x:v>162.848</x:v>
      </x:c>
      <x:c r="AR232" s="8" t="n">
        <x:v>0.59</x:v>
      </x:c>
      <x:c r="AS232" s="8" t="n">
        <x:v>254.135</x:v>
      </x:c>
      <x:c r="AT232" s="8" t="n">
        <x:v>0.178</x:v>
      </x:c>
      <x:c r="AU232" s="8" t="n">
        <x:v>178.908</x:v>
      </x:c>
      <x:c r="AV232" s="8" t="n">
        <x:v>0.09</x:v>
      </x:c>
      <x:c r="AW232" s="8" t="n">
        <x:v>216.703</x:v>
      </x:c>
      <x:c r="AX232" s="8" t="n">
        <x:v>0.12</x:v>
      </x:c>
      <x:c r="AY232" s="8" t="n">
        <x:v>219.161</x:v>
      </x:c>
      <x:c r="AZ232" s="8" t="n">
        <x:v>0.12</x:v>
      </x:c>
      <x:c r="BA232" s="8" t="n">
        <x:v>219.161</x:v>
      </x:c>
      <x:c r="BB232" s="8" t="n">
        <x:f>LET(m,MIN(IF(D232&gt;0,D232,1E+99),IF(F232&gt;0,F232,1E+99),IF(H232&gt;0,H232,1E+99),IF(J232&gt;0,J232,1E+99),IF(L232&gt;0,L232,1E+99),IF(N232&gt;0,N232,1E+99),IF(P232&gt;0,P232,1E+99),IF(R232&gt;0,R232,1E+99),IF(T232&gt;0,T232,1E+99),IF(V232&gt;0,V232,1E+99),IF(X232&gt;0,X232,1E+99),IF(Z232&gt;0,Z232,1E+99),IF(AB232&gt;0,AB232,1E+99),IF(AD232&gt;0,AD232,1E+99),IF(AF232&gt;0,AF232,1E+99),IF(AH232&gt;0,AH232,1E+99),IF(AJ232&gt;0,AJ232,1E+99),IF(AL232&gt;0,AL232,1E+99),IF(AN232&gt;0,AN232,1E+99),IF(AP232&gt;0,AP232,1E+99),IF(AR232&gt;0,AR232,1E+99),IF(AT232&gt;0,AT232,1E+99),IF(AV232&gt;0,AV232,1E+99),IF(AX232&gt;0,AX232,1E+99),IF(AZ232&gt;0,AZ232,1E+99)),IF(m=1E+99,"",m))</x:f>
        <x:v>0.088</x:v>
      </x:c>
      <x:c r="BC232" s="12" t="e">
        <x:f>IF(BB232="","",INDEX({"v1.4.20","v1.4.20","v1.4.21","v1.4.21","v1.4.23","v1.4.23","v1.4.26","v1.4.26","v1.4.26.1","v1.4.26.1","v1.4.27","v1.4.27","v1.4.29","v1.4.29","v1.4.30","v1.4.30","v1.4.31","v1.4.31","v1.4.33","v1.4.33","v1.4.35","v1.4.35.2","v1.5","v1.5.1","v1.5.1"},MATCH(BB232,CHOOSE({1,2,3,4,5,6,7,8,9,10,11,12,13,14,15,16,17,18,19,20,21,22,23,24,25},D232,F232,H232,J232,L232,N232,P232,R232,T232,V232,X232,Z232,AB232,AD232,AF232,AH232,AJ232,AL232,AN232,AP232,AR232,AT232,AV232,AX232,AZ232),0)))</x:f>
      </x:c>
      <x:c r="BD232" s="14" t="n">
        <x:f>LET(m,MIN(IF(E232&gt;0,E232,1E+99),IF(G232&gt;0,G232,1E+99),IF(I232&gt;0,I232,1E+99),IF(K232&gt;0,K232,1E+99),IF(M232&gt;0,M232,1E+99),IF(O232&gt;0,O232,1E+99),IF(Q232&gt;0,Q232,1E+99),IF(S232&gt;0,S232,1E+99),IF(U232&gt;0,U232,1E+99),IF(W232&gt;0,W232,1E+99),IF(Y232&gt;0,Y232,1E+99),IF(AA232&gt;0,AA232,1E+99),IF(AC232&gt;0,AC232,1E+99),IF(AE232&gt;0,AE232,1E+99),IF(AG232&gt;0,AG232,1E+99),IF(AI232&gt;0,AI232,1E+99),IF(AK232&gt;0,AK232,1E+99),IF(AM232&gt;0,AM232,1E+99),IF(AO232&gt;0,AO232,1E+99),IF(AQ232&gt;0,AQ232,1E+99),IF(AS232&gt;0,AS232,1E+99),IF(AU232&gt;0,AU232,1E+99),IF(AW232&gt;0,AW232,1E+99),IF(AY232&gt;0,AY232,1E+99),IF(BA232&gt;0,BA232,1E+99)),IF(m=1E+99,"",m))</x:f>
        <x:v>136.14</x:v>
      </x:c>
      <x:c r="BE232" s="16" t="e">
        <x:f>IF(BD232="","",INDEX({"v1.4.20","v1.4.20","v1.4.21","v1.4.21","v1.4.23","v1.4.23","v1.4.26","v1.4.26","v1.4.26.1","v1.4.26.1","v1.4.27","v1.4.27","v1.4.29","v1.4.29","v1.4.30","v1.4.30","v1.4.31","v1.4.31","v1.4.33","v1.4.33","v1.4.35","v1.4.35.2","v1.5","v1.5.1","v1.5.1"},MATCH(BD232,CHOOSE({1,2,3,4,5,6,7,8,9,10,11,12,13,14,15,16,17,18,19,20,21,22,23,24,25},E232,G232,I232,K232,M232,O232,Q232,S232,U232,W232,Y232,AA232,AC232,AE232,AG232,AI232,AK232,AM232,AO232,AQ232,AS232,AU232,AW232,AY232,BA232),0)))</x:f>
      </x:c>
      <x:c r="BF232" s="10" t="n">
        <x:f>IFERROR((AX232-BB232)/BB232,"")</x:f>
        <x:v>0.36363636363636365</x:v>
      </x:c>
      <x:c r="BG232" s="10" t="n">
        <x:f>IFERROR((AY232-BD232)/BD232,"")</x:f>
        <x:v>0.6098207727339505</x:v>
      </x:c>
    </x:row>
    <x:row r="233">
      <x:c r="A233" t="str">
        <x:v>Disenrolled Exclusion</x:v>
      </x:c>
      <x:c r="B233" t="str">
        <x:v>Create / Refresh All Templates</x:v>
      </x:c>
      <x:c r="C233" t="str">
        <x:v>Apply alternating color rules: Template - Disenrolled Exclusion</x:v>
      </x:c>
      <x:c r="D233" s="8" t="n">
        <x:v>2.004</x:v>
      </x:c>
      <x:c r="E233" s="8" t="n">
        <x:v>165.711</x:v>
      </x:c>
      <x:c r="F233" s="8" t="n">
        <x:v>2.004</x:v>
      </x:c>
      <x:c r="G233" s="8" t="n">
        <x:v>165.711</x:v>
      </x:c>
      <x:c r="H233" s="8" t="n">
        <x:v>2.564</x:v>
      </x:c>
      <x:c r="I233" s="8" t="n">
        <x:v>209.033</x:v>
      </x:c>
      <x:c r="J233" s="8" t="n">
        <x:v>2.564</x:v>
      </x:c>
      <x:c r="K233" s="8" t="n">
        <x:v>209.033</x:v>
      </x:c>
      <x:c r="L233" s="8" t="n">
        <x:v>2.707</x:v>
      </x:c>
      <x:c r="M233" s="8" t="n">
        <x:v>206.561</x:v>
      </x:c>
      <x:c r="N233" s="8" t="n">
        <x:v>2.707</x:v>
      </x:c>
      <x:c r="O233" s="8" t="n">
        <x:v>206.561</x:v>
      </x:c>
      <x:c r="P233" s="8" t="n">
        <x:v>1.727</x:v>
      </x:c>
      <x:c r="Q233" s="8" t="n">
        <x:v>137.867</x:v>
      </x:c>
      <x:c r="R233" s="8" t="n">
        <x:v>1.727</x:v>
      </x:c>
      <x:c r="S233" s="8" t="n">
        <x:v>137.867</x:v>
      </x:c>
      <x:c r="T233" s="8" t="n">
        <x:v>2.131</x:v>
      </x:c>
      <x:c r="U233" s="8" t="n">
        <x:v>165.717</x:v>
      </x:c>
      <x:c r="V233" s="8" t="n">
        <x:v>2.131</x:v>
      </x:c>
      <x:c r="W233" s="8" t="n">
        <x:v>165.717</x:v>
      </x:c>
      <x:c r="X233" s="8" t="n">
        <x:v>2.702</x:v>
      </x:c>
      <x:c r="Y233" s="8" t="n">
        <x:v>255.767</x:v>
      </x:c>
      <x:c r="Z233" s="8" t="n">
        <x:v>2.702</x:v>
      </x:c>
      <x:c r="AA233" s="8" t="n">
        <x:v>255.767</x:v>
      </x:c>
      <x:c r="AB233" s="8" t="n">
        <x:v>2.881</x:v>
      </x:c>
      <x:c r="AC233" s="8" t="n">
        <x:v>232.479</x:v>
      </x:c>
      <x:c r="AD233" s="8" t="n">
        <x:v>2.881</x:v>
      </x:c>
      <x:c r="AE233" s="8" t="n">
        <x:v>232.479</x:v>
      </x:c>
      <x:c r="AF233" s="8" t="n">
        <x:v>3.033</x:v>
      </x:c>
      <x:c r="AG233" s="8" t="n">
        <x:v>241.388</x:v>
      </x:c>
      <x:c r="AH233" s="8"/>
      <x:c r="AI233" s="8"/>
      <x:c r="AJ233" s="8" t="n">
        <x:v>2.693</x:v>
      </x:c>
      <x:c r="AK233" s="8" t="n">
        <x:v>191.161</x:v>
      </x:c>
      <x:c r="AL233" s="8" t="n">
        <x:v>2.693</x:v>
      </x:c>
      <x:c r="AM233" s="8" t="n">
        <x:v>191.161</x:v>
      </x:c>
      <x:c r="AN233" s="8" t="n">
        <x:v>1.971</x:v>
      </x:c>
      <x:c r="AO233" s="8" t="n">
        <x:v>164.819</x:v>
      </x:c>
      <x:c r="AP233" s="8" t="n">
        <x:v>1.971</x:v>
      </x:c>
      <x:c r="AQ233" s="8" t="n">
        <x:v>164.819</x:v>
      </x:c>
      <x:c r="AR233" s="8" t="n">
        <x:v>3.044</x:v>
      </x:c>
      <x:c r="AS233" s="8" t="n">
        <x:v>257.179</x:v>
      </x:c>
      <x:c r="AT233" s="8" t="n">
        <x:v>1.935</x:v>
      </x:c>
      <x:c r="AU233" s="8" t="n">
        <x:v>180.843</x:v>
      </x:c>
      <x:c r="AV233" s="8" t="n">
        <x:v>3.123</x:v>
      </x:c>
      <x:c r="AW233" s="8" t="n">
        <x:v>219.826</x:v>
      </x:c>
      <x:c r="AX233" s="8" t="n">
        <x:v>2.413</x:v>
      </x:c>
      <x:c r="AY233" s="8" t="n">
        <x:v>221.574</x:v>
      </x:c>
      <x:c r="AZ233" s="8" t="n">
        <x:v>2.413</x:v>
      </x:c>
      <x:c r="BA233" s="8" t="n">
        <x:v>221.574</x:v>
      </x:c>
      <x:c r="BB233" s="8" t="n">
        <x:f>LET(m,MIN(IF(D233&gt;0,D233,1E+99),IF(F233&gt;0,F233,1E+99),IF(H233&gt;0,H233,1E+99),IF(J233&gt;0,J233,1E+99),IF(L233&gt;0,L233,1E+99),IF(N233&gt;0,N233,1E+99),IF(P233&gt;0,P233,1E+99),IF(R233&gt;0,R233,1E+99),IF(T233&gt;0,T233,1E+99),IF(V233&gt;0,V233,1E+99),IF(X233&gt;0,X233,1E+99),IF(Z233&gt;0,Z233,1E+99),IF(AB233&gt;0,AB233,1E+99),IF(AD233&gt;0,AD233,1E+99),IF(AF233&gt;0,AF233,1E+99),IF(AH233&gt;0,AH233,1E+99),IF(AJ233&gt;0,AJ233,1E+99),IF(AL233&gt;0,AL233,1E+99),IF(AN233&gt;0,AN233,1E+99),IF(AP233&gt;0,AP233,1E+99),IF(AR233&gt;0,AR233,1E+99),IF(AT233&gt;0,AT233,1E+99),IF(AV233&gt;0,AV233,1E+99),IF(AX233&gt;0,AX233,1E+99),IF(AZ233&gt;0,AZ233,1E+99)),IF(m=1E+99,"",m))</x:f>
        <x:v>1.727</x:v>
      </x:c>
      <x:c r="BC233" s="12" t="e">
        <x:f>IF(BB233="","",INDEX({"v1.4.20","v1.4.20","v1.4.21","v1.4.21","v1.4.23","v1.4.23","v1.4.26","v1.4.26","v1.4.26.1","v1.4.26.1","v1.4.27","v1.4.27","v1.4.29","v1.4.29","v1.4.30","v1.4.30","v1.4.31","v1.4.31","v1.4.33","v1.4.33","v1.4.35","v1.4.35.2","v1.5","v1.5.1","v1.5.1"},MATCH(BB233,CHOOSE({1,2,3,4,5,6,7,8,9,10,11,12,13,14,15,16,17,18,19,20,21,22,23,24,25},D233,F233,H233,J233,L233,N233,P233,R233,T233,V233,X233,Z233,AB233,AD233,AF233,AH233,AJ233,AL233,AN233,AP233,AR233,AT233,AV233,AX233,AZ233),0)))</x:f>
      </x:c>
      <x:c r="BD233" s="14" t="n">
        <x:f>LET(m,MIN(IF(E233&gt;0,E233,1E+99),IF(G233&gt;0,G233,1E+99),IF(I233&gt;0,I233,1E+99),IF(K233&gt;0,K233,1E+99),IF(M233&gt;0,M233,1E+99),IF(O233&gt;0,O233,1E+99),IF(Q233&gt;0,Q233,1E+99),IF(S233&gt;0,S233,1E+99),IF(U233&gt;0,U233,1E+99),IF(W233&gt;0,W233,1E+99),IF(Y233&gt;0,Y233,1E+99),IF(AA233&gt;0,AA233,1E+99),IF(AC233&gt;0,AC233,1E+99),IF(AE233&gt;0,AE233,1E+99),IF(AG233&gt;0,AG233,1E+99),IF(AI233&gt;0,AI233,1E+99),IF(AK233&gt;0,AK233,1E+99),IF(AM233&gt;0,AM233,1E+99),IF(AO233&gt;0,AO233,1E+99),IF(AQ233&gt;0,AQ233,1E+99),IF(AS233&gt;0,AS233,1E+99),IF(AU233&gt;0,AU233,1E+99),IF(AW233&gt;0,AW233,1E+99),IF(AY233&gt;0,AY233,1E+99),IF(BA233&gt;0,BA233,1E+99)),IF(m=1E+99,"",m))</x:f>
        <x:v>137.867</x:v>
      </x:c>
      <x:c r="BE233" s="16" t="e">
        <x:f>IF(BD233="","",INDEX({"v1.4.20","v1.4.20","v1.4.21","v1.4.21","v1.4.23","v1.4.23","v1.4.26","v1.4.26","v1.4.26.1","v1.4.26.1","v1.4.27","v1.4.27","v1.4.29","v1.4.29","v1.4.30","v1.4.30","v1.4.31","v1.4.31","v1.4.33","v1.4.33","v1.4.35","v1.4.35.2","v1.5","v1.5.1","v1.5.1"},MATCH(BD233,CHOOSE({1,2,3,4,5,6,7,8,9,10,11,12,13,14,15,16,17,18,19,20,21,22,23,24,25},E233,G233,I233,K233,M233,O233,Q233,S233,U233,W233,Y233,AA233,AC233,AE233,AG233,AI233,AK233,AM233,AO233,AQ233,AS233,AU233,AW233,AY233,BA233),0)))</x:f>
      </x:c>
      <x:c r="BF233" s="10" t="n">
        <x:f>IFERROR((AX233-BB233)/BB233,"")</x:f>
        <x:v>0.39722061378112317</x:v>
      </x:c>
      <x:c r="BG233" s="10" t="n">
        <x:f>IFERROR((AY233-BD233)/BD233,"")</x:f>
        <x:v>0.6071576229264438</x:v>
      </x:c>
    </x:row>
    <x:row r="234">
      <x:c r="A234" t="str">
        <x:v>Disenrolled Exclusion</x:v>
      </x:c>
      <x:c r="B234" t="str">
        <x:v>Create / Refresh All Templates</x:v>
      </x:c>
      <x:c r="C234" t="str">
        <x:v>Apply data row base style: Template - Disenrolled Exclusion</x:v>
      </x:c>
      <x:c r="D234" s="8" t="n">
        <x:v>0</x:v>
      </x:c>
      <x:c r="E234" s="8" t="n">
        <x:v>165.711</x:v>
      </x:c>
      <x:c r="F234" s="8" t="n">
        <x:v>0</x:v>
      </x:c>
      <x:c r="G234" s="8" t="n">
        <x:v>165.711</x:v>
      </x:c>
      <x:c r="H234" s="8" t="n">
        <x:v>0</x:v>
      </x:c>
      <x:c r="I234" s="8" t="n">
        <x:v>209.033</x:v>
      </x:c>
      <x:c r="J234" s="8" t="n">
        <x:v>0</x:v>
      </x:c>
      <x:c r="K234" s="8" t="n">
        <x:v>209.033</x:v>
      </x:c>
      <x:c r="L234" s="8" t="n">
        <x:v>0</x:v>
      </x:c>
      <x:c r="M234" s="8" t="n">
        <x:v>206.561</x:v>
      </x:c>
      <x:c r="N234" s="8" t="n">
        <x:v>0</x:v>
      </x:c>
      <x:c r="O234" s="8" t="n">
        <x:v>206.561</x:v>
      </x:c>
      <x:c r="P234" s="8" t="n">
        <x:v>0.001</x:v>
      </x:c>
      <x:c r="Q234" s="8" t="n">
        <x:v>137.868</x:v>
      </x:c>
      <x:c r="R234" s="8" t="n">
        <x:v>0.001</x:v>
      </x:c>
      <x:c r="S234" s="8" t="n">
        <x:v>137.868</x:v>
      </x:c>
      <x:c r="T234" s="8" t="n">
        <x:v>0</x:v>
      </x:c>
      <x:c r="U234" s="8" t="n">
        <x:v>165.717</x:v>
      </x:c>
      <x:c r="V234" s="8" t="n">
        <x:v>0</x:v>
      </x:c>
      <x:c r="W234" s="8" t="n">
        <x:v>165.717</x:v>
      </x:c>
      <x:c r="X234" s="8" t="n">
        <x:v>0</x:v>
      </x:c>
      <x:c r="Y234" s="8" t="n">
        <x:v>255.767</x:v>
      </x:c>
      <x:c r="Z234" s="8" t="n">
        <x:v>0</x:v>
      </x:c>
      <x:c r="AA234" s="8" t="n">
        <x:v>255.767</x:v>
      </x:c>
      <x:c r="AB234" s="8" t="n">
        <x:v>0</x:v>
      </x:c>
      <x:c r="AC234" s="8" t="n">
        <x:v>232.479</x:v>
      </x:c>
      <x:c r="AD234" s="8" t="n">
        <x:v>0</x:v>
      </x:c>
      <x:c r="AE234" s="8" t="n">
        <x:v>232.479</x:v>
      </x:c>
      <x:c r="AF234" s="8" t="n">
        <x:v>0</x:v>
      </x:c>
      <x:c r="AG234" s="8" t="n">
        <x:v>241.388</x:v>
      </x:c>
      <x:c r="AH234" s="8"/>
      <x:c r="AI234" s="8"/>
      <x:c r="AJ234" s="8" t="n">
        <x:v>0</x:v>
      </x:c>
      <x:c r="AK234" s="8" t="n">
        <x:v>191.161</x:v>
      </x:c>
      <x:c r="AL234" s="8" t="n">
        <x:v>0</x:v>
      </x:c>
      <x:c r="AM234" s="8" t="n">
        <x:v>191.161</x:v>
      </x:c>
      <x:c r="AN234" s="8" t="n">
        <x:v>0</x:v>
      </x:c>
      <x:c r="AO234" s="8" t="n">
        <x:v>164.819</x:v>
      </x:c>
      <x:c r="AP234" s="8" t="n">
        <x:v>0</x:v>
      </x:c>
      <x:c r="AQ234" s="8" t="n">
        <x:v>164.819</x:v>
      </x:c>
      <x:c r="AR234" s="8" t="n">
        <x:v>0</x:v>
      </x:c>
      <x:c r="AS234" s="8" t="n">
        <x:v>257.179</x:v>
      </x:c>
      <x:c r="AT234" s="8" t="n">
        <x:v>0</x:v>
      </x:c>
      <x:c r="AU234" s="8" t="n">
        <x:v>180.843</x:v>
      </x:c>
      <x:c r="AV234" s="8" t="n">
        <x:v>0</x:v>
      </x:c>
      <x:c r="AW234" s="8" t="n">
        <x:v>219.826</x:v>
      </x:c>
      <x:c r="AX234" s="8" t="n">
        <x:v>0</x:v>
      </x:c>
      <x:c r="AY234" s="8" t="n">
        <x:v>221.574</x:v>
      </x:c>
      <x:c r="AZ234" s="8" t="n">
        <x:v>0</x:v>
      </x:c>
      <x:c r="BA234" s="8" t="n">
        <x:v>221.574</x:v>
      </x:c>
      <x:c r="BB234" s="8" t="n">
        <x:f>LET(m,MIN(IF(D234&gt;0,D234,1E+99),IF(F234&gt;0,F234,1E+99),IF(H234&gt;0,H234,1E+99),IF(J234&gt;0,J234,1E+99),IF(L234&gt;0,L234,1E+99),IF(N234&gt;0,N234,1E+99),IF(P234&gt;0,P234,1E+99),IF(R234&gt;0,R234,1E+99),IF(T234&gt;0,T234,1E+99),IF(V234&gt;0,V234,1E+99),IF(X234&gt;0,X234,1E+99),IF(Z234&gt;0,Z234,1E+99),IF(AB234&gt;0,AB234,1E+99),IF(AD234&gt;0,AD234,1E+99),IF(AF234&gt;0,AF234,1E+99),IF(AH234&gt;0,AH234,1E+99),IF(AJ234&gt;0,AJ234,1E+99),IF(AL234&gt;0,AL234,1E+99),IF(AN234&gt;0,AN234,1E+99),IF(AP234&gt;0,AP234,1E+99),IF(AR234&gt;0,AR234,1E+99),IF(AT234&gt;0,AT234,1E+99),IF(AV234&gt;0,AV234,1E+99),IF(AX234&gt;0,AX234,1E+99),IF(AZ234&gt;0,AZ234,1E+99)),IF(m=1E+99,"",m))</x:f>
        <x:v>0.001</x:v>
      </x:c>
      <x:c r="BC234" s="12" t="e">
        <x:f>IF(BB234="","",INDEX({"v1.4.20","v1.4.20","v1.4.21","v1.4.21","v1.4.23","v1.4.23","v1.4.26","v1.4.26","v1.4.26.1","v1.4.26.1","v1.4.27","v1.4.27","v1.4.29","v1.4.29","v1.4.30","v1.4.30","v1.4.31","v1.4.31","v1.4.33","v1.4.33","v1.4.35","v1.4.35.2","v1.5","v1.5.1","v1.5.1"},MATCH(BB234,CHOOSE({1,2,3,4,5,6,7,8,9,10,11,12,13,14,15,16,17,18,19,20,21,22,23,24,25},D234,F234,H234,J234,L234,N234,P234,R234,T234,V234,X234,Z234,AB234,AD234,AF234,AH234,AJ234,AL234,AN234,AP234,AR234,AT234,AV234,AX234,AZ234),0)))</x:f>
      </x:c>
      <x:c r="BD234" s="14" t="n">
        <x:f>LET(m,MIN(IF(E234&gt;0,E234,1E+99),IF(G234&gt;0,G234,1E+99),IF(I234&gt;0,I234,1E+99),IF(K234&gt;0,K234,1E+99),IF(M234&gt;0,M234,1E+99),IF(O234&gt;0,O234,1E+99),IF(Q234&gt;0,Q234,1E+99),IF(S234&gt;0,S234,1E+99),IF(U234&gt;0,U234,1E+99),IF(W234&gt;0,W234,1E+99),IF(Y234&gt;0,Y234,1E+99),IF(AA234&gt;0,AA234,1E+99),IF(AC234&gt;0,AC234,1E+99),IF(AE234&gt;0,AE234,1E+99),IF(AG234&gt;0,AG234,1E+99),IF(AI234&gt;0,AI234,1E+99),IF(AK234&gt;0,AK234,1E+99),IF(AM234&gt;0,AM234,1E+99),IF(AO234&gt;0,AO234,1E+99),IF(AQ234&gt;0,AQ234,1E+99),IF(AS234&gt;0,AS234,1E+99),IF(AU234&gt;0,AU234,1E+99),IF(AW234&gt;0,AW234,1E+99),IF(AY234&gt;0,AY234,1E+99),IF(BA234&gt;0,BA234,1E+99)),IF(m=1E+99,"",m))</x:f>
        <x:v>137.868</x:v>
      </x:c>
      <x:c r="BE234" s="16" t="e">
        <x:f>IF(BD234="","",INDEX({"v1.4.20","v1.4.20","v1.4.21","v1.4.21","v1.4.23","v1.4.23","v1.4.26","v1.4.26","v1.4.26.1","v1.4.26.1","v1.4.27","v1.4.27","v1.4.29","v1.4.29","v1.4.30","v1.4.30","v1.4.31","v1.4.31","v1.4.33","v1.4.33","v1.4.35","v1.4.35.2","v1.5","v1.5.1","v1.5.1"},MATCH(BD234,CHOOSE({1,2,3,4,5,6,7,8,9,10,11,12,13,14,15,16,17,18,19,20,21,22,23,24,25},E234,G234,I234,K234,M234,O234,Q234,S234,U234,W234,Y234,AA234,AC234,AE234,AG234,AI234,AK234,AM234,AO234,AQ234,AS234,AU234,AW234,AY234,BA234),0)))</x:f>
      </x:c>
      <x:c r="BF234" s="10" t="n">
        <x:f>IFERROR((AX234-BB234)/BB234,"")</x:f>
        <x:v>-1</x:v>
      </x:c>
      <x:c r="BG234" s="10" t="n">
        <x:f>IFERROR((AY234-BD234)/BD234,"")</x:f>
        <x:v>0.607145965706328</x:v>
      </x:c>
    </x:row>
    <x:row r="235">
      <x:c r="A235" t="str">
        <x:v>Disenrolled Exclusion</x:v>
      </x:c>
      <x:c r="B235" t="str">
        <x:v>Create / Refresh All Templates</x:v>
      </x:c>
      <x:c r="C235" t="str">
        <x:v>Apply column widths: Template - Disenrolled Exclusion</x:v>
      </x:c>
      <x:c r="D235" s="8" t="n">
        <x:v>0.494</x:v>
      </x:c>
      <x:c r="E235" s="8" t="n">
        <x:v>166.205</x:v>
      </x:c>
      <x:c r="F235" s="8" t="n">
        <x:v>0.494</x:v>
      </x:c>
      <x:c r="G235" s="8" t="n">
        <x:v>166.205</x:v>
      </x:c>
      <x:c r="H235" s="8" t="n">
        <x:v>0.69</x:v>
      </x:c>
      <x:c r="I235" s="8" t="n">
        <x:v>209.723</x:v>
      </x:c>
      <x:c r="J235" s="8" t="n">
        <x:v>0.69</x:v>
      </x:c>
      <x:c r="K235" s="8" t="n">
        <x:v>209.723</x:v>
      </x:c>
      <x:c r="L235" s="8" t="n">
        <x:v>0.876</x:v>
      </x:c>
      <x:c r="M235" s="8" t="n">
        <x:v>207.437</x:v>
      </x:c>
      <x:c r="N235" s="8" t="n">
        <x:v>0.876</x:v>
      </x:c>
      <x:c r="O235" s="8" t="n">
        <x:v>207.437</x:v>
      </x:c>
      <x:c r="P235" s="8" t="n">
        <x:v>0.478</x:v>
      </x:c>
      <x:c r="Q235" s="8" t="n">
        <x:v>138.346</x:v>
      </x:c>
      <x:c r="R235" s="8" t="n">
        <x:v>0.478</x:v>
      </x:c>
      <x:c r="S235" s="8" t="n">
        <x:v>138.346</x:v>
      </x:c>
      <x:c r="T235" s="8" t="n">
        <x:v>0.664</x:v>
      </x:c>
      <x:c r="U235" s="8" t="n">
        <x:v>166.381</x:v>
      </x:c>
      <x:c r="V235" s="8" t="n">
        <x:v>0.664</x:v>
      </x:c>
      <x:c r="W235" s="8" t="n">
        <x:v>166.381</x:v>
      </x:c>
      <x:c r="X235" s="8" t="n">
        <x:v>0.756</x:v>
      </x:c>
      <x:c r="Y235" s="8" t="n">
        <x:v>256.523</x:v>
      </x:c>
      <x:c r="Z235" s="8" t="n">
        <x:v>0.756</x:v>
      </x:c>
      <x:c r="AA235" s="8" t="n">
        <x:v>256.523</x:v>
      </x:c>
      <x:c r="AB235" s="8" t="n">
        <x:v>0.935</x:v>
      </x:c>
      <x:c r="AC235" s="8" t="n">
        <x:v>233.414</x:v>
      </x:c>
      <x:c r="AD235" s="8" t="n">
        <x:v>0.935</x:v>
      </x:c>
      <x:c r="AE235" s="8" t="n">
        <x:v>233.414</x:v>
      </x:c>
      <x:c r="AF235" s="8" t="n">
        <x:v>0.929</x:v>
      </x:c>
      <x:c r="AG235" s="8" t="n">
        <x:v>242.317</x:v>
      </x:c>
      <x:c r="AH235" s="8" t="n">
        <x:v>0.929</x:v>
      </x:c>
      <x:c r="AI235" s="8" t="n">
        <x:v>242.317</x:v>
      </x:c>
      <x:c r="AJ235" s="8" t="n">
        <x:v>0.8</x:v>
      </x:c>
      <x:c r="AK235" s="8" t="n">
        <x:v>191.961</x:v>
      </x:c>
      <x:c r="AL235" s="8" t="n">
        <x:v>0.8</x:v>
      </x:c>
      <x:c r="AM235" s="8" t="n">
        <x:v>191.961</x:v>
      </x:c>
      <x:c r="AN235" s="8" t="n">
        <x:v>0.512</x:v>
      </x:c>
      <x:c r="AO235" s="8" t="n">
        <x:v>165.331</x:v>
      </x:c>
      <x:c r="AP235" s="8" t="n">
        <x:v>0.512</x:v>
      </x:c>
      <x:c r="AQ235" s="8" t="n">
        <x:v>165.331</x:v>
      </x:c>
      <x:c r="AR235" s="8" t="n">
        <x:v>0.98</x:v>
      </x:c>
      <x:c r="AS235" s="8" t="n">
        <x:v>258.159</x:v>
      </x:c>
      <x:c r="AT235" s="8" t="n">
        <x:v>0.616</x:v>
      </x:c>
      <x:c r="AU235" s="8" t="n">
        <x:v>181.459</x:v>
      </x:c>
      <x:c r="AV235" s="8" t="n">
        <x:v>0.826</x:v>
      </x:c>
      <x:c r="AW235" s="8" t="n">
        <x:v>220.652</x:v>
      </x:c>
      <x:c r="AX235" s="8" t="n">
        <x:v>0.735</x:v>
      </x:c>
      <x:c r="AY235" s="8" t="n">
        <x:v>222.309</x:v>
      </x:c>
      <x:c r="AZ235" s="8" t="n">
        <x:v>0.735</x:v>
      </x:c>
      <x:c r="BA235" s="8" t="n">
        <x:v>222.309</x:v>
      </x:c>
      <x:c r="BB235" s="8" t="n">
        <x:f>LET(m,MIN(IF(D235&gt;0,D235,1E+99),IF(F235&gt;0,F235,1E+99),IF(H235&gt;0,H235,1E+99),IF(J235&gt;0,J235,1E+99),IF(L235&gt;0,L235,1E+99),IF(N235&gt;0,N235,1E+99),IF(P235&gt;0,P235,1E+99),IF(R235&gt;0,R235,1E+99),IF(T235&gt;0,T235,1E+99),IF(V235&gt;0,V235,1E+99),IF(X235&gt;0,X235,1E+99),IF(Z235&gt;0,Z235,1E+99),IF(AB235&gt;0,AB235,1E+99),IF(AD235&gt;0,AD235,1E+99),IF(AF235&gt;0,AF235,1E+99),IF(AH235&gt;0,AH235,1E+99),IF(AJ235&gt;0,AJ235,1E+99),IF(AL235&gt;0,AL235,1E+99),IF(AN235&gt;0,AN235,1E+99),IF(AP235&gt;0,AP235,1E+99),IF(AR235&gt;0,AR235,1E+99),IF(AT235&gt;0,AT235,1E+99),IF(AV235&gt;0,AV235,1E+99),IF(AX235&gt;0,AX235,1E+99),IF(AZ235&gt;0,AZ235,1E+99)),IF(m=1E+99,"",m))</x:f>
        <x:v>0.478</x:v>
      </x:c>
      <x:c r="BC235" s="12" t="e">
        <x:f>IF(BB235="","",INDEX({"v1.4.20","v1.4.20","v1.4.21","v1.4.21","v1.4.23","v1.4.23","v1.4.26","v1.4.26","v1.4.26.1","v1.4.26.1","v1.4.27","v1.4.27","v1.4.29","v1.4.29","v1.4.30","v1.4.30","v1.4.31","v1.4.31","v1.4.33","v1.4.33","v1.4.35","v1.4.35.2","v1.5","v1.5.1","v1.5.1"},MATCH(BB235,CHOOSE({1,2,3,4,5,6,7,8,9,10,11,12,13,14,15,16,17,18,19,20,21,22,23,24,25},D235,F235,H235,J235,L235,N235,P235,R235,T235,V235,X235,Z235,AB235,AD235,AF235,AH235,AJ235,AL235,AN235,AP235,AR235,AT235,AV235,AX235,AZ235),0)))</x:f>
      </x:c>
      <x:c r="BD235" s="14" t="n">
        <x:f>LET(m,MIN(IF(E235&gt;0,E235,1E+99),IF(G235&gt;0,G235,1E+99),IF(I235&gt;0,I235,1E+99),IF(K235&gt;0,K235,1E+99),IF(M235&gt;0,M235,1E+99),IF(O235&gt;0,O235,1E+99),IF(Q235&gt;0,Q235,1E+99),IF(S235&gt;0,S235,1E+99),IF(U235&gt;0,U235,1E+99),IF(W235&gt;0,W235,1E+99),IF(Y235&gt;0,Y235,1E+99),IF(AA235&gt;0,AA235,1E+99),IF(AC235&gt;0,AC235,1E+99),IF(AE235&gt;0,AE235,1E+99),IF(AG235&gt;0,AG235,1E+99),IF(AI235&gt;0,AI235,1E+99),IF(AK235&gt;0,AK235,1E+99),IF(AM235&gt;0,AM235,1E+99),IF(AO235&gt;0,AO235,1E+99),IF(AQ235&gt;0,AQ235,1E+99),IF(AS235&gt;0,AS235,1E+99),IF(AU235&gt;0,AU235,1E+99),IF(AW235&gt;0,AW235,1E+99),IF(AY235&gt;0,AY235,1E+99),IF(BA235&gt;0,BA235,1E+99)),IF(m=1E+99,"",m))</x:f>
        <x:v>138.346</x:v>
      </x:c>
      <x:c r="BE235" s="16" t="e">
        <x:f>IF(BD235="","",INDEX({"v1.4.20","v1.4.20","v1.4.21","v1.4.21","v1.4.23","v1.4.23","v1.4.26","v1.4.26","v1.4.26.1","v1.4.26.1","v1.4.27","v1.4.27","v1.4.29","v1.4.29","v1.4.30","v1.4.30","v1.4.31","v1.4.31","v1.4.33","v1.4.33","v1.4.35","v1.4.35.2","v1.5","v1.5.1","v1.5.1"},MATCH(BD235,CHOOSE({1,2,3,4,5,6,7,8,9,10,11,12,13,14,15,16,17,18,19,20,21,22,23,24,25},E235,G235,I235,K235,M235,O235,Q235,S235,U235,W235,Y235,AA235,AC235,AE235,AG235,AI235,AK235,AM235,AO235,AQ235,AS235,AU235,AW235,AY235,BA235),0)))</x:f>
      </x:c>
      <x:c r="BF235" s="10" t="n">
        <x:f>IFERROR((AX235-BB235)/BB235,"")</x:f>
        <x:v>0.5376569037656904</x:v>
      </x:c>
      <x:c r="BG235" s="10" t="n">
        <x:f>IFERROR((AY235-BD235)/BD235,"")</x:f>
        <x:v>0.6069058736790366</x:v>
      </x:c>
    </x:row>
    <x:row r="236">
      <x:c r="A236" t="str">
        <x:v>Disenrolled Exclusion</x:v>
      </x:c>
      <x:c r="B236" t="str">
        <x:v>Create / Refresh All Templates</x:v>
      </x:c>
      <x:c r="C236" t="str">
        <x:v>Apply date/number formats: Template - Disenrolled Exclusion</x:v>
      </x:c>
      <x:c r="D236" s="8" t="n">
        <x:v>0.058</x:v>
      </x:c>
      <x:c r="E236" s="8" t="n">
        <x:v>166.263</x:v>
      </x:c>
      <x:c r="F236" s="8" t="n">
        <x:v>0.058</x:v>
      </x:c>
      <x:c r="G236" s="8" t="n">
        <x:v>166.263</x:v>
      </x:c>
      <x:c r="H236" s="8" t="n">
        <x:v>0.093</x:v>
      </x:c>
      <x:c r="I236" s="8" t="n">
        <x:v>209.816</x:v>
      </x:c>
      <x:c r="J236" s="8" t="n">
        <x:v>0.093</x:v>
      </x:c>
      <x:c r="K236" s="8" t="n">
        <x:v>209.816</x:v>
      </x:c>
      <x:c r="L236" s="8" t="n">
        <x:v>0.135</x:v>
      </x:c>
      <x:c r="M236" s="8" t="n">
        <x:v>207.572</x:v>
      </x:c>
      <x:c r="N236" s="8" t="n">
        <x:v>0.135</x:v>
      </x:c>
      <x:c r="O236" s="8" t="n">
        <x:v>207.572</x:v>
      </x:c>
      <x:c r="P236" s="8" t="n">
        <x:v>0.038</x:v>
      </x:c>
      <x:c r="Q236" s="8" t="n">
        <x:v>138.384</x:v>
      </x:c>
      <x:c r="R236" s="8" t="n">
        <x:v>0.038</x:v>
      </x:c>
      <x:c r="S236" s="8" t="n">
        <x:v>138.384</x:v>
      </x:c>
      <x:c r="T236" s="8" t="n">
        <x:v>0.029</x:v>
      </x:c>
      <x:c r="U236" s="8" t="n">
        <x:v>166.41</x:v>
      </x:c>
      <x:c r="V236" s="8" t="n">
        <x:v>0.029</x:v>
      </x:c>
      <x:c r="W236" s="8" t="n">
        <x:v>166.41</x:v>
      </x:c>
      <x:c r="X236" s="8" t="n">
        <x:v>0.022</x:v>
      </x:c>
      <x:c r="Y236" s="8" t="n">
        <x:v>256.545</x:v>
      </x:c>
      <x:c r="Z236" s="8" t="n">
        <x:v>0.022</x:v>
      </x:c>
      <x:c r="AA236" s="8" t="n">
        <x:v>256.545</x:v>
      </x:c>
      <x:c r="AB236" s="8" t="n">
        <x:v>0.021</x:v>
      </x:c>
      <x:c r="AC236" s="8" t="n">
        <x:v>233.435</x:v>
      </x:c>
      <x:c r="AD236" s="8" t="n">
        <x:v>0.021</x:v>
      </x:c>
      <x:c r="AE236" s="8" t="n">
        <x:v>233.435</x:v>
      </x:c>
      <x:c r="AF236" s="8" t="n">
        <x:v>0.084</x:v>
      </x:c>
      <x:c r="AG236" s="8" t="n">
        <x:v>242.401</x:v>
      </x:c>
      <x:c r="AH236" s="8" t="n">
        <x:v>0.084</x:v>
      </x:c>
      <x:c r="AI236" s="8" t="n">
        <x:v>242.401</x:v>
      </x:c>
      <x:c r="AJ236" s="8" t="n">
        <x:v>0.025</x:v>
      </x:c>
      <x:c r="AK236" s="8" t="n">
        <x:v>191.986</x:v>
      </x:c>
      <x:c r="AL236" s="8" t="n">
        <x:v>0.025</x:v>
      </x:c>
      <x:c r="AM236" s="8" t="n">
        <x:v>191.986</x:v>
      </x:c>
      <x:c r="AN236" s="8" t="n">
        <x:v>0.022</x:v>
      </x:c>
      <x:c r="AO236" s="8" t="n">
        <x:v>165.353</x:v>
      </x:c>
      <x:c r="AP236" s="8" t="n">
        <x:v>0.022</x:v>
      </x:c>
      <x:c r="AQ236" s="8" t="n">
        <x:v>165.353</x:v>
      </x:c>
      <x:c r="AR236" s="8" t="n">
        <x:v>0.07</x:v>
      </x:c>
      <x:c r="AS236" s="8" t="n">
        <x:v>258.229</x:v>
      </x:c>
      <x:c r="AT236" s="8" t="n">
        <x:v>0.035</x:v>
      </x:c>
      <x:c r="AU236" s="8" t="n">
        <x:v>181.494</x:v>
      </x:c>
      <x:c r="AV236" s="8" t="n">
        <x:v>0.022</x:v>
      </x:c>
      <x:c r="AW236" s="8" t="n">
        <x:v>220.674</x:v>
      </x:c>
      <x:c r="AX236" s="8" t="n">
        <x:v>0.036</x:v>
      </x:c>
      <x:c r="AY236" s="8" t="n">
        <x:v>222.345</x:v>
      </x:c>
      <x:c r="AZ236" s="8" t="n">
        <x:v>0.036</x:v>
      </x:c>
      <x:c r="BA236" s="8" t="n">
        <x:v>222.345</x:v>
      </x:c>
      <x:c r="BB236" s="8" t="n">
        <x:f>LET(m,MIN(IF(D236&gt;0,D236,1E+99),IF(F236&gt;0,F236,1E+99),IF(H236&gt;0,H236,1E+99),IF(J236&gt;0,J236,1E+99),IF(L236&gt;0,L236,1E+99),IF(N236&gt;0,N236,1E+99),IF(P236&gt;0,P236,1E+99),IF(R236&gt;0,R236,1E+99),IF(T236&gt;0,T236,1E+99),IF(V236&gt;0,V236,1E+99),IF(X236&gt;0,X236,1E+99),IF(Z236&gt;0,Z236,1E+99),IF(AB236&gt;0,AB236,1E+99),IF(AD236&gt;0,AD236,1E+99),IF(AF236&gt;0,AF236,1E+99),IF(AH236&gt;0,AH236,1E+99),IF(AJ236&gt;0,AJ236,1E+99),IF(AL236&gt;0,AL236,1E+99),IF(AN236&gt;0,AN236,1E+99),IF(AP236&gt;0,AP236,1E+99),IF(AR236&gt;0,AR236,1E+99),IF(AT236&gt;0,AT236,1E+99),IF(AV236&gt;0,AV236,1E+99),IF(AX236&gt;0,AX236,1E+99),IF(AZ236&gt;0,AZ236,1E+99)),IF(m=1E+99,"",m))</x:f>
        <x:v>0.021</x:v>
      </x:c>
      <x:c r="BC236" s="12" t="e">
        <x:f>IF(BB236="","",INDEX({"v1.4.20","v1.4.20","v1.4.21","v1.4.21","v1.4.23","v1.4.23","v1.4.26","v1.4.26","v1.4.26.1","v1.4.26.1","v1.4.27","v1.4.27","v1.4.29","v1.4.29","v1.4.30","v1.4.30","v1.4.31","v1.4.31","v1.4.33","v1.4.33","v1.4.35","v1.4.35.2","v1.5","v1.5.1","v1.5.1"},MATCH(BB236,CHOOSE({1,2,3,4,5,6,7,8,9,10,11,12,13,14,15,16,17,18,19,20,21,22,23,24,25},D236,F236,H236,J236,L236,N236,P236,R236,T236,V236,X236,Z236,AB236,AD236,AF236,AH236,AJ236,AL236,AN236,AP236,AR236,AT236,AV236,AX236,AZ236),0)))</x:f>
      </x:c>
      <x:c r="BD236" s="14" t="n">
        <x:f>LET(m,MIN(IF(E236&gt;0,E236,1E+99),IF(G236&gt;0,G236,1E+99),IF(I236&gt;0,I236,1E+99),IF(K236&gt;0,K236,1E+99),IF(M236&gt;0,M236,1E+99),IF(O236&gt;0,O236,1E+99),IF(Q236&gt;0,Q236,1E+99),IF(S236&gt;0,S236,1E+99),IF(U236&gt;0,U236,1E+99),IF(W236&gt;0,W236,1E+99),IF(Y236&gt;0,Y236,1E+99),IF(AA236&gt;0,AA236,1E+99),IF(AC236&gt;0,AC236,1E+99),IF(AE236&gt;0,AE236,1E+99),IF(AG236&gt;0,AG236,1E+99),IF(AI236&gt;0,AI236,1E+99),IF(AK236&gt;0,AK236,1E+99),IF(AM236&gt;0,AM236,1E+99),IF(AO236&gt;0,AO236,1E+99),IF(AQ236&gt;0,AQ236,1E+99),IF(AS236&gt;0,AS236,1E+99),IF(AU236&gt;0,AU236,1E+99),IF(AW236&gt;0,AW236,1E+99),IF(AY236&gt;0,AY236,1E+99),IF(BA236&gt;0,BA236,1E+99)),IF(m=1E+99,"",m))</x:f>
        <x:v>138.384</x:v>
      </x:c>
      <x:c r="BE236" s="16" t="e">
        <x:f>IF(BD236="","",INDEX({"v1.4.20","v1.4.20","v1.4.21","v1.4.21","v1.4.23","v1.4.23","v1.4.26","v1.4.26","v1.4.26.1","v1.4.26.1","v1.4.27","v1.4.27","v1.4.29","v1.4.29","v1.4.30","v1.4.30","v1.4.31","v1.4.31","v1.4.33","v1.4.33","v1.4.35","v1.4.35.2","v1.5","v1.5.1","v1.5.1"},MATCH(BD236,CHOOSE({1,2,3,4,5,6,7,8,9,10,11,12,13,14,15,16,17,18,19,20,21,22,23,24,25},E236,G236,I236,K236,M236,O236,Q236,S236,U236,W236,Y236,AA236,AC236,AE236,AG236,AI236,AK236,AM236,AO236,AQ236,AS236,AU236,AW236,AY236,BA236),0)))</x:f>
      </x:c>
      <x:c r="BF236" s="10" t="n">
        <x:f>IFERROR((AX236-BB236)/BB236,"")</x:f>
        <x:v>0.7142857142857141</x:v>
      </x:c>
      <x:c r="BG236" s="10" t="n">
        <x:f>IFERROR((AY236-BD236)/BD236,"")</x:f>
        <x:v>0.6067247658688867</x:v>
      </x:c>
    </x:row>
    <x:row r="237">
      <x:c r="A237" t="str">
        <x:v>Disenrolled Exclusion</x:v>
      </x:c>
      <x:c r="B237" t="str">
        <x:v>Create / Refresh All Templates</x:v>
      </x:c>
      <x:c r="C237" t="str">
        <x:v>Apply hidden/show column settings: Template - Disenrolled Exclusion</x:v>
      </x:c>
      <x:c r="D237" s="8" t="n">
        <x:v>0.002</x:v>
      </x:c>
      <x:c r="E237" s="8" t="n">
        <x:v>166.265</x:v>
      </x:c>
      <x:c r="F237" s="8" t="n">
        <x:v>0.002</x:v>
      </x:c>
      <x:c r="G237" s="8" t="n">
        <x:v>166.265</x:v>
      </x:c>
      <x:c r="H237" s="8" t="n">
        <x:v>0.002</x:v>
      </x:c>
      <x:c r="I237" s="8" t="n">
        <x:v>209.818</x:v>
      </x:c>
      <x:c r="J237" s="8" t="n">
        <x:v>0.002</x:v>
      </x:c>
      <x:c r="K237" s="8" t="n">
        <x:v>209.818</x:v>
      </x:c>
      <x:c r="L237" s="8" t="n">
        <x:v>0.005</x:v>
      </x:c>
      <x:c r="M237" s="8" t="n">
        <x:v>207.577</x:v>
      </x:c>
      <x:c r="N237" s="8" t="n">
        <x:v>0.005</x:v>
      </x:c>
      <x:c r="O237" s="8" t="n">
        <x:v>207.577</x:v>
      </x:c>
      <x:c r="P237" s="8" t="n">
        <x:v>0.002</x:v>
      </x:c>
      <x:c r="Q237" s="8" t="n">
        <x:v>138.386</x:v>
      </x:c>
      <x:c r="R237" s="8" t="n">
        <x:v>0.002</x:v>
      </x:c>
      <x:c r="S237" s="8" t="n">
        <x:v>138.386</x:v>
      </x:c>
      <x:c r="T237" s="8" t="n">
        <x:v>0.002</x:v>
      </x:c>
      <x:c r="U237" s="8" t="n">
        <x:v>166.412</x:v>
      </x:c>
      <x:c r="V237" s="8" t="n">
        <x:v>0.002</x:v>
      </x:c>
      <x:c r="W237" s="8" t="n">
        <x:v>166.412</x:v>
      </x:c>
      <x:c r="X237" s="8" t="n">
        <x:v>0.001</x:v>
      </x:c>
      <x:c r="Y237" s="8" t="n">
        <x:v>256.546</x:v>
      </x:c>
      <x:c r="Z237" s="8" t="n">
        <x:v>0.001</x:v>
      </x:c>
      <x:c r="AA237" s="8" t="n">
        <x:v>256.546</x:v>
      </x:c>
      <x:c r="AB237" s="8" t="n">
        <x:v>0.001</x:v>
      </x:c>
      <x:c r="AC237" s="8" t="n">
        <x:v>233.436</x:v>
      </x:c>
      <x:c r="AD237" s="8" t="n">
        <x:v>0.001</x:v>
      </x:c>
      <x:c r="AE237" s="8" t="n">
        <x:v>233.436</x:v>
      </x:c>
      <x:c r="AF237" s="8" t="n">
        <x:v>0.004</x:v>
      </x:c>
      <x:c r="AG237" s="8" t="n">
        <x:v>242.405</x:v>
      </x:c>
      <x:c r="AH237" s="8" t="n">
        <x:v>0.004</x:v>
      </x:c>
      <x:c r="AI237" s="8" t="n">
        <x:v>242.405</x:v>
      </x:c>
      <x:c r="AJ237" s="8" t="n">
        <x:v>0.001</x:v>
      </x:c>
      <x:c r="AK237" s="8" t="n">
        <x:v>191.987</x:v>
      </x:c>
      <x:c r="AL237" s="8" t="n">
        <x:v>0.001</x:v>
      </x:c>
      <x:c r="AM237" s="8" t="n">
        <x:v>191.987</x:v>
      </x:c>
      <x:c r="AN237" s="8" t="n">
        <x:v>0.001</x:v>
      </x:c>
      <x:c r="AO237" s="8" t="n">
        <x:v>165.354</x:v>
      </x:c>
      <x:c r="AP237" s="8" t="n">
        <x:v>0.001</x:v>
      </x:c>
      <x:c r="AQ237" s="8" t="n">
        <x:v>165.354</x:v>
      </x:c>
      <x:c r="AR237" s="8" t="n">
        <x:v>0.013</x:v>
      </x:c>
      <x:c r="AS237" s="8" t="n">
        <x:v>258.242</x:v>
      </x:c>
      <x:c r="AT237" s="8" t="n">
        <x:v>0.003</x:v>
      </x:c>
      <x:c r="AU237" s="8" t="n">
        <x:v>181.497</x:v>
      </x:c>
      <x:c r="AV237" s="8" t="n">
        <x:v>0</x:v>
      </x:c>
      <x:c r="AW237" s="8" t="n">
        <x:v>220.674</x:v>
      </x:c>
      <x:c r="AX237" s="8" t="n">
        <x:v>0.003</x:v>
      </x:c>
      <x:c r="AY237" s="8" t="n">
        <x:v>222.348</x:v>
      </x:c>
      <x:c r="AZ237" s="8" t="n">
        <x:v>0.003</x:v>
      </x:c>
      <x:c r="BA237" s="8" t="n">
        <x:v>222.348</x:v>
      </x:c>
      <x:c r="BB237" s="8" t="n">
        <x:f>LET(m,MIN(IF(D237&gt;0,D237,1E+99),IF(F237&gt;0,F237,1E+99),IF(H237&gt;0,H237,1E+99),IF(J237&gt;0,J237,1E+99),IF(L237&gt;0,L237,1E+99),IF(N237&gt;0,N237,1E+99),IF(P237&gt;0,P237,1E+99),IF(R237&gt;0,R237,1E+99),IF(T237&gt;0,T237,1E+99),IF(V237&gt;0,V237,1E+99),IF(X237&gt;0,X237,1E+99),IF(Z237&gt;0,Z237,1E+99),IF(AB237&gt;0,AB237,1E+99),IF(AD237&gt;0,AD237,1E+99),IF(AF237&gt;0,AF237,1E+99),IF(AH237&gt;0,AH237,1E+99),IF(AJ237&gt;0,AJ237,1E+99),IF(AL237&gt;0,AL237,1E+99),IF(AN237&gt;0,AN237,1E+99),IF(AP237&gt;0,AP237,1E+99),IF(AR237&gt;0,AR237,1E+99),IF(AT237&gt;0,AT237,1E+99),IF(AV237&gt;0,AV237,1E+99),IF(AX237&gt;0,AX237,1E+99),IF(AZ237&gt;0,AZ237,1E+99)),IF(m=1E+99,"",m))</x:f>
        <x:v>0.001</x:v>
      </x:c>
      <x:c r="BC237" s="12" t="e">
        <x:f>IF(BB237="","",INDEX({"v1.4.20","v1.4.20","v1.4.21","v1.4.21","v1.4.23","v1.4.23","v1.4.26","v1.4.26","v1.4.26.1","v1.4.26.1","v1.4.27","v1.4.27","v1.4.29","v1.4.29","v1.4.30","v1.4.30","v1.4.31","v1.4.31","v1.4.33","v1.4.33","v1.4.35","v1.4.35.2","v1.5","v1.5.1","v1.5.1"},MATCH(BB237,CHOOSE({1,2,3,4,5,6,7,8,9,10,11,12,13,14,15,16,17,18,19,20,21,22,23,24,25},D237,F237,H237,J237,L237,N237,P237,R237,T237,V237,X237,Z237,AB237,AD237,AF237,AH237,AJ237,AL237,AN237,AP237,AR237,AT237,AV237,AX237,AZ237),0)))</x:f>
      </x:c>
      <x:c r="BD237" s="14" t="n">
        <x:f>LET(m,MIN(IF(E237&gt;0,E237,1E+99),IF(G237&gt;0,G237,1E+99),IF(I237&gt;0,I237,1E+99),IF(K237&gt;0,K237,1E+99),IF(M237&gt;0,M237,1E+99),IF(O237&gt;0,O237,1E+99),IF(Q237&gt;0,Q237,1E+99),IF(S237&gt;0,S237,1E+99),IF(U237&gt;0,U237,1E+99),IF(W237&gt;0,W237,1E+99),IF(Y237&gt;0,Y237,1E+99),IF(AA237&gt;0,AA237,1E+99),IF(AC237&gt;0,AC237,1E+99),IF(AE237&gt;0,AE237,1E+99),IF(AG237&gt;0,AG237,1E+99),IF(AI237&gt;0,AI237,1E+99),IF(AK237&gt;0,AK237,1E+99),IF(AM237&gt;0,AM237,1E+99),IF(AO237&gt;0,AO237,1E+99),IF(AQ237&gt;0,AQ237,1E+99),IF(AS237&gt;0,AS237,1E+99),IF(AU237&gt;0,AU237,1E+99),IF(AW237&gt;0,AW237,1E+99),IF(AY237&gt;0,AY237,1E+99),IF(BA237&gt;0,BA237,1E+99)),IF(m=1E+99,"",m))</x:f>
        <x:v>138.386</x:v>
      </x:c>
      <x:c r="BE237" s="16" t="e">
        <x:f>IF(BD237="","",INDEX({"v1.4.20","v1.4.20","v1.4.21","v1.4.21","v1.4.23","v1.4.23","v1.4.26","v1.4.26","v1.4.26.1","v1.4.26.1","v1.4.27","v1.4.27","v1.4.29","v1.4.29","v1.4.30","v1.4.30","v1.4.31","v1.4.31","v1.4.33","v1.4.33","v1.4.35","v1.4.35.2","v1.5","v1.5.1","v1.5.1"},MATCH(BD237,CHOOSE({1,2,3,4,5,6,7,8,9,10,11,12,13,14,15,16,17,18,19,20,21,22,23,24,25},E237,G237,I237,K237,M237,O237,Q237,S237,U237,W237,Y237,AA237,AC237,AE237,AG237,AI237,AK237,AM237,AO237,AQ237,AS237,AU237,AW237,AY237,BA237),0)))</x:f>
      </x:c>
      <x:c r="BF237" s="10" t="n">
        <x:f>IFERROR((AX237-BB237)/BB237,"")</x:f>
        <x:v>2</x:v>
      </x:c>
      <x:c r="BG237" s="10" t="n">
        <x:f>IFERROR((AY237-BD237)/BD237,"")</x:f>
        <x:v>0.6067232234474587</x:v>
      </x:c>
    </x:row>
    <x:row r="238">
      <x:c r="A238" t="str">
        <x:v>Disenrolled Exclusion</x:v>
      </x:c>
      <x:c r="B238" t="str">
        <x:v>Create / Refresh All Templates</x:v>
      </x:c>
      <x:c r="C238" t="str">
        <x:v>No existing filter to remove: Template - Disenrolled Exclusion</x:v>
      </x:c>
      <x:c r="D238" s="8" t="n">
        <x:v>0.794</x:v>
      </x:c>
      <x:c r="E238" s="8" t="n">
        <x:v>167.059</x:v>
      </x:c>
      <x:c r="F238" s="8" t="n">
        <x:v>0.794</x:v>
      </x:c>
      <x:c r="G238" s="8" t="n">
        <x:v>167.059</x:v>
      </x:c>
      <x:c r="H238" s="8" t="n">
        <x:v>0.233</x:v>
      </x:c>
      <x:c r="I238" s="8" t="n">
        <x:v>210.051</x:v>
      </x:c>
      <x:c r="J238" s="8" t="n">
        <x:v>0.233</x:v>
      </x:c>
      <x:c r="K238" s="8" t="n">
        <x:v>210.051</x:v>
      </x:c>
      <x:c r="L238" s="8" t="n">
        <x:v>0.19</x:v>
      </x:c>
      <x:c r="M238" s="8" t="n">
        <x:v>207.767</x:v>
      </x:c>
      <x:c r="N238" s="8" t="n">
        <x:v>0.19</x:v>
      </x:c>
      <x:c r="O238" s="8" t="n">
        <x:v>207.767</x:v>
      </x:c>
      <x:c r="P238" s="8" t="n">
        <x:v>0.173</x:v>
      </x:c>
      <x:c r="Q238" s="8" t="n">
        <x:v>138.559</x:v>
      </x:c>
      <x:c r="R238" s="8" t="n">
        <x:v>0.173</x:v>
      </x:c>
      <x:c r="S238" s="8" t="n">
        <x:v>138.559</x:v>
      </x:c>
      <x:c r="T238" s="8" t="n">
        <x:v>0.224</x:v>
      </x:c>
      <x:c r="U238" s="8" t="n">
        <x:v>166.636</x:v>
      </x:c>
      <x:c r="V238" s="8" t="n">
        <x:v>0.224</x:v>
      </x:c>
      <x:c r="W238" s="8" t="n">
        <x:v>166.636</x:v>
      </x:c>
      <x:c r="X238" s="8" t="n">
        <x:v>0.223</x:v>
      </x:c>
      <x:c r="Y238" s="8" t="n">
        <x:v>256.769</x:v>
      </x:c>
      <x:c r="Z238" s="8" t="n">
        <x:v>0.223</x:v>
      </x:c>
      <x:c r="AA238" s="8" t="n">
        <x:v>256.769</x:v>
      </x:c>
      <x:c r="AB238" s="8" t="n">
        <x:v>1.226</x:v>
      </x:c>
      <x:c r="AC238" s="8" t="n">
        <x:v>234.662</x:v>
      </x:c>
      <x:c r="AD238" s="8" t="n">
        <x:v>1.226</x:v>
      </x:c>
      <x:c r="AE238" s="8" t="n">
        <x:v>234.662</x:v>
      </x:c>
      <x:c r="AF238" s="8" t="n">
        <x:v>0.13</x:v>
      </x:c>
      <x:c r="AG238" s="8" t="n">
        <x:v>242.535</x:v>
      </x:c>
      <x:c r="AH238" s="8" t="n">
        <x:v>0.13</x:v>
      </x:c>
      <x:c r="AI238" s="8" t="n">
        <x:v>242.535</x:v>
      </x:c>
      <x:c r="AJ238" s="8" t="n">
        <x:v>0.138</x:v>
      </x:c>
      <x:c r="AK238" s="8" t="n">
        <x:v>192.125</x:v>
      </x:c>
      <x:c r="AL238" s="8" t="n">
        <x:v>0.138</x:v>
      </x:c>
      <x:c r="AM238" s="8" t="n">
        <x:v>192.125</x:v>
      </x:c>
      <x:c r="AN238" s="8" t="n">
        <x:v>1.296</x:v>
      </x:c>
      <x:c r="AO238" s="8" t="n">
        <x:v>166.65</x:v>
      </x:c>
      <x:c r="AP238" s="8" t="n">
        <x:v>1.296</x:v>
      </x:c>
      <x:c r="AQ238" s="8" t="n">
        <x:v>166.65</x:v>
      </x:c>
      <x:c r="AR238" s="8" t="n">
        <x:v>0.197</x:v>
      </x:c>
      <x:c r="AS238" s="8" t="n">
        <x:v>258.439</x:v>
      </x:c>
      <x:c r="AT238" s="8" t="n">
        <x:v>0.144</x:v>
      </x:c>
      <x:c r="AU238" s="8" t="n">
        <x:v>181.641</x:v>
      </x:c>
      <x:c r="AV238" s="8" t="n">
        <x:v>0.19</x:v>
      </x:c>
      <x:c r="AW238" s="8" t="n">
        <x:v>220.864</x:v>
      </x:c>
      <x:c r="AX238" s="8" t="n">
        <x:v>0.216</x:v>
      </x:c>
      <x:c r="AY238" s="8" t="n">
        <x:v>222.564</x:v>
      </x:c>
      <x:c r="AZ238" s="8" t="n">
        <x:v>0.216</x:v>
      </x:c>
      <x:c r="BA238" s="8" t="n">
        <x:v>222.564</x:v>
      </x:c>
      <x:c r="BB238" s="8" t="n">
        <x:f>LET(m,MIN(IF(D238&gt;0,D238,1E+99),IF(F238&gt;0,F238,1E+99),IF(H238&gt;0,H238,1E+99),IF(J238&gt;0,J238,1E+99),IF(L238&gt;0,L238,1E+99),IF(N238&gt;0,N238,1E+99),IF(P238&gt;0,P238,1E+99),IF(R238&gt;0,R238,1E+99),IF(T238&gt;0,T238,1E+99),IF(V238&gt;0,V238,1E+99),IF(X238&gt;0,X238,1E+99),IF(Z238&gt;0,Z238,1E+99),IF(AB238&gt;0,AB238,1E+99),IF(AD238&gt;0,AD238,1E+99),IF(AF238&gt;0,AF238,1E+99),IF(AH238&gt;0,AH238,1E+99),IF(AJ238&gt;0,AJ238,1E+99),IF(AL238&gt;0,AL238,1E+99),IF(AN238&gt;0,AN238,1E+99),IF(AP238&gt;0,AP238,1E+99),IF(AR238&gt;0,AR238,1E+99),IF(AT238&gt;0,AT238,1E+99),IF(AV238&gt;0,AV238,1E+99),IF(AX238&gt;0,AX238,1E+99),IF(AZ238&gt;0,AZ238,1E+99)),IF(m=1E+99,"",m))</x:f>
        <x:v>0.13</x:v>
      </x:c>
      <x:c r="BC238" s="12" t="e">
        <x:f>IF(BB238="","",INDEX({"v1.4.20","v1.4.20","v1.4.21","v1.4.21","v1.4.23","v1.4.23","v1.4.26","v1.4.26","v1.4.26.1","v1.4.26.1","v1.4.27","v1.4.27","v1.4.29","v1.4.29","v1.4.30","v1.4.30","v1.4.31","v1.4.31","v1.4.33","v1.4.33","v1.4.35","v1.4.35.2","v1.5","v1.5.1","v1.5.1"},MATCH(BB238,CHOOSE({1,2,3,4,5,6,7,8,9,10,11,12,13,14,15,16,17,18,19,20,21,22,23,24,25},D238,F238,H238,J238,L238,N238,P238,R238,T238,V238,X238,Z238,AB238,AD238,AF238,AH238,AJ238,AL238,AN238,AP238,AR238,AT238,AV238,AX238,AZ238),0)))</x:f>
      </x:c>
      <x:c r="BD238" s="14" t="n">
        <x:f>LET(m,MIN(IF(E238&gt;0,E238,1E+99),IF(G238&gt;0,G238,1E+99),IF(I238&gt;0,I238,1E+99),IF(K238&gt;0,K238,1E+99),IF(M238&gt;0,M238,1E+99),IF(O238&gt;0,O238,1E+99),IF(Q238&gt;0,Q238,1E+99),IF(S238&gt;0,S238,1E+99),IF(U238&gt;0,U238,1E+99),IF(W238&gt;0,W238,1E+99),IF(Y238&gt;0,Y238,1E+99),IF(AA238&gt;0,AA238,1E+99),IF(AC238&gt;0,AC238,1E+99),IF(AE238&gt;0,AE238,1E+99),IF(AG238&gt;0,AG238,1E+99),IF(AI238&gt;0,AI238,1E+99),IF(AK238&gt;0,AK238,1E+99),IF(AM238&gt;0,AM238,1E+99),IF(AO238&gt;0,AO238,1E+99),IF(AQ238&gt;0,AQ238,1E+99),IF(AS238&gt;0,AS238,1E+99),IF(AU238&gt;0,AU238,1E+99),IF(AW238&gt;0,AW238,1E+99),IF(AY238&gt;0,AY238,1E+99),IF(BA238&gt;0,BA238,1E+99)),IF(m=1E+99,"",m))</x:f>
        <x:v>138.559</x:v>
      </x:c>
      <x:c r="BE238" s="16" t="e">
        <x:f>IF(BD238="","",INDEX({"v1.4.20","v1.4.20","v1.4.21","v1.4.21","v1.4.23","v1.4.23","v1.4.26","v1.4.26","v1.4.26.1","v1.4.26.1","v1.4.27","v1.4.27","v1.4.29","v1.4.29","v1.4.30","v1.4.30","v1.4.31","v1.4.31","v1.4.33","v1.4.33","v1.4.35","v1.4.35.2","v1.5","v1.5.1","v1.5.1"},MATCH(BD238,CHOOSE({1,2,3,4,5,6,7,8,9,10,11,12,13,14,15,16,17,18,19,20,21,22,23,24,25},E238,G238,I238,K238,M238,O238,Q238,S238,U238,W238,Y238,AA238,AC238,AE238,AG238,AI238,AK238,AM238,AO238,AQ238,AS238,AU238,AW238,AY238,BA238),0)))</x:f>
      </x:c>
      <x:c r="BF238" s="10" t="n">
        <x:f>IFERROR((AX238-BB238)/BB238,"")</x:f>
        <x:v>0.6615384615384614</x:v>
      </x:c>
      <x:c r="BG238" s="10" t="n">
        <x:f>IFERROR((AY238-BD238)/BD238,"")</x:f>
        <x:v>0.6062760268189002</x:v>
      </x:c>
    </x:row>
    <x:row r="239">
      <x:c r="A239" t="str">
        <x:v>Disenrolled Exclusion</x:v>
      </x:c>
      <x:c r="B239" t="str">
        <x:v>Create / Refresh All Templates</x:v>
      </x:c>
      <x:c r="C239" t="str">
        <x:v>Create filter: Template - Disenrolled Exclusion</x:v>
      </x:c>
      <x:c r="D239" s="8" t="n">
        <x:v>2.25</x:v>
      </x:c>
      <x:c r="E239" s="8" t="n">
        <x:v>169.309</x:v>
      </x:c>
      <x:c r="F239" s="8" t="n">
        <x:v>2.25</x:v>
      </x:c>
      <x:c r="G239" s="8" t="n">
        <x:v>169.309</x:v>
      </x:c>
      <x:c r="H239" s="8" t="n">
        <x:v>3.926</x:v>
      </x:c>
      <x:c r="I239" s="8" t="n">
        <x:v>213.977</x:v>
      </x:c>
      <x:c r="J239" s="8" t="n">
        <x:v>3.926</x:v>
      </x:c>
      <x:c r="K239" s="8" t="n">
        <x:v>213.977</x:v>
      </x:c>
      <x:c r="L239" s="8" t="n">
        <x:v>2.735</x:v>
      </x:c>
      <x:c r="M239" s="8" t="n">
        <x:v>210.502</x:v>
      </x:c>
      <x:c r="N239" s="8" t="n">
        <x:v>2.735</x:v>
      </x:c>
      <x:c r="O239" s="8" t="n">
        <x:v>210.502</x:v>
      </x:c>
      <x:c r="P239" s="8" t="n">
        <x:v>1.825</x:v>
      </x:c>
      <x:c r="Q239" s="8" t="n">
        <x:v>140.384</x:v>
      </x:c>
      <x:c r="R239" s="8" t="n">
        <x:v>1.825</x:v>
      </x:c>
      <x:c r="S239" s="8" t="n">
        <x:v>140.384</x:v>
      </x:c>
      <x:c r="T239" s="8" t="n">
        <x:v>1.954</x:v>
      </x:c>
      <x:c r="U239" s="8" t="n">
        <x:v>168.59</x:v>
      </x:c>
      <x:c r="V239" s="8" t="n">
        <x:v>1.954</x:v>
      </x:c>
      <x:c r="W239" s="8" t="n">
        <x:v>168.59</x:v>
      </x:c>
      <x:c r="X239" s="8" t="n">
        <x:v>3.004</x:v>
      </x:c>
      <x:c r="Y239" s="8" t="n">
        <x:v>259.773</x:v>
      </x:c>
      <x:c r="Z239" s="8" t="n">
        <x:v>3.004</x:v>
      </x:c>
      <x:c r="AA239" s="8" t="n">
        <x:v>259.773</x:v>
      </x:c>
      <x:c r="AB239" s="8" t="n">
        <x:v>2.311</x:v>
      </x:c>
      <x:c r="AC239" s="8" t="n">
        <x:v>236.973</x:v>
      </x:c>
      <x:c r="AD239" s="8" t="n">
        <x:v>2.311</x:v>
      </x:c>
      <x:c r="AE239" s="8" t="n">
        <x:v>236.973</x:v>
      </x:c>
      <x:c r="AF239" s="8" t="n">
        <x:v>3.039</x:v>
      </x:c>
      <x:c r="AG239" s="8" t="n">
        <x:v>245.574</x:v>
      </x:c>
      <x:c r="AH239" s="8" t="n">
        <x:v>3.039</x:v>
      </x:c>
      <x:c r="AI239" s="8" t="n">
        <x:v>245.574</x:v>
      </x:c>
      <x:c r="AJ239" s="8" t="n">
        <x:v>3.467</x:v>
      </x:c>
      <x:c r="AK239" s="8" t="n">
        <x:v>195.592</x:v>
      </x:c>
      <x:c r="AL239" s="8" t="n">
        <x:v>3.467</x:v>
      </x:c>
      <x:c r="AM239" s="8" t="n">
        <x:v>195.592</x:v>
      </x:c>
      <x:c r="AN239" s="8" t="n">
        <x:v>1.711</x:v>
      </x:c>
      <x:c r="AO239" s="8" t="n">
        <x:v>168.361</x:v>
      </x:c>
      <x:c r="AP239" s="8" t="n">
        <x:v>1.711</x:v>
      </x:c>
      <x:c r="AQ239" s="8" t="n">
        <x:v>168.361</x:v>
      </x:c>
      <x:c r="AR239" s="8" t="n">
        <x:v>3.027</x:v>
      </x:c>
      <x:c r="AS239" s="8" t="n">
        <x:v>261.466</x:v>
      </x:c>
      <x:c r="AT239" s="8" t="n">
        <x:v>1.959</x:v>
      </x:c>
      <x:c r="AU239" s="8" t="n">
        <x:v>183.6</x:v>
      </x:c>
      <x:c r="AV239" s="8" t="n">
        <x:v>3.055</x:v>
      </x:c>
      <x:c r="AW239" s="8" t="n">
        <x:v>223.919</x:v>
      </x:c>
      <x:c r="AX239" s="8" t="n">
        <x:v>2.868</x:v>
      </x:c>
      <x:c r="AY239" s="8" t="n">
        <x:v>225.432</x:v>
      </x:c>
      <x:c r="AZ239" s="8" t="n">
        <x:v>2.868</x:v>
      </x:c>
      <x:c r="BA239" s="8" t="n">
        <x:v>225.432</x:v>
      </x:c>
      <x:c r="BB239" s="8" t="n">
        <x:f>LET(m,MIN(IF(D239&gt;0,D239,1E+99),IF(F239&gt;0,F239,1E+99),IF(H239&gt;0,H239,1E+99),IF(J239&gt;0,J239,1E+99),IF(L239&gt;0,L239,1E+99),IF(N239&gt;0,N239,1E+99),IF(P239&gt;0,P239,1E+99),IF(R239&gt;0,R239,1E+99),IF(T239&gt;0,T239,1E+99),IF(V239&gt;0,V239,1E+99),IF(X239&gt;0,X239,1E+99),IF(Z239&gt;0,Z239,1E+99),IF(AB239&gt;0,AB239,1E+99),IF(AD239&gt;0,AD239,1E+99),IF(AF239&gt;0,AF239,1E+99),IF(AH239&gt;0,AH239,1E+99),IF(AJ239&gt;0,AJ239,1E+99),IF(AL239&gt;0,AL239,1E+99),IF(AN239&gt;0,AN239,1E+99),IF(AP239&gt;0,AP239,1E+99),IF(AR239&gt;0,AR239,1E+99),IF(AT239&gt;0,AT239,1E+99),IF(AV239&gt;0,AV239,1E+99),IF(AX239&gt;0,AX239,1E+99),IF(AZ239&gt;0,AZ239,1E+99)),IF(m=1E+99,"",m))</x:f>
        <x:v>1.711</x:v>
      </x:c>
      <x:c r="BC239" s="12" t="e">
        <x:f>IF(BB239="","",INDEX({"v1.4.20","v1.4.20","v1.4.21","v1.4.21","v1.4.23","v1.4.23","v1.4.26","v1.4.26","v1.4.26.1","v1.4.26.1","v1.4.27","v1.4.27","v1.4.29","v1.4.29","v1.4.30","v1.4.30","v1.4.31","v1.4.31","v1.4.33","v1.4.33","v1.4.35","v1.4.35.2","v1.5","v1.5.1","v1.5.1"},MATCH(BB239,CHOOSE({1,2,3,4,5,6,7,8,9,10,11,12,13,14,15,16,17,18,19,20,21,22,23,24,25},D239,F239,H239,J239,L239,N239,P239,R239,T239,V239,X239,Z239,AB239,AD239,AF239,AH239,AJ239,AL239,AN239,AP239,AR239,AT239,AV239,AX239,AZ239),0)))</x:f>
      </x:c>
      <x:c r="BD239" s="14" t="n">
        <x:f>LET(m,MIN(IF(E239&gt;0,E239,1E+99),IF(G239&gt;0,G239,1E+99),IF(I239&gt;0,I239,1E+99),IF(K239&gt;0,K239,1E+99),IF(M239&gt;0,M239,1E+99),IF(O239&gt;0,O239,1E+99),IF(Q239&gt;0,Q239,1E+99),IF(S239&gt;0,S239,1E+99),IF(U239&gt;0,U239,1E+99),IF(W239&gt;0,W239,1E+99),IF(Y239&gt;0,Y239,1E+99),IF(AA239&gt;0,AA239,1E+99),IF(AC239&gt;0,AC239,1E+99),IF(AE239&gt;0,AE239,1E+99),IF(AG239&gt;0,AG239,1E+99),IF(AI239&gt;0,AI239,1E+99),IF(AK239&gt;0,AK239,1E+99),IF(AM239&gt;0,AM239,1E+99),IF(AO239&gt;0,AO239,1E+99),IF(AQ239&gt;0,AQ239,1E+99),IF(AS239&gt;0,AS239,1E+99),IF(AU239&gt;0,AU239,1E+99),IF(AW239&gt;0,AW239,1E+99),IF(AY239&gt;0,AY239,1E+99),IF(BA239&gt;0,BA239,1E+99)),IF(m=1E+99,"",m))</x:f>
        <x:v>140.384</x:v>
      </x:c>
      <x:c r="BE239" s="16" t="e">
        <x:f>IF(BD239="","",INDEX({"v1.4.20","v1.4.20","v1.4.21","v1.4.21","v1.4.23","v1.4.23","v1.4.26","v1.4.26","v1.4.26.1","v1.4.26.1","v1.4.27","v1.4.27","v1.4.29","v1.4.29","v1.4.30","v1.4.30","v1.4.31","v1.4.31","v1.4.33","v1.4.33","v1.4.35","v1.4.35.2","v1.5","v1.5.1","v1.5.1"},MATCH(BD239,CHOOSE({1,2,3,4,5,6,7,8,9,10,11,12,13,14,15,16,17,18,19,20,21,22,23,24,25},E239,G239,I239,K239,M239,O239,Q239,S239,U239,W239,Y239,AA239,AC239,AE239,AG239,AI239,AK239,AM239,AO239,AQ239,AS239,AU239,AW239,AY239,BA239),0)))</x:f>
      </x:c>
      <x:c r="BF239" s="10" t="n">
        <x:f>IFERROR((AX239-BB239)/BB239,"")</x:f>
        <x:v>0.6762127410870834</x:v>
      </x:c>
      <x:c r="BG239" s="10" t="n">
        <x:f>IFERROR((AY239-BD239)/BD239,"")</x:f>
        <x:v>0.605824025529975</x:v>
      </x:c>
    </x:row>
    <x:row r="240">
      <x:c r="A240" t="str">
        <x:v>Disenrolled Exclusion</x:v>
      </x:c>
      <x:c r="B240" t="str">
        <x:v>Create / Refresh All Templates</x:v>
      </x:c>
      <x:c r="C240" t="str">
        <x:v>Apply row heights skipped for template: Template - Disenrolled Exclusion</x:v>
      </x:c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8"/>
      <x:c r="U240" s="8"/>
      <x:c r="V240" s="8"/>
      <x:c r="W240" s="8"/>
      <x:c r="X240" s="8"/>
      <x:c r="Y240" s="8"/>
      <x:c r="Z240" s="8"/>
      <x:c r="AA240" s="8"/>
      <x:c r="AB240" s="8"/>
      <x:c r="AC240" s="8"/>
      <x:c r="AD240" s="8"/>
      <x:c r="AE240" s="8"/>
      <x:c r="AF240" s="8"/>
      <x:c r="AG240" s="8"/>
      <x:c r="AH240" s="8"/>
      <x:c r="AI240" s="8"/>
      <x:c r="AJ240" s="8"/>
      <x:c r="AK240" s="8"/>
      <x:c r="AL240" s="8"/>
      <x:c r="AM240" s="8"/>
      <x:c r="AN240" s="8"/>
      <x:c r="AO240" s="8"/>
      <x:c r="AP240" s="8"/>
      <x:c r="AQ240" s="8"/>
      <x:c r="AR240" s="8"/>
      <x:c r="AS240" s="8"/>
      <x:c r="AT240" s="8"/>
      <x:c r="AU240" s="8"/>
      <x:c r="AV240" s="8" t="n">
        <x:v>0</x:v>
      </x:c>
      <x:c r="AW240" s="8" t="n">
        <x:v>223.919</x:v>
      </x:c>
      <x:c r="AX240" s="8" t="n">
        <x:v>0</x:v>
      </x:c>
      <x:c r="AY240" s="8" t="n">
        <x:v>225.432</x:v>
      </x:c>
      <x:c r="AZ240" s="8" t="n">
        <x:v>0</x:v>
      </x:c>
      <x:c r="BA240" s="8" t="n">
        <x:v>225.432</x:v>
      </x:c>
      <x:c r="BB240" s="8" t="str">
        <x:f>LET(m,MIN(IF(D240&gt;0,D240,1E+99),IF(F240&gt;0,F240,1E+99),IF(H240&gt;0,H240,1E+99),IF(J240&gt;0,J240,1E+99),IF(L240&gt;0,L240,1E+99),IF(N240&gt;0,N240,1E+99),IF(P240&gt;0,P240,1E+99),IF(R240&gt;0,R240,1E+99),IF(T240&gt;0,T240,1E+99),IF(V240&gt;0,V240,1E+99),IF(X240&gt;0,X240,1E+99),IF(Z240&gt;0,Z240,1E+99),IF(AB240&gt;0,AB240,1E+99),IF(AD240&gt;0,AD240,1E+99),IF(AF240&gt;0,AF240,1E+99),IF(AH240&gt;0,AH240,1E+99),IF(AJ240&gt;0,AJ240,1E+99),IF(AL240&gt;0,AL240,1E+99),IF(AN240&gt;0,AN240,1E+99),IF(AP240&gt;0,AP240,1E+99),IF(AR240&gt;0,AR240,1E+99),IF(AT240&gt;0,AT240,1E+99),IF(AV240&gt;0,AV240,1E+99),IF(AX240&gt;0,AX240,1E+99),IF(AZ240&gt;0,AZ240,1E+99)),IF(m=1E+99,"",m))</x:f>
      </x:c>
      <x:c r="BC240" s="12" t="str">
        <x:f>IF(BB240="","",INDEX({"v1.4.20","v1.4.20","v1.4.21","v1.4.21","v1.4.23","v1.4.23","v1.4.26","v1.4.26","v1.4.26.1","v1.4.26.1","v1.4.27","v1.4.27","v1.4.29","v1.4.29","v1.4.30","v1.4.30","v1.4.31","v1.4.31","v1.4.33","v1.4.33","v1.4.35","v1.4.35.2","v1.5","v1.5.1","v1.5.1"},MATCH(BB240,CHOOSE({1,2,3,4,5,6,7,8,9,10,11,12,13,14,15,16,17,18,19,20,21,22,23,24,25},D240,F240,H240,J240,L240,N240,P240,R240,T240,V240,X240,Z240,AB240,AD240,AF240,AH240,AJ240,AL240,AN240,AP240,AR240,AT240,AV240,AX240,AZ240),0)))</x:f>
      </x:c>
      <x:c r="BD240" s="14" t="n">
        <x:f>LET(m,MIN(IF(E240&gt;0,E240,1E+99),IF(G240&gt;0,G240,1E+99),IF(I240&gt;0,I240,1E+99),IF(K240&gt;0,K240,1E+99),IF(M240&gt;0,M240,1E+99),IF(O240&gt;0,O240,1E+99),IF(Q240&gt;0,Q240,1E+99),IF(S240&gt;0,S240,1E+99),IF(U240&gt;0,U240,1E+99),IF(W240&gt;0,W240,1E+99),IF(Y240&gt;0,Y240,1E+99),IF(AA240&gt;0,AA240,1E+99),IF(AC240&gt;0,AC240,1E+99),IF(AE240&gt;0,AE240,1E+99),IF(AG240&gt;0,AG240,1E+99),IF(AI240&gt;0,AI240,1E+99),IF(AK240&gt;0,AK240,1E+99),IF(AM240&gt;0,AM240,1E+99),IF(AO240&gt;0,AO240,1E+99),IF(AQ240&gt;0,AQ240,1E+99),IF(AS240&gt;0,AS240,1E+99),IF(AU240&gt;0,AU240,1E+99),IF(AW240&gt;0,AW240,1E+99),IF(AY240&gt;0,AY240,1E+99),IF(BA240&gt;0,BA240,1E+99)),IF(m=1E+99,"",m))</x:f>
        <x:v>223.919</x:v>
      </x:c>
      <x:c r="BE240" s="16" t="e">
        <x:f>IF(BD240="","",INDEX({"v1.4.20","v1.4.20","v1.4.21","v1.4.21","v1.4.23","v1.4.23","v1.4.26","v1.4.26","v1.4.26.1","v1.4.26.1","v1.4.27","v1.4.27","v1.4.29","v1.4.29","v1.4.30","v1.4.30","v1.4.31","v1.4.31","v1.4.33","v1.4.33","v1.4.35","v1.4.35.2","v1.5","v1.5.1","v1.5.1"},MATCH(BD240,CHOOSE({1,2,3,4,5,6,7,8,9,10,11,12,13,14,15,16,17,18,19,20,21,22,23,24,25},E240,G240,I240,K240,M240,O240,Q240,S240,U240,W240,Y240,AA240,AC240,AE240,AG240,AI240,AK240,AM240,AO240,AQ240,AS240,AU240,AW240,AY240,BA240),0)))</x:f>
      </x:c>
      <x:c r="BF240" s="10" t="str">
        <x:f>IFERROR((AX240-BB240)/BB240,"")</x:f>
      </x:c>
      <x:c r="BG240" s="10" t="n">
        <x:f>IFERROR((AY240-BD240)/BD240,"")</x:f>
        <x:v>0.006756907631777459</x:v>
      </x:c>
    </x:row>
    <x:row r="241">
      <x:c r="A241" t="str">
        <x:v>Disenrolled Exclusion</x:v>
      </x:c>
      <x:c r="B241" t="str">
        <x:v>Create / Refresh All Templates</x:v>
      </x:c>
      <x:c r="C241" t="str">
        <x:v>Apply full template formatting: Template - Disenrolled Exclusion</x:v>
      </x:c>
      <x:c r="D241" s="8" t="n">
        <x:v>0</x:v>
      </x:c>
      <x:c r="E241" s="8" t="n">
        <x:v>169.315</x:v>
      </x:c>
      <x:c r="F241" s="8" t="n">
        <x:v>0</x:v>
      </x:c>
      <x:c r="G241" s="8" t="n">
        <x:v>169.315</x:v>
      </x:c>
      <x:c r="H241" s="8" t="n">
        <x:v>0</x:v>
      </x:c>
      <x:c r="I241" s="8" t="n">
        <x:v>214.003</x:v>
      </x:c>
      <x:c r="J241" s="8" t="n">
        <x:v>0</x:v>
      </x:c>
      <x:c r="K241" s="8" t="n">
        <x:v>214.003</x:v>
      </x:c>
      <x:c r="L241" s="8" t="n">
        <x:v>0</x:v>
      </x:c>
      <x:c r="M241" s="8" t="n">
        <x:v>210.516</x:v>
      </x:c>
      <x:c r="N241" s="8" t="n">
        <x:v>0</x:v>
      </x:c>
      <x:c r="O241" s="8" t="n">
        <x:v>210.516</x:v>
      </x:c>
      <x:c r="P241" s="8" t="n">
        <x:v>0</x:v>
      </x:c>
      <x:c r="Q241" s="8" t="n">
        <x:v>140.392</x:v>
      </x:c>
      <x:c r="R241" s="8" t="n">
        <x:v>0</x:v>
      </x:c>
      <x:c r="S241" s="8" t="n">
        <x:v>140.392</x:v>
      </x:c>
      <x:c r="T241" s="8" t="n">
        <x:v>0</x:v>
      </x:c>
      <x:c r="U241" s="8" t="n">
        <x:v>170.294</x:v>
      </x:c>
      <x:c r="V241" s="8" t="n">
        <x:v>0</x:v>
      </x:c>
      <x:c r="W241" s="8" t="n">
        <x:v>170.294</x:v>
      </x:c>
      <x:c r="X241" s="8" t="n">
        <x:v>0</x:v>
      </x:c>
      <x:c r="Y241" s="8" t="n">
        <x:v>259.781</x:v>
      </x:c>
      <x:c r="Z241" s="8" t="n">
        <x:v>0</x:v>
      </x:c>
      <x:c r="AA241" s="8" t="n">
        <x:v>259.781</x:v>
      </x:c>
      <x:c r="AB241" s="8" t="n">
        <x:v>0</x:v>
      </x:c>
      <x:c r="AC241" s="8" t="n">
        <x:v>238.495</x:v>
      </x:c>
      <x:c r="AD241" s="8" t="n">
        <x:v>0</x:v>
      </x:c>
      <x:c r="AE241" s="8" t="n">
        <x:v>238.495</x:v>
      </x:c>
      <x:c r="AF241" s="8" t="n">
        <x:v>0</x:v>
      </x:c>
      <x:c r="AG241" s="8" t="n">
        <x:v>246.806</x:v>
      </x:c>
      <x:c r="AH241" s="8" t="n">
        <x:v>0</x:v>
      </x:c>
      <x:c r="AI241" s="8" t="n">
        <x:v>246.806</x:v>
      </x:c>
      <x:c r="AJ241" s="8" t="n">
        <x:v>0</x:v>
      </x:c>
      <x:c r="AK241" s="8" t="n">
        <x:v>196.826</x:v>
      </x:c>
      <x:c r="AL241" s="8" t="n">
        <x:v>0</x:v>
      </x:c>
      <x:c r="AM241" s="8" t="n">
        <x:v>196.826</x:v>
      </x:c>
      <x:c r="AN241" s="8" t="n">
        <x:v>0</x:v>
      </x:c>
      <x:c r="AO241" s="8" t="n">
        <x:v>169.11</x:v>
      </x:c>
      <x:c r="AP241" s="8" t="n">
        <x:v>0</x:v>
      </x:c>
      <x:c r="AQ241" s="8" t="n">
        <x:v>169.11</x:v>
      </x:c>
      <x:c r="AR241" s="8" t="n">
        <x:v>0</x:v>
      </x:c>
      <x:c r="AS241" s="8" t="n">
        <x:v>261.495</x:v>
      </x:c>
      <x:c r="AT241" s="8" t="n">
        <x:v>0</x:v>
      </x:c>
      <x:c r="AU241" s="8" t="n">
        <x:v>183.616</x:v>
      </x:c>
      <x:c r="AV241" s="8" t="n">
        <x:v>0</x:v>
      </x:c>
      <x:c r="AW241" s="8" t="n">
        <x:v>223.919</x:v>
      </x:c>
      <x:c r="AX241" s="8" t="n">
        <x:v>0</x:v>
      </x:c>
      <x:c r="AY241" s="8" t="n">
        <x:v>225.432</x:v>
      </x:c>
      <x:c r="AZ241" s="8" t="n">
        <x:v>0</x:v>
      </x:c>
      <x:c r="BA241" s="8" t="n">
        <x:v>225.432</x:v>
      </x:c>
      <x:c r="BB241" s="8" t="str">
        <x:f>LET(m,MIN(IF(D241&gt;0,D241,1E+99),IF(F241&gt;0,F241,1E+99),IF(H241&gt;0,H241,1E+99),IF(J241&gt;0,J241,1E+99),IF(L241&gt;0,L241,1E+99),IF(N241&gt;0,N241,1E+99),IF(P241&gt;0,P241,1E+99),IF(R241&gt;0,R241,1E+99),IF(T241&gt;0,T241,1E+99),IF(V241&gt;0,V241,1E+99),IF(X241&gt;0,X241,1E+99),IF(Z241&gt;0,Z241,1E+99),IF(AB241&gt;0,AB241,1E+99),IF(AD241&gt;0,AD241,1E+99),IF(AF241&gt;0,AF241,1E+99),IF(AH241&gt;0,AH241,1E+99),IF(AJ241&gt;0,AJ241,1E+99),IF(AL241&gt;0,AL241,1E+99),IF(AN241&gt;0,AN241,1E+99),IF(AP241&gt;0,AP241,1E+99),IF(AR241&gt;0,AR241,1E+99),IF(AT241&gt;0,AT241,1E+99),IF(AV241&gt;0,AV241,1E+99),IF(AX241&gt;0,AX241,1E+99),IF(AZ241&gt;0,AZ241,1E+99)),IF(m=1E+99,"",m))</x:f>
      </x:c>
      <x:c r="BC241" s="12" t="str">
        <x:f>IF(BB241="","",INDEX({"v1.4.20","v1.4.20","v1.4.21","v1.4.21","v1.4.23","v1.4.23","v1.4.26","v1.4.26","v1.4.26.1","v1.4.26.1","v1.4.27","v1.4.27","v1.4.29","v1.4.29","v1.4.30","v1.4.30","v1.4.31","v1.4.31","v1.4.33","v1.4.33","v1.4.35","v1.4.35.2","v1.5","v1.5.1","v1.5.1"},MATCH(BB241,CHOOSE({1,2,3,4,5,6,7,8,9,10,11,12,13,14,15,16,17,18,19,20,21,22,23,24,25},D241,F241,H241,J241,L241,N241,P241,R241,T241,V241,X241,Z241,AB241,AD241,AF241,AH241,AJ241,AL241,AN241,AP241,AR241,AT241,AV241,AX241,AZ241),0)))</x:f>
      </x:c>
      <x:c r="BD241" s="14" t="n">
        <x:f>LET(m,MIN(IF(E241&gt;0,E241,1E+99),IF(G241&gt;0,G241,1E+99),IF(I241&gt;0,I241,1E+99),IF(K241&gt;0,K241,1E+99),IF(M241&gt;0,M241,1E+99),IF(O241&gt;0,O241,1E+99),IF(Q241&gt;0,Q241,1E+99),IF(S241&gt;0,S241,1E+99),IF(U241&gt;0,U241,1E+99),IF(W241&gt;0,W241,1E+99),IF(Y241&gt;0,Y241,1E+99),IF(AA241&gt;0,AA241,1E+99),IF(AC241&gt;0,AC241,1E+99),IF(AE241&gt;0,AE241,1E+99),IF(AG241&gt;0,AG241,1E+99),IF(AI241&gt;0,AI241,1E+99),IF(AK241&gt;0,AK241,1E+99),IF(AM241&gt;0,AM241,1E+99),IF(AO241&gt;0,AO241,1E+99),IF(AQ241&gt;0,AQ241,1E+99),IF(AS241&gt;0,AS241,1E+99),IF(AU241&gt;0,AU241,1E+99),IF(AW241&gt;0,AW241,1E+99),IF(AY241&gt;0,AY241,1E+99),IF(BA241&gt;0,BA241,1E+99)),IF(m=1E+99,"",m))</x:f>
        <x:v>140.392</x:v>
      </x:c>
      <x:c r="BE241" s="16" t="e">
        <x:f>IF(BD241="","",INDEX({"v1.4.20","v1.4.20","v1.4.21","v1.4.21","v1.4.23","v1.4.23","v1.4.26","v1.4.26","v1.4.26.1","v1.4.26.1","v1.4.27","v1.4.27","v1.4.29","v1.4.29","v1.4.30","v1.4.30","v1.4.31","v1.4.31","v1.4.33","v1.4.33","v1.4.35","v1.4.35.2","v1.5","v1.5.1","v1.5.1"},MATCH(BD241,CHOOSE({1,2,3,4,5,6,7,8,9,10,11,12,13,14,15,16,17,18,19,20,21,22,23,24,25},E241,G241,I241,K241,M241,O241,Q241,S241,U241,W241,Y241,AA241,AC241,AE241,AG241,AI241,AK241,AM241,AO241,AQ241,AS241,AU241,AW241,AY241,BA241),0)))</x:f>
      </x:c>
      <x:c r="BF241" s="10" t="str">
        <x:f>IFERROR((AX241-BB241)/BB241,"")</x:f>
      </x:c>
      <x:c r="BG241" s="10" t="n">
        <x:f>IFERROR((AY241-BD241)/BD241,"")</x:f>
        <x:v>0.6057325203715311</x:v>
      </x:c>
    </x:row>
    <x:row r="242">
      <x:c r="A242" t="str">
        <x:v>Disenrolled Exclusion</x:v>
      </x:c>
      <x:c r="B242" t="str">
        <x:v>Create / Refresh All Templates</x:v>
      </x:c>
      <x:c r="C242" t="str">
        <x:v>Write metadata/signature: Template - Disenrolled Exclusion</x:v>
      </x:c>
      <x:c r="D242" s="8" t="n">
        <x:v>0.066</x:v>
      </x:c>
      <x:c r="E242" s="8" t="n">
        <x:v>169.381</x:v>
      </x:c>
      <x:c r="F242" s="8" t="n">
        <x:v>0.066</x:v>
      </x:c>
      <x:c r="G242" s="8" t="n">
        <x:v>169.381</x:v>
      </x:c>
      <x:c r="H242" s="8" t="n">
        <x:v>0.054</x:v>
      </x:c>
      <x:c r="I242" s="8" t="n">
        <x:v>214.057</x:v>
      </x:c>
      <x:c r="J242" s="8" t="n">
        <x:v>0.054</x:v>
      </x:c>
      <x:c r="K242" s="8" t="n">
        <x:v>214.057</x:v>
      </x:c>
      <x:c r="L242" s="8" t="n">
        <x:v>0.062</x:v>
      </x:c>
      <x:c r="M242" s="8" t="n">
        <x:v>210.578</x:v>
      </x:c>
      <x:c r="N242" s="8" t="n">
        <x:v>0.062</x:v>
      </x:c>
      <x:c r="O242" s="8" t="n">
        <x:v>210.578</x:v>
      </x:c>
      <x:c r="P242" s="8" t="n">
        <x:v>0.061</x:v>
      </x:c>
      <x:c r="Q242" s="8" t="n">
        <x:v>140.453</x:v>
      </x:c>
      <x:c r="R242" s="8" t="n">
        <x:v>0.061</x:v>
      </x:c>
      <x:c r="S242" s="8" t="n">
        <x:v>140.453</x:v>
      </x:c>
      <x:c r="T242" s="8" t="n">
        <x:v>0.331</x:v>
      </x:c>
      <x:c r="U242" s="8" t="n">
        <x:v>170.625</x:v>
      </x:c>
      <x:c r="V242" s="8" t="n">
        <x:v>0.331</x:v>
      </x:c>
      <x:c r="W242" s="8" t="n">
        <x:v>170.625</x:v>
      </x:c>
      <x:c r="X242" s="8" t="n">
        <x:v>0.069</x:v>
      </x:c>
      <x:c r="Y242" s="8" t="n">
        <x:v>259.85</x:v>
      </x:c>
      <x:c r="Z242" s="8" t="n">
        <x:v>0.069</x:v>
      </x:c>
      <x:c r="AA242" s="8" t="n">
        <x:v>259.85</x:v>
      </x:c>
      <x:c r="AB242" s="8" t="n">
        <x:v>0.095</x:v>
      </x:c>
      <x:c r="AC242" s="8" t="n">
        <x:v>238.59</x:v>
      </x:c>
      <x:c r="AD242" s="8" t="n">
        <x:v>0.095</x:v>
      </x:c>
      <x:c r="AE242" s="8" t="n">
        <x:v>238.59</x:v>
      </x:c>
      <x:c r="AF242" s="8" t="n">
        <x:v>0.047</x:v>
      </x:c>
      <x:c r="AG242" s="8" t="n">
        <x:v>246.853</x:v>
      </x:c>
      <x:c r="AH242" s="8" t="n">
        <x:v>0.047</x:v>
      </x:c>
      <x:c r="AI242" s="8" t="n">
        <x:v>246.853</x:v>
      </x:c>
      <x:c r="AJ242" s="8" t="n">
        <x:v>0.053</x:v>
      </x:c>
      <x:c r="AK242" s="8" t="n">
        <x:v>196.879</x:v>
      </x:c>
      <x:c r="AL242" s="8" t="n">
        <x:v>0.053</x:v>
      </x:c>
      <x:c r="AM242" s="8" t="n">
        <x:v>196.879</x:v>
      </x:c>
      <x:c r="AN242" s="8" t="n">
        <x:v>0.137</x:v>
      </x:c>
      <x:c r="AO242" s="8" t="n">
        <x:v>169.247</x:v>
      </x:c>
      <x:c r="AP242" s="8" t="n">
        <x:v>0.137</x:v>
      </x:c>
      <x:c r="AQ242" s="8" t="n">
        <x:v>169.247</x:v>
      </x:c>
      <x:c r="AR242" s="8" t="n">
        <x:v>0.073</x:v>
      </x:c>
      <x:c r="AS242" s="8" t="n">
        <x:v>261.568</x:v>
      </x:c>
      <x:c r="AT242" s="8" t="n">
        <x:v>0.051</x:v>
      </x:c>
      <x:c r="AU242" s="8" t="n">
        <x:v>183.667</x:v>
      </x:c>
      <x:c r="AV242" s="8" t="n">
        <x:v>0.162</x:v>
      </x:c>
      <x:c r="AW242" s="8" t="n">
        <x:v>224.081</x:v>
      </x:c>
      <x:c r="AX242" s="8" t="n">
        <x:v>0.172</x:v>
      </x:c>
      <x:c r="AY242" s="8" t="n">
        <x:v>225.604</x:v>
      </x:c>
      <x:c r="AZ242" s="8" t="n">
        <x:v>0.172</x:v>
      </x:c>
      <x:c r="BA242" s="8" t="n">
        <x:v>225.604</x:v>
      </x:c>
      <x:c r="BB242" s="8" t="n">
        <x:f>LET(m,MIN(IF(D242&gt;0,D242,1E+99),IF(F242&gt;0,F242,1E+99),IF(H242&gt;0,H242,1E+99),IF(J242&gt;0,J242,1E+99),IF(L242&gt;0,L242,1E+99),IF(N242&gt;0,N242,1E+99),IF(P242&gt;0,P242,1E+99),IF(R242&gt;0,R242,1E+99),IF(T242&gt;0,T242,1E+99),IF(V242&gt;0,V242,1E+99),IF(X242&gt;0,X242,1E+99),IF(Z242&gt;0,Z242,1E+99),IF(AB242&gt;0,AB242,1E+99),IF(AD242&gt;0,AD242,1E+99),IF(AF242&gt;0,AF242,1E+99),IF(AH242&gt;0,AH242,1E+99),IF(AJ242&gt;0,AJ242,1E+99),IF(AL242&gt;0,AL242,1E+99),IF(AN242&gt;0,AN242,1E+99),IF(AP242&gt;0,AP242,1E+99),IF(AR242&gt;0,AR242,1E+99),IF(AT242&gt;0,AT242,1E+99),IF(AV242&gt;0,AV242,1E+99),IF(AX242&gt;0,AX242,1E+99),IF(AZ242&gt;0,AZ242,1E+99)),IF(m=1E+99,"",m))</x:f>
        <x:v>0.047</x:v>
      </x:c>
      <x:c r="BC242" s="12" t="e">
        <x:f>IF(BB242="","",INDEX({"v1.4.20","v1.4.20","v1.4.21","v1.4.21","v1.4.23","v1.4.23","v1.4.26","v1.4.26","v1.4.26.1","v1.4.26.1","v1.4.27","v1.4.27","v1.4.29","v1.4.29","v1.4.30","v1.4.30","v1.4.31","v1.4.31","v1.4.33","v1.4.33","v1.4.35","v1.4.35.2","v1.5","v1.5.1","v1.5.1"},MATCH(BB242,CHOOSE({1,2,3,4,5,6,7,8,9,10,11,12,13,14,15,16,17,18,19,20,21,22,23,24,25},D242,F242,H242,J242,L242,N242,P242,R242,T242,V242,X242,Z242,AB242,AD242,AF242,AH242,AJ242,AL242,AN242,AP242,AR242,AT242,AV242,AX242,AZ242),0)))</x:f>
      </x:c>
      <x:c r="BD242" s="14" t="n">
        <x:f>LET(m,MIN(IF(E242&gt;0,E242,1E+99),IF(G242&gt;0,G242,1E+99),IF(I242&gt;0,I242,1E+99),IF(K242&gt;0,K242,1E+99),IF(M242&gt;0,M242,1E+99),IF(O242&gt;0,O242,1E+99),IF(Q242&gt;0,Q242,1E+99),IF(S242&gt;0,S242,1E+99),IF(U242&gt;0,U242,1E+99),IF(W242&gt;0,W242,1E+99),IF(Y242&gt;0,Y242,1E+99),IF(AA242&gt;0,AA242,1E+99),IF(AC242&gt;0,AC242,1E+99),IF(AE242&gt;0,AE242,1E+99),IF(AG242&gt;0,AG242,1E+99),IF(AI242&gt;0,AI242,1E+99),IF(AK242&gt;0,AK242,1E+99),IF(AM242&gt;0,AM242,1E+99),IF(AO242&gt;0,AO242,1E+99),IF(AQ242&gt;0,AQ242,1E+99),IF(AS242&gt;0,AS242,1E+99),IF(AU242&gt;0,AU242,1E+99),IF(AW242&gt;0,AW242,1E+99),IF(AY242&gt;0,AY242,1E+99),IF(BA242&gt;0,BA242,1E+99)),IF(m=1E+99,"",m))</x:f>
        <x:v>140.453</x:v>
      </x:c>
      <x:c r="BE242" s="16" t="e">
        <x:f>IF(BD242="","",INDEX({"v1.4.20","v1.4.20","v1.4.21","v1.4.21","v1.4.23","v1.4.23","v1.4.26","v1.4.26","v1.4.26.1","v1.4.26.1","v1.4.27","v1.4.27","v1.4.29","v1.4.29","v1.4.30","v1.4.30","v1.4.31","v1.4.31","v1.4.33","v1.4.33","v1.4.35","v1.4.35.2","v1.5","v1.5.1","v1.5.1"},MATCH(BD242,CHOOSE({1,2,3,4,5,6,7,8,9,10,11,12,13,14,15,16,17,18,19,20,21,22,23,24,25},E242,G242,I242,K242,M242,O242,Q242,S242,U242,W242,Y242,AA242,AC242,AE242,AG242,AI242,AK242,AM242,AO242,AQ242,AS242,AU242,AW242,AY242,BA242),0)))</x:f>
      </x:c>
      <x:c r="BF242" s="10" t="n">
        <x:f>IFERROR((AX242-BB242)/BB242,"")</x:f>
        <x:v>2.659574468085106</x:v>
      </x:c>
      <x:c r="BG242" s="10" t="n">
        <x:f>IFERROR((AY242-BD242)/BD242,"")</x:f>
        <x:v>0.6062597452528604</x:v>
      </x:c>
    </x:row>
    <x:row r="243">
      <x:c r="A243" t="str">
        <x:v>Disenrolled Exclusion</x:v>
      </x:c>
      <x:c r="B243" t="str">
        <x:v>Create / Refresh All Templates</x:v>
      </x:c>
      <x:c r="C243" t="str">
        <x:v>Ensure frozen rows: Template - Disenrolled Exclusion</x:v>
      </x:c>
      <x:c r="D243" s="8" t="n">
        <x:v>0.823</x:v>
      </x:c>
      <x:c r="E243" s="8" t="n">
        <x:v>170.204</x:v>
      </x:c>
      <x:c r="F243" s="8" t="n">
        <x:v>0.823</x:v>
      </x:c>
      <x:c r="G243" s="8" t="n">
        <x:v>170.204</x:v>
      </x:c>
      <x:c r="H243" s="8" t="n">
        <x:v>1.042</x:v>
      </x:c>
      <x:c r="I243" s="8" t="n">
        <x:v>215.099</x:v>
      </x:c>
      <x:c r="J243" s="8" t="n">
        <x:v>1.042</x:v>
      </x:c>
      <x:c r="K243" s="8" t="n">
        <x:v>215.099</x:v>
      </x:c>
      <x:c r="L243" s="8" t="n">
        <x:v>1.263</x:v>
      </x:c>
      <x:c r="M243" s="8" t="n">
        <x:v>211.841</x:v>
      </x:c>
      <x:c r="N243" s="8" t="n">
        <x:v>1.263</x:v>
      </x:c>
      <x:c r="O243" s="8" t="n">
        <x:v>211.841</x:v>
      </x:c>
      <x:c r="P243" s="8" t="n">
        <x:v>0.625</x:v>
      </x:c>
      <x:c r="Q243" s="8" t="n">
        <x:v>141.078</x:v>
      </x:c>
      <x:c r="R243" s="8" t="n">
        <x:v>0.625</x:v>
      </x:c>
      <x:c r="S243" s="8" t="n">
        <x:v>141.078</x:v>
      </x:c>
      <x:c r="T243" s="8" t="n">
        <x:v>0.143</x:v>
      </x:c>
      <x:c r="U243" s="8" t="n">
        <x:v>170.768</x:v>
      </x:c>
      <x:c r="V243" s="8" t="n">
        <x:v>0.143</x:v>
      </x:c>
      <x:c r="W243" s="8" t="n">
        <x:v>170.768</x:v>
      </x:c>
      <x:c r="X243" s="8" t="n">
        <x:v>1.415</x:v>
      </x:c>
      <x:c r="Y243" s="8" t="n">
        <x:v>261.265</x:v>
      </x:c>
      <x:c r="Z243" s="8" t="n">
        <x:v>1.415</x:v>
      </x:c>
      <x:c r="AA243" s="8" t="n">
        <x:v>261.265</x:v>
      </x:c>
      <x:c r="AB243" s="8" t="n">
        <x:v>0.372</x:v>
      </x:c>
      <x:c r="AC243" s="8" t="n">
        <x:v>238.962</x:v>
      </x:c>
      <x:c r="AD243" s="8" t="n">
        <x:v>0.372</x:v>
      </x:c>
      <x:c r="AE243" s="8" t="n">
        <x:v>238.962</x:v>
      </x:c>
      <x:c r="AF243" s="8" t="n">
        <x:v>0.072</x:v>
      </x:c>
      <x:c r="AG243" s="8" t="n">
        <x:v>246.925</x:v>
      </x:c>
      <x:c r="AH243" s="8" t="n">
        <x:v>0.072</x:v>
      </x:c>
      <x:c r="AI243" s="8" t="n">
        <x:v>246.925</x:v>
      </x:c>
      <x:c r="AJ243" s="8" t="n">
        <x:v>0.121</x:v>
      </x:c>
      <x:c r="AK243" s="8" t="n">
        <x:v>197</x:v>
      </x:c>
      <x:c r="AL243" s="8" t="n">
        <x:v>0.121</x:v>
      </x:c>
      <x:c r="AM243" s="8" t="n">
        <x:v>197</x:v>
      </x:c>
      <x:c r="AN243" s="8" t="n">
        <x:v>0.344</x:v>
      </x:c>
      <x:c r="AO243" s="8" t="n">
        <x:v>169.591</x:v>
      </x:c>
      <x:c r="AP243" s="8" t="n">
        <x:v>0.344</x:v>
      </x:c>
      <x:c r="AQ243" s="8" t="n">
        <x:v>169.591</x:v>
      </x:c>
      <x:c r="AR243" s="8" t="n">
        <x:v>1.408</x:v>
      </x:c>
      <x:c r="AS243" s="8" t="n">
        <x:v>262.976</x:v>
      </x:c>
      <x:c r="AT243" s="8" t="n">
        <x:v>0.827</x:v>
      </x:c>
      <x:c r="AU243" s="8" t="n">
        <x:v>184.494</x:v>
      </x:c>
      <x:c r="AV243" s="8" t="n">
        <x:v>1.172</x:v>
      </x:c>
      <x:c r="AW243" s="8" t="n">
        <x:v>225.253</x:v>
      </x:c>
      <x:c r="AX243" s="8" t="n">
        <x:v>1.662</x:v>
      </x:c>
      <x:c r="AY243" s="8" t="n">
        <x:v>227.266</x:v>
      </x:c>
      <x:c r="AZ243" s="8" t="n">
        <x:v>1.662</x:v>
      </x:c>
      <x:c r="BA243" s="8" t="n">
        <x:v>227.266</x:v>
      </x:c>
      <x:c r="BB243" s="8" t="n">
        <x:f>LET(m,MIN(IF(D243&gt;0,D243,1E+99),IF(F243&gt;0,F243,1E+99),IF(H243&gt;0,H243,1E+99),IF(J243&gt;0,J243,1E+99),IF(L243&gt;0,L243,1E+99),IF(N243&gt;0,N243,1E+99),IF(P243&gt;0,P243,1E+99),IF(R243&gt;0,R243,1E+99),IF(T243&gt;0,T243,1E+99),IF(V243&gt;0,V243,1E+99),IF(X243&gt;0,X243,1E+99),IF(Z243&gt;0,Z243,1E+99),IF(AB243&gt;0,AB243,1E+99),IF(AD243&gt;0,AD243,1E+99),IF(AF243&gt;0,AF243,1E+99),IF(AH243&gt;0,AH243,1E+99),IF(AJ243&gt;0,AJ243,1E+99),IF(AL243&gt;0,AL243,1E+99),IF(AN243&gt;0,AN243,1E+99),IF(AP243&gt;0,AP243,1E+99),IF(AR243&gt;0,AR243,1E+99),IF(AT243&gt;0,AT243,1E+99),IF(AV243&gt;0,AV243,1E+99),IF(AX243&gt;0,AX243,1E+99),IF(AZ243&gt;0,AZ243,1E+99)),IF(m=1E+99,"",m))</x:f>
        <x:v>0.072</x:v>
      </x:c>
      <x:c r="BC243" s="12" t="e">
        <x:f>IF(BB243="","",INDEX({"v1.4.20","v1.4.20","v1.4.21","v1.4.21","v1.4.23","v1.4.23","v1.4.26","v1.4.26","v1.4.26.1","v1.4.26.1","v1.4.27","v1.4.27","v1.4.29","v1.4.29","v1.4.30","v1.4.30","v1.4.31","v1.4.31","v1.4.33","v1.4.33","v1.4.35","v1.4.35.2","v1.5","v1.5.1","v1.5.1"},MATCH(BB243,CHOOSE({1,2,3,4,5,6,7,8,9,10,11,12,13,14,15,16,17,18,19,20,21,22,23,24,25},D243,F243,H243,J243,L243,N243,P243,R243,T243,V243,X243,Z243,AB243,AD243,AF243,AH243,AJ243,AL243,AN243,AP243,AR243,AT243,AV243,AX243,AZ243),0)))</x:f>
      </x:c>
      <x:c r="BD243" s="14" t="n">
        <x:f>LET(m,MIN(IF(E243&gt;0,E243,1E+99),IF(G243&gt;0,G243,1E+99),IF(I243&gt;0,I243,1E+99),IF(K243&gt;0,K243,1E+99),IF(M243&gt;0,M243,1E+99),IF(O243&gt;0,O243,1E+99),IF(Q243&gt;0,Q243,1E+99),IF(S243&gt;0,S243,1E+99),IF(U243&gt;0,U243,1E+99),IF(W243&gt;0,W243,1E+99),IF(Y243&gt;0,Y243,1E+99),IF(AA243&gt;0,AA243,1E+99),IF(AC243&gt;0,AC243,1E+99),IF(AE243&gt;0,AE243,1E+99),IF(AG243&gt;0,AG243,1E+99),IF(AI243&gt;0,AI243,1E+99),IF(AK243&gt;0,AK243,1E+99),IF(AM243&gt;0,AM243,1E+99),IF(AO243&gt;0,AO243,1E+99),IF(AQ243&gt;0,AQ243,1E+99),IF(AS243&gt;0,AS243,1E+99),IF(AU243&gt;0,AU243,1E+99),IF(AW243&gt;0,AW243,1E+99),IF(AY243&gt;0,AY243,1E+99),IF(BA243&gt;0,BA243,1E+99)),IF(m=1E+99,"",m))</x:f>
        <x:v>141.078</x:v>
      </x:c>
      <x:c r="BE243" s="16" t="e">
        <x:f>IF(BD243="","",INDEX({"v1.4.20","v1.4.20","v1.4.21","v1.4.21","v1.4.23","v1.4.23","v1.4.26","v1.4.26","v1.4.26.1","v1.4.26.1","v1.4.27","v1.4.27","v1.4.29","v1.4.29","v1.4.30","v1.4.30","v1.4.31","v1.4.31","v1.4.33","v1.4.33","v1.4.35","v1.4.35.2","v1.5","v1.5.1","v1.5.1"},MATCH(BD243,CHOOSE({1,2,3,4,5,6,7,8,9,10,11,12,13,14,15,16,17,18,19,20,21,22,23,24,25},E243,G243,I243,K243,M243,O243,Q243,S243,U243,W243,Y243,AA243,AC243,AE243,AG243,AI243,AK243,AM243,AO243,AQ243,AS243,AU243,AW243,AY243,BA243),0)))</x:f>
      </x:c>
      <x:c r="BF243" s="10" t="n">
        <x:f>IFERROR((AX243-BB243)/BB243,"")</x:f>
        <x:v>22.083333333333332</x:v>
      </x:c>
      <x:c r="BG243" s="10" t="n">
        <x:f>IFERROR((AY243-BD243)/BD243,"")</x:f>
        <x:v>0.6109244531393979</x:v>
      </x:c>
    </x:row>
    <x:row r="244">
      <x:c r="A244" t="str">
        <x:v>Disenrolled Exclusion</x:v>
      </x:c>
      <x:c r="B244" t="str">
        <x:v>Create / Refresh All Templates</x:v>
      </x:c>
      <x:c r="C244" t="str">
        <x:v>Ensure frozen columns: Template - Disenrolled Exclusion</x:v>
      </x:c>
      <x:c r="D244" s="8" t="n">
        <x:v>0.603</x:v>
      </x:c>
      <x:c r="E244" s="8" t="n">
        <x:v>170.807</x:v>
      </x:c>
      <x:c r="F244" s="8" t="n">
        <x:v>0.603</x:v>
      </x:c>
      <x:c r="G244" s="8" t="n">
        <x:v>170.807</x:v>
      </x:c>
      <x:c r="H244" s="8" t="n">
        <x:v>0.828</x:v>
      </x:c>
      <x:c r="I244" s="8" t="n">
        <x:v>215.927</x:v>
      </x:c>
      <x:c r="J244" s="8" t="n">
        <x:v>0.828</x:v>
      </x:c>
      <x:c r="K244" s="8" t="n">
        <x:v>215.927</x:v>
      </x:c>
      <x:c r="L244" s="8" t="n">
        <x:v>1.061</x:v>
      </x:c>
      <x:c r="M244" s="8" t="n">
        <x:v>212.902</x:v>
      </x:c>
      <x:c r="N244" s="8" t="n">
        <x:v>1.061</x:v>
      </x:c>
      <x:c r="O244" s="8" t="n">
        <x:v>212.902</x:v>
      </x:c>
      <x:c r="P244" s="8" t="n">
        <x:v>0.562</x:v>
      </x:c>
      <x:c r="Q244" s="8" t="n">
        <x:v>141.64</x:v>
      </x:c>
      <x:c r="R244" s="8" t="n">
        <x:v>0.562</x:v>
      </x:c>
      <x:c r="S244" s="8" t="n">
        <x:v>141.64</x:v>
      </x:c>
      <x:c r="T244" s="8" t="n">
        <x:v>0.751</x:v>
      </x:c>
      <x:c r="U244" s="8" t="n">
        <x:v>171.519</x:v>
      </x:c>
      <x:c r="V244" s="8" t="n">
        <x:v>0.751</x:v>
      </x:c>
      <x:c r="W244" s="8" t="n">
        <x:v>171.519</x:v>
      </x:c>
      <x:c r="X244" s="8" t="n">
        <x:v>0.977</x:v>
      </x:c>
      <x:c r="Y244" s="8" t="n">
        <x:v>262.242</x:v>
      </x:c>
      <x:c r="Z244" s="8" t="n">
        <x:v>0.977</x:v>
      </x:c>
      <x:c r="AA244" s="8" t="n">
        <x:v>262.242</x:v>
      </x:c>
      <x:c r="AB244" s="8" t="n">
        <x:v>1.618</x:v>
      </x:c>
      <x:c r="AC244" s="8" t="n">
        <x:v>240.58</x:v>
      </x:c>
      <x:c r="AD244" s="8" t="n">
        <x:v>1.618</x:v>
      </x:c>
      <x:c r="AE244" s="8" t="n">
        <x:v>240.58</x:v>
      </x:c>
      <x:c r="AF244" s="8" t="n">
        <x:v>0.949</x:v>
      </x:c>
      <x:c r="AG244" s="8" t="n">
        <x:v>247.874</x:v>
      </x:c>
      <x:c r="AH244" s="8" t="n">
        <x:v>0.949</x:v>
      </x:c>
      <x:c r="AI244" s="8" t="n">
        <x:v>247.874</x:v>
      </x:c>
      <x:c r="AJ244" s="8" t="n">
        <x:v>1.126</x:v>
      </x:c>
      <x:c r="AK244" s="8" t="n">
        <x:v>198.126</x:v>
      </x:c>
      <x:c r="AL244" s="8" t="n">
        <x:v>1.126</x:v>
      </x:c>
      <x:c r="AM244" s="8" t="n">
        <x:v>198.126</x:v>
      </x:c>
      <x:c r="AN244" s="8" t="n">
        <x:v>0.67</x:v>
      </x:c>
      <x:c r="AO244" s="8" t="n">
        <x:v>170.261</x:v>
      </x:c>
      <x:c r="AP244" s="8" t="n">
        <x:v>0.67</x:v>
      </x:c>
      <x:c r="AQ244" s="8" t="n">
        <x:v>170.261</x:v>
      </x:c>
      <x:c r="AR244" s="8" t="n">
        <x:v>1.308</x:v>
      </x:c>
      <x:c r="AS244" s="8" t="n">
        <x:v>264.284</x:v>
      </x:c>
      <x:c r="AT244" s="8" t="n">
        <x:v>0.725</x:v>
      </x:c>
      <x:c r="AU244" s="8" t="n">
        <x:v>185.219</x:v>
      </x:c>
      <x:c r="AV244" s="8" t="n">
        <x:v>1.287</x:v>
      </x:c>
      <x:c r="AW244" s="8" t="n">
        <x:v>226.54</x:v>
      </x:c>
      <x:c r="AX244" s="8" t="n">
        <x:v>0.901</x:v>
      </x:c>
      <x:c r="AY244" s="8" t="n">
        <x:v>228.167</x:v>
      </x:c>
      <x:c r="AZ244" s="8" t="n">
        <x:v>0.901</x:v>
      </x:c>
      <x:c r="BA244" s="8" t="n">
        <x:v>228.167</x:v>
      </x:c>
      <x:c r="BB244" s="8" t="n">
        <x:f>LET(m,MIN(IF(D244&gt;0,D244,1E+99),IF(F244&gt;0,F244,1E+99),IF(H244&gt;0,H244,1E+99),IF(J244&gt;0,J244,1E+99),IF(L244&gt;0,L244,1E+99),IF(N244&gt;0,N244,1E+99),IF(P244&gt;0,P244,1E+99),IF(R244&gt;0,R244,1E+99),IF(T244&gt;0,T244,1E+99),IF(V244&gt;0,V244,1E+99),IF(X244&gt;0,X244,1E+99),IF(Z244&gt;0,Z244,1E+99),IF(AB244&gt;0,AB244,1E+99),IF(AD244&gt;0,AD244,1E+99),IF(AF244&gt;0,AF244,1E+99),IF(AH244&gt;0,AH244,1E+99),IF(AJ244&gt;0,AJ244,1E+99),IF(AL244&gt;0,AL244,1E+99),IF(AN244&gt;0,AN244,1E+99),IF(AP244&gt;0,AP244,1E+99),IF(AR244&gt;0,AR244,1E+99),IF(AT244&gt;0,AT244,1E+99),IF(AV244&gt;0,AV244,1E+99),IF(AX244&gt;0,AX244,1E+99),IF(AZ244&gt;0,AZ244,1E+99)),IF(m=1E+99,"",m))</x:f>
        <x:v>0.562</x:v>
      </x:c>
      <x:c r="BC244" s="12" t="e">
        <x:f>IF(BB244="","",INDEX({"v1.4.20","v1.4.20","v1.4.21","v1.4.21","v1.4.23","v1.4.23","v1.4.26","v1.4.26","v1.4.26.1","v1.4.26.1","v1.4.27","v1.4.27","v1.4.29","v1.4.29","v1.4.30","v1.4.30","v1.4.31","v1.4.31","v1.4.33","v1.4.33","v1.4.35","v1.4.35.2","v1.5","v1.5.1","v1.5.1"},MATCH(BB244,CHOOSE({1,2,3,4,5,6,7,8,9,10,11,12,13,14,15,16,17,18,19,20,21,22,23,24,25},D244,F244,H244,J244,L244,N244,P244,R244,T244,V244,X244,Z244,AB244,AD244,AF244,AH244,AJ244,AL244,AN244,AP244,AR244,AT244,AV244,AX244,AZ244),0)))</x:f>
      </x:c>
      <x:c r="BD244" s="14" t="n">
        <x:f>LET(m,MIN(IF(E244&gt;0,E244,1E+99),IF(G244&gt;0,G244,1E+99),IF(I244&gt;0,I244,1E+99),IF(K244&gt;0,K244,1E+99),IF(M244&gt;0,M244,1E+99),IF(O244&gt;0,O244,1E+99),IF(Q244&gt;0,Q244,1E+99),IF(S244&gt;0,S244,1E+99),IF(U244&gt;0,U244,1E+99),IF(W244&gt;0,W244,1E+99),IF(Y244&gt;0,Y244,1E+99),IF(AA244&gt;0,AA244,1E+99),IF(AC244&gt;0,AC244,1E+99),IF(AE244&gt;0,AE244,1E+99),IF(AG244&gt;0,AG244,1E+99),IF(AI244&gt;0,AI244,1E+99),IF(AK244&gt;0,AK244,1E+99),IF(AM244&gt;0,AM244,1E+99),IF(AO244&gt;0,AO244,1E+99),IF(AQ244&gt;0,AQ244,1E+99),IF(AS244&gt;0,AS244,1E+99),IF(AU244&gt;0,AU244,1E+99),IF(AW244&gt;0,AW244,1E+99),IF(AY244&gt;0,AY244,1E+99),IF(BA244&gt;0,BA244,1E+99)),IF(m=1E+99,"",m))</x:f>
        <x:v>141.64</x:v>
      </x:c>
      <x:c r="BE244" s="16" t="e">
        <x:f>IF(BD244="","",INDEX({"v1.4.20","v1.4.20","v1.4.21","v1.4.21","v1.4.23","v1.4.23","v1.4.26","v1.4.26","v1.4.26.1","v1.4.26.1","v1.4.27","v1.4.27","v1.4.29","v1.4.29","v1.4.30","v1.4.30","v1.4.31","v1.4.31","v1.4.33","v1.4.33","v1.4.35","v1.4.35.2","v1.5","v1.5.1","v1.5.1"},MATCH(BD244,CHOOSE({1,2,3,4,5,6,7,8,9,10,11,12,13,14,15,16,17,18,19,20,21,22,23,24,25},E244,G244,I244,K244,M244,O244,Q244,S244,U244,W244,Y244,AA244,AC244,AE244,AG244,AI244,AK244,AM244,AO244,AQ244,AS244,AU244,AW244,AY244,BA244),0)))</x:f>
      </x:c>
      <x:c r="BF244" s="10" t="n">
        <x:f>IFERROR((AX244-BB244)/BB244,"")</x:f>
        <x:v>0.6032028469750889</x:v>
      </x:c>
      <x:c r="BG244" s="10" t="n">
        <x:f>IFERROR((AY244-BD244)/BD244,"")</x:f>
        <x:v>0.6108938153064107</x:v>
      </x:c>
    </x:row>
    <x:row r="245">
      <x:c r="A245" t="str">
        <x:v>Disenrolled Exclusion</x:v>
      </x:c>
      <x:c r="B245" t="str">
        <x:v>Create / Refresh All Templates</x:v>
      </x:c>
      <x:c r="C245" t="str">
        <x:v>Ensure tab color: Template - Disenrolled Exclusion</x:v>
      </x:c>
      <x:c r="D245" s="8" t="n">
        <x:v>0.615</x:v>
      </x:c>
      <x:c r="E245" s="8" t="n">
        <x:v>171.422</x:v>
      </x:c>
      <x:c r="F245" s="8" t="n">
        <x:v>0.615</x:v>
      </x:c>
      <x:c r="G245" s="8" t="n">
        <x:v>171.422</x:v>
      </x:c>
      <x:c r="H245" s="8" t="n">
        <x:v>0.85</x:v>
      </x:c>
      <x:c r="I245" s="8" t="n">
        <x:v>216.777</x:v>
      </x:c>
      <x:c r="J245" s="8" t="n">
        <x:v>0.85</x:v>
      </x:c>
      <x:c r="K245" s="8" t="n">
        <x:v>216.777</x:v>
      </x:c>
      <x:c r="L245" s="8" t="n">
        <x:v>0.907</x:v>
      </x:c>
      <x:c r="M245" s="8" t="n">
        <x:v>213.809</x:v>
      </x:c>
      <x:c r="N245" s="8" t="n">
        <x:v>0.907</x:v>
      </x:c>
      <x:c r="O245" s="8" t="n">
        <x:v>213.809</x:v>
      </x:c>
      <x:c r="P245" s="8" t="n">
        <x:v>0.594</x:v>
      </x:c>
      <x:c r="Q245" s="8" t="n">
        <x:v>142.234</x:v>
      </x:c>
      <x:c r="R245" s="8" t="n">
        <x:v>0.594</x:v>
      </x:c>
      <x:c r="S245" s="8" t="n">
        <x:v>142.234</x:v>
      </x:c>
      <x:c r="T245" s="8" t="n">
        <x:v>0.87</x:v>
      </x:c>
      <x:c r="U245" s="8" t="n">
        <x:v>172.389</x:v>
      </x:c>
      <x:c r="V245" s="8" t="n">
        <x:v>0.87</x:v>
      </x:c>
      <x:c r="W245" s="8" t="n">
        <x:v>172.389</x:v>
      </x:c>
      <x:c r="X245" s="8" t="n">
        <x:v>1.158</x:v>
      </x:c>
      <x:c r="Y245" s="8" t="n">
        <x:v>263.4</x:v>
      </x:c>
      <x:c r="Z245" s="8" t="n">
        <x:v>1.158</x:v>
      </x:c>
      <x:c r="AA245" s="8" t="n">
        <x:v>263.4</x:v>
      </x:c>
      <x:c r="AB245" s="8" t="n">
        <x:v>1.426</x:v>
      </x:c>
      <x:c r="AC245" s="8" t="n">
        <x:v>242.006</x:v>
      </x:c>
      <x:c r="AD245" s="8" t="n">
        <x:v>1.426</x:v>
      </x:c>
      <x:c r="AE245" s="8" t="n">
        <x:v>242.006</x:v>
      </x:c>
      <x:c r="AF245" s="8" t="n">
        <x:v>1.013</x:v>
      </x:c>
      <x:c r="AG245" s="8" t="n">
        <x:v>248.887</x:v>
      </x:c>
      <x:c r="AH245" s="8" t="n">
        <x:v>1.013</x:v>
      </x:c>
      <x:c r="AI245" s="8" t="n">
        <x:v>248.887</x:v>
      </x:c>
      <x:c r="AJ245" s="8" t="n">
        <x:v>0.909</x:v>
      </x:c>
      <x:c r="AK245" s="8" t="n">
        <x:v>199.035</x:v>
      </x:c>
      <x:c r="AL245" s="8" t="n">
        <x:v>0.909</x:v>
      </x:c>
      <x:c r="AM245" s="8" t="n">
        <x:v>199.035</x:v>
      </x:c>
      <x:c r="AN245" s="8" t="n">
        <x:v>0.958</x:v>
      </x:c>
      <x:c r="AO245" s="8" t="n">
        <x:v>171.219</x:v>
      </x:c>
      <x:c r="AP245" s="8" t="n">
        <x:v>0.958</x:v>
      </x:c>
      <x:c r="AQ245" s="8" t="n">
        <x:v>171.219</x:v>
      </x:c>
      <x:c r="AR245" s="8" t="n">
        <x:v>1.16</x:v>
      </x:c>
      <x:c r="AS245" s="8" t="n">
        <x:v>265.444</x:v>
      </x:c>
      <x:c r="AT245" s="8" t="n">
        <x:v>0.635</x:v>
      </x:c>
      <x:c r="AU245" s="8" t="n">
        <x:v>185.854</x:v>
      </x:c>
      <x:c r="AV245" s="8" t="n">
        <x:v>1.692</x:v>
      </x:c>
      <x:c r="AW245" s="8" t="n">
        <x:v>228.232</x:v>
      </x:c>
      <x:c r="AX245" s="8" t="n">
        <x:v>0.926</x:v>
      </x:c>
      <x:c r="AY245" s="8" t="n">
        <x:v>229.093</x:v>
      </x:c>
      <x:c r="AZ245" s="8" t="n">
        <x:v>0.926</x:v>
      </x:c>
      <x:c r="BA245" s="8" t="n">
        <x:v>229.093</x:v>
      </x:c>
      <x:c r="BB245" s="8" t="n">
        <x:f>LET(m,MIN(IF(D245&gt;0,D245,1E+99),IF(F245&gt;0,F245,1E+99),IF(H245&gt;0,H245,1E+99),IF(J245&gt;0,J245,1E+99),IF(L245&gt;0,L245,1E+99),IF(N245&gt;0,N245,1E+99),IF(P245&gt;0,P245,1E+99),IF(R245&gt;0,R245,1E+99),IF(T245&gt;0,T245,1E+99),IF(V245&gt;0,V245,1E+99),IF(X245&gt;0,X245,1E+99),IF(Z245&gt;0,Z245,1E+99),IF(AB245&gt;0,AB245,1E+99),IF(AD245&gt;0,AD245,1E+99),IF(AF245&gt;0,AF245,1E+99),IF(AH245&gt;0,AH245,1E+99),IF(AJ245&gt;0,AJ245,1E+99),IF(AL245&gt;0,AL245,1E+99),IF(AN245&gt;0,AN245,1E+99),IF(AP245&gt;0,AP245,1E+99),IF(AR245&gt;0,AR245,1E+99),IF(AT245&gt;0,AT245,1E+99),IF(AV245&gt;0,AV245,1E+99),IF(AX245&gt;0,AX245,1E+99),IF(AZ245&gt;0,AZ245,1E+99)),IF(m=1E+99,"",m))</x:f>
        <x:v>0.594</x:v>
      </x:c>
      <x:c r="BC245" s="12" t="e">
        <x:f>IF(BB245="","",INDEX({"v1.4.20","v1.4.20","v1.4.21","v1.4.21","v1.4.23","v1.4.23","v1.4.26","v1.4.26","v1.4.26.1","v1.4.26.1","v1.4.27","v1.4.27","v1.4.29","v1.4.29","v1.4.30","v1.4.30","v1.4.31","v1.4.31","v1.4.33","v1.4.33","v1.4.35","v1.4.35.2","v1.5","v1.5.1","v1.5.1"},MATCH(BB245,CHOOSE({1,2,3,4,5,6,7,8,9,10,11,12,13,14,15,16,17,18,19,20,21,22,23,24,25},D245,F245,H245,J245,L245,N245,P245,R245,T245,V245,X245,Z245,AB245,AD245,AF245,AH245,AJ245,AL245,AN245,AP245,AR245,AT245,AV245,AX245,AZ245),0)))</x:f>
      </x:c>
      <x:c r="BD245" s="14" t="n">
        <x:f>LET(m,MIN(IF(E245&gt;0,E245,1E+99),IF(G245&gt;0,G245,1E+99),IF(I245&gt;0,I245,1E+99),IF(K245&gt;0,K245,1E+99),IF(M245&gt;0,M245,1E+99),IF(O245&gt;0,O245,1E+99),IF(Q245&gt;0,Q245,1E+99),IF(S245&gt;0,S245,1E+99),IF(U245&gt;0,U245,1E+99),IF(W245&gt;0,W245,1E+99),IF(Y245&gt;0,Y245,1E+99),IF(AA245&gt;0,AA245,1E+99),IF(AC245&gt;0,AC245,1E+99),IF(AE245&gt;0,AE245,1E+99),IF(AG245&gt;0,AG245,1E+99),IF(AI245&gt;0,AI245,1E+99),IF(AK245&gt;0,AK245,1E+99),IF(AM245&gt;0,AM245,1E+99),IF(AO245&gt;0,AO245,1E+99),IF(AQ245&gt;0,AQ245,1E+99),IF(AS245&gt;0,AS245,1E+99),IF(AU245&gt;0,AU245,1E+99),IF(AW245&gt;0,AW245,1E+99),IF(AY245&gt;0,AY245,1E+99),IF(BA245&gt;0,BA245,1E+99)),IF(m=1E+99,"",m))</x:f>
        <x:v>142.234</x:v>
      </x:c>
      <x:c r="BE245" s="16" t="e">
        <x:f>IF(BD245="","",INDEX({"v1.4.20","v1.4.20","v1.4.21","v1.4.21","v1.4.23","v1.4.23","v1.4.26","v1.4.26","v1.4.26.1","v1.4.26.1","v1.4.27","v1.4.27","v1.4.29","v1.4.29","v1.4.30","v1.4.30","v1.4.31","v1.4.31","v1.4.33","v1.4.33","v1.4.35","v1.4.35.2","v1.5","v1.5.1","v1.5.1"},MATCH(BD245,CHOOSE({1,2,3,4,5,6,7,8,9,10,11,12,13,14,15,16,17,18,19,20,21,22,23,24,25},E245,G245,I245,K245,M245,O245,Q245,S245,U245,W245,Y245,AA245,AC245,AE245,AG245,AI245,AK245,AM245,AO245,AQ245,AS245,AU245,AW245,AY245,BA245),0)))</x:f>
      </x:c>
      <x:c r="BF245" s="10" t="n">
        <x:f>IFERROR((AX245-BB245)/BB245,"")</x:f>
        <x:v>0.558922558922559</x:v>
      </x:c>
      <x:c r="BG245" s="10" t="n">
        <x:f>IFERROR((AY245-BD245)/BD245,"")</x:f>
        <x:v>0.610676772079812</x:v>
      </x:c>
    </x:row>
    <x:row r="246">
      <x:c r="A246" t="str">
        <x:v>Disenrolled Exclusion</x:v>
      </x:c>
      <x:c r="B246" t="str">
        <x:v>Create / Refresh All Templates</x:v>
      </x:c>
      <x:c r="C246" t="str">
        <x:v>Final date/number format enforcement: Template - Disenrolled Exclusion</x:v>
      </x:c>
      <x:c r="D246" s="8" t="n">
        <x:v>0.74</x:v>
      </x:c>
      <x:c r="E246" s="8" t="n">
        <x:v>172.162</x:v>
      </x:c>
      <x:c r="F246" s="8" t="n">
        <x:v>0.74</x:v>
      </x:c>
      <x:c r="G246" s="8" t="n">
        <x:v>172.162</x:v>
      </x:c>
      <x:c r="H246" s="8" t="n">
        <x:v>1.073</x:v>
      </x:c>
      <x:c r="I246" s="8" t="n">
        <x:v>217.85</x:v>
      </x:c>
      <x:c r="J246" s="8" t="n">
        <x:v>1.073</x:v>
      </x:c>
      <x:c r="K246" s="8" t="n">
        <x:v>217.85</x:v>
      </x:c>
      <x:c r="L246" s="8" t="n">
        <x:v>1.107</x:v>
      </x:c>
      <x:c r="M246" s="8" t="n">
        <x:v>214.916</x:v>
      </x:c>
      <x:c r="N246" s="8" t="n">
        <x:v>1.107</x:v>
      </x:c>
      <x:c r="O246" s="8" t="n">
        <x:v>214.916</x:v>
      </x:c>
      <x:c r="P246" s="8" t="n">
        <x:v>0.68</x:v>
      </x:c>
      <x:c r="Q246" s="8" t="n">
        <x:v>142.914</x:v>
      </x:c>
      <x:c r="R246" s="8" t="n">
        <x:v>0.68</x:v>
      </x:c>
      <x:c r="S246" s="8" t="n">
        <x:v>142.914</x:v>
      </x:c>
      <x:c r="T246" s="8" t="n">
        <x:v>2</x:v>
      </x:c>
      <x:c r="U246" s="8" t="n">
        <x:v>174.389</x:v>
      </x:c>
      <x:c r="V246" s="8" t="n">
        <x:v>2</x:v>
      </x:c>
      <x:c r="W246" s="8" t="n">
        <x:v>174.389</x:v>
      </x:c>
      <x:c r="X246" s="8" t="n">
        <x:v>1.401</x:v>
      </x:c>
      <x:c r="Y246" s="8" t="n">
        <x:v>264.801</x:v>
      </x:c>
      <x:c r="Z246" s="8" t="n">
        <x:v>1.401</x:v>
      </x:c>
      <x:c r="AA246" s="8" t="n">
        <x:v>264.801</x:v>
      </x:c>
      <x:c r="AB246" s="8" t="n">
        <x:v>1.05</x:v>
      </x:c>
      <x:c r="AC246" s="8" t="n">
        <x:v>243.056</x:v>
      </x:c>
      <x:c r="AD246" s="8" t="n">
        <x:v>1.05</x:v>
      </x:c>
      <x:c r="AE246" s="8" t="n">
        <x:v>243.056</x:v>
      </x:c>
      <x:c r="AF246" s="8" t="n">
        <x:v>1.004</x:v>
      </x:c>
      <x:c r="AG246" s="8" t="n">
        <x:v>249.891</x:v>
      </x:c>
      <x:c r="AH246" s="8" t="n">
        <x:v>1.004</x:v>
      </x:c>
      <x:c r="AI246" s="8" t="n">
        <x:v>249.891</x:v>
      </x:c>
      <x:c r="AJ246" s="8" t="n">
        <x:v>1.238</x:v>
      </x:c>
      <x:c r="AK246" s="8" t="n">
        <x:v>200.273</x:v>
      </x:c>
      <x:c r="AL246" s="8" t="n">
        <x:v>1.238</x:v>
      </x:c>
      <x:c r="AM246" s="8" t="n">
        <x:v>200.273</x:v>
      </x:c>
      <x:c r="AN246" s="8" t="n">
        <x:v>0.755</x:v>
      </x:c>
      <x:c r="AO246" s="8" t="n">
        <x:v>171.974</x:v>
      </x:c>
      <x:c r="AP246" s="8" t="n">
        <x:v>0.755</x:v>
      </x:c>
      <x:c r="AQ246" s="8" t="n">
        <x:v>171.974</x:v>
      </x:c>
      <x:c r="AR246" s="8" t="n">
        <x:v>1.13</x:v>
      </x:c>
      <x:c r="AS246" s="8" t="n">
        <x:v>266.574</x:v>
      </x:c>
      <x:c r="AT246" s="8" t="n">
        <x:v>0.757</x:v>
      </x:c>
      <x:c r="AU246" s="8" t="n">
        <x:v>186.611</x:v>
      </x:c>
      <x:c r="AV246" s="8" t="n">
        <x:v>0.977</x:v>
      </x:c>
      <x:c r="AW246" s="8" t="n">
        <x:v>229.209</x:v>
      </x:c>
      <x:c r="AX246" s="8" t="n">
        <x:v>1.168</x:v>
      </x:c>
      <x:c r="AY246" s="8" t="n">
        <x:v>230.261</x:v>
      </x:c>
      <x:c r="AZ246" s="8" t="n">
        <x:v>1.168</x:v>
      </x:c>
      <x:c r="BA246" s="8" t="n">
        <x:v>230.261</x:v>
      </x:c>
      <x:c r="BB246" s="8" t="n">
        <x:f>LET(m,MIN(IF(D246&gt;0,D246,1E+99),IF(F246&gt;0,F246,1E+99),IF(H246&gt;0,H246,1E+99),IF(J246&gt;0,J246,1E+99),IF(L246&gt;0,L246,1E+99),IF(N246&gt;0,N246,1E+99),IF(P246&gt;0,P246,1E+99),IF(R246&gt;0,R246,1E+99),IF(T246&gt;0,T246,1E+99),IF(V246&gt;0,V246,1E+99),IF(X246&gt;0,X246,1E+99),IF(Z246&gt;0,Z246,1E+99),IF(AB246&gt;0,AB246,1E+99),IF(AD246&gt;0,AD246,1E+99),IF(AF246&gt;0,AF246,1E+99),IF(AH246&gt;0,AH246,1E+99),IF(AJ246&gt;0,AJ246,1E+99),IF(AL246&gt;0,AL246,1E+99),IF(AN246&gt;0,AN246,1E+99),IF(AP246&gt;0,AP246,1E+99),IF(AR246&gt;0,AR246,1E+99),IF(AT246&gt;0,AT246,1E+99),IF(AV246&gt;0,AV246,1E+99),IF(AX246&gt;0,AX246,1E+99),IF(AZ246&gt;0,AZ246,1E+99)),IF(m=1E+99,"",m))</x:f>
        <x:v>0.68</x:v>
      </x:c>
      <x:c r="BC246" s="12" t="e">
        <x:f>IF(BB246="","",INDEX({"v1.4.20","v1.4.20","v1.4.21","v1.4.21","v1.4.23","v1.4.23","v1.4.26","v1.4.26","v1.4.26.1","v1.4.26.1","v1.4.27","v1.4.27","v1.4.29","v1.4.29","v1.4.30","v1.4.30","v1.4.31","v1.4.31","v1.4.33","v1.4.33","v1.4.35","v1.4.35.2","v1.5","v1.5.1","v1.5.1"},MATCH(BB246,CHOOSE({1,2,3,4,5,6,7,8,9,10,11,12,13,14,15,16,17,18,19,20,21,22,23,24,25},D246,F246,H246,J246,L246,N246,P246,R246,T246,V246,X246,Z246,AB246,AD246,AF246,AH246,AJ246,AL246,AN246,AP246,AR246,AT246,AV246,AX246,AZ246),0)))</x:f>
      </x:c>
      <x:c r="BD246" s="14" t="n">
        <x:f>LET(m,MIN(IF(E246&gt;0,E246,1E+99),IF(G246&gt;0,G246,1E+99),IF(I246&gt;0,I246,1E+99),IF(K246&gt;0,K246,1E+99),IF(M246&gt;0,M246,1E+99),IF(O246&gt;0,O246,1E+99),IF(Q246&gt;0,Q246,1E+99),IF(S246&gt;0,S246,1E+99),IF(U246&gt;0,U246,1E+99),IF(W246&gt;0,W246,1E+99),IF(Y246&gt;0,Y246,1E+99),IF(AA246&gt;0,AA246,1E+99),IF(AC246&gt;0,AC246,1E+99),IF(AE246&gt;0,AE246,1E+99),IF(AG246&gt;0,AG246,1E+99),IF(AI246&gt;0,AI246,1E+99),IF(AK246&gt;0,AK246,1E+99),IF(AM246&gt;0,AM246,1E+99),IF(AO246&gt;0,AO246,1E+99),IF(AQ246&gt;0,AQ246,1E+99),IF(AS246&gt;0,AS246,1E+99),IF(AU246&gt;0,AU246,1E+99),IF(AW246&gt;0,AW246,1E+99),IF(AY246&gt;0,AY246,1E+99),IF(BA246&gt;0,BA246,1E+99)),IF(m=1E+99,"",m))</x:f>
        <x:v>142.914</x:v>
      </x:c>
      <x:c r="BE246" s="16" t="e">
        <x:f>IF(BD246="","",INDEX({"v1.4.20","v1.4.20","v1.4.21","v1.4.21","v1.4.23","v1.4.23","v1.4.26","v1.4.26","v1.4.26.1","v1.4.26.1","v1.4.27","v1.4.27","v1.4.29","v1.4.29","v1.4.30","v1.4.30","v1.4.31","v1.4.31","v1.4.33","v1.4.33","v1.4.35","v1.4.35.2","v1.5","v1.5.1","v1.5.1"},MATCH(BD246,CHOOSE({1,2,3,4,5,6,7,8,9,10,11,12,13,14,15,16,17,18,19,20,21,22,23,24,25},E246,G246,I246,K246,M246,O246,Q246,S246,U246,W246,Y246,AA246,AC246,AE246,AG246,AI246,AK246,AM246,AO246,AQ246,AS246,AU246,AW246,AY246,BA246),0)))</x:f>
      </x:c>
      <x:c r="BF246" s="10" t="n">
        <x:f>IFERROR((AX246-BB246)/BB246,"")</x:f>
        <x:v>0.7176470588235292</x:v>
      </x:c>
      <x:c r="BG246" s="10" t="n">
        <x:f>IFERROR((AY246-BD246)/BD246,"")</x:f>
        <x:v>0.6111857480722673</x:v>
      </x:c>
    </x:row>
    <x:row r="247">
      <x:c r="A247" t="str">
        <x:v>Disenrolled Exclusion</x:v>
      </x:c>
      <x:c r="B247" t="str">
        <x:v>Create / Refresh All Templates</x:v>
      </x:c>
      <x:c r="C247" t="str">
        <x:v>Hide template: Template - Disenrolled Exclusion</x:v>
      </x:c>
      <x:c r="D247" s="8" t="n">
        <x:v>1.483</x:v>
      </x:c>
      <x:c r="E247" s="8" t="n">
        <x:v>173.645</x:v>
      </x:c>
      <x:c r="F247" s="8" t="n">
        <x:v>1.483</x:v>
      </x:c>
      <x:c r="G247" s="8" t="n">
        <x:v>173.645</x:v>
      </x:c>
      <x:c r="H247" s="8" t="n">
        <x:v>2.065</x:v>
      </x:c>
      <x:c r="I247" s="8" t="n">
        <x:v>219.915</x:v>
      </x:c>
      <x:c r="J247" s="8" t="n">
        <x:v>2.065</x:v>
      </x:c>
      <x:c r="K247" s="8" t="n">
        <x:v>219.915</x:v>
      </x:c>
      <x:c r="L247" s="8" t="n">
        <x:v>2.489</x:v>
      </x:c>
      <x:c r="M247" s="8" t="n">
        <x:v>217.405</x:v>
      </x:c>
      <x:c r="N247" s="8" t="n">
        <x:v>2.489</x:v>
      </x:c>
      <x:c r="O247" s="8" t="n">
        <x:v>217.405</x:v>
      </x:c>
      <x:c r="P247" s="8" t="n">
        <x:v>1.328</x:v>
      </x:c>
      <x:c r="Q247" s="8" t="n">
        <x:v>144.242</x:v>
      </x:c>
      <x:c r="R247" s="8" t="n">
        <x:v>1.328</x:v>
      </x:c>
      <x:c r="S247" s="8" t="n">
        <x:v>144.242</x:v>
      </x:c>
      <x:c r="T247" s="8" t="n">
        <x:v>1.51</x:v>
      </x:c>
      <x:c r="U247" s="8" t="n">
        <x:v>175.899</x:v>
      </x:c>
      <x:c r="V247" s="8" t="n">
        <x:v>1.51</x:v>
      </x:c>
      <x:c r="W247" s="8" t="n">
        <x:v>175.899</x:v>
      </x:c>
      <x:c r="X247" s="8" t="n">
        <x:v>2.711</x:v>
      </x:c>
      <x:c r="Y247" s="8" t="n">
        <x:v>267.512</x:v>
      </x:c>
      <x:c r="Z247" s="8" t="n">
        <x:v>2.711</x:v>
      </x:c>
      <x:c r="AA247" s="8" t="n">
        <x:v>267.512</x:v>
      </x:c>
      <x:c r="AB247" s="8" t="n">
        <x:v>2.804</x:v>
      </x:c>
      <x:c r="AC247" s="8" t="n">
        <x:v>245.86</x:v>
      </x:c>
      <x:c r="AD247" s="8" t="n">
        <x:v>2.804</x:v>
      </x:c>
      <x:c r="AE247" s="8" t="n">
        <x:v>245.86</x:v>
      </x:c>
      <x:c r="AF247" s="8" t="n">
        <x:v>2.649</x:v>
      </x:c>
      <x:c r="AG247" s="8" t="n">
        <x:v>252.54</x:v>
      </x:c>
      <x:c r="AH247" s="8" t="n">
        <x:v>2.649</x:v>
      </x:c>
      <x:c r="AI247" s="8" t="n">
        <x:v>252.54</x:v>
      </x:c>
      <x:c r="AJ247" s="8" t="n">
        <x:v>2.913</x:v>
      </x:c>
      <x:c r="AK247" s="8" t="n">
        <x:v>203.186</x:v>
      </x:c>
      <x:c r="AL247" s="8" t="n">
        <x:v>2.913</x:v>
      </x:c>
      <x:c r="AM247" s="8" t="n">
        <x:v>203.186</x:v>
      </x:c>
      <x:c r="AN247" s="8" t="n">
        <x:v>1.918</x:v>
      </x:c>
      <x:c r="AO247" s="8" t="n">
        <x:v>173.892</x:v>
      </x:c>
      <x:c r="AP247" s="8" t="n">
        <x:v>1.918</x:v>
      </x:c>
      <x:c r="AQ247" s="8" t="n">
        <x:v>173.892</x:v>
      </x:c>
      <x:c r="AR247" s="8" t="n">
        <x:v>2.604</x:v>
      </x:c>
      <x:c r="AS247" s="8" t="n">
        <x:v>269.178</x:v>
      </x:c>
      <x:c r="AT247" s="8" t="n">
        <x:v>1.61</x:v>
      </x:c>
      <x:c r="AU247" s="8" t="n">
        <x:v>188.221</x:v>
      </x:c>
      <x:c r="AV247" s="8" t="n">
        <x:v>2.484</x:v>
      </x:c>
      <x:c r="AW247" s="8" t="n">
        <x:v>231.693</x:v>
      </x:c>
      <x:c r="AX247" s="8" t="n">
        <x:v>2.183</x:v>
      </x:c>
      <x:c r="AY247" s="8" t="n">
        <x:v>232.444</x:v>
      </x:c>
      <x:c r="AZ247" s="8" t="n">
        <x:v>2.183</x:v>
      </x:c>
      <x:c r="BA247" s="8" t="n">
        <x:v>232.444</x:v>
      </x:c>
      <x:c r="BB247" s="8" t="n">
        <x:f>LET(m,MIN(IF(D247&gt;0,D247,1E+99),IF(F247&gt;0,F247,1E+99),IF(H247&gt;0,H247,1E+99),IF(J247&gt;0,J247,1E+99),IF(L247&gt;0,L247,1E+99),IF(N247&gt;0,N247,1E+99),IF(P247&gt;0,P247,1E+99),IF(R247&gt;0,R247,1E+99),IF(T247&gt;0,T247,1E+99),IF(V247&gt;0,V247,1E+99),IF(X247&gt;0,X247,1E+99),IF(Z247&gt;0,Z247,1E+99),IF(AB247&gt;0,AB247,1E+99),IF(AD247&gt;0,AD247,1E+99),IF(AF247&gt;0,AF247,1E+99),IF(AH247&gt;0,AH247,1E+99),IF(AJ247&gt;0,AJ247,1E+99),IF(AL247&gt;0,AL247,1E+99),IF(AN247&gt;0,AN247,1E+99),IF(AP247&gt;0,AP247,1E+99),IF(AR247&gt;0,AR247,1E+99),IF(AT247&gt;0,AT247,1E+99),IF(AV247&gt;0,AV247,1E+99),IF(AX247&gt;0,AX247,1E+99),IF(AZ247&gt;0,AZ247,1E+99)),IF(m=1E+99,"",m))</x:f>
        <x:v>1.328</x:v>
      </x:c>
      <x:c r="BC247" s="12" t="e">
        <x:f>IF(BB247="","",INDEX({"v1.4.20","v1.4.20","v1.4.21","v1.4.21","v1.4.23","v1.4.23","v1.4.26","v1.4.26","v1.4.26.1","v1.4.26.1","v1.4.27","v1.4.27","v1.4.29","v1.4.29","v1.4.30","v1.4.30","v1.4.31","v1.4.31","v1.4.33","v1.4.33","v1.4.35","v1.4.35.2","v1.5","v1.5.1","v1.5.1"},MATCH(BB247,CHOOSE({1,2,3,4,5,6,7,8,9,10,11,12,13,14,15,16,17,18,19,20,21,22,23,24,25},D247,F247,H247,J247,L247,N247,P247,R247,T247,V247,X247,Z247,AB247,AD247,AF247,AH247,AJ247,AL247,AN247,AP247,AR247,AT247,AV247,AX247,AZ247),0)))</x:f>
      </x:c>
      <x:c r="BD247" s="14" t="n">
        <x:f>LET(m,MIN(IF(E247&gt;0,E247,1E+99),IF(G247&gt;0,G247,1E+99),IF(I247&gt;0,I247,1E+99),IF(K247&gt;0,K247,1E+99),IF(M247&gt;0,M247,1E+99),IF(O247&gt;0,O247,1E+99),IF(Q247&gt;0,Q247,1E+99),IF(S247&gt;0,S247,1E+99),IF(U247&gt;0,U247,1E+99),IF(W247&gt;0,W247,1E+99),IF(Y247&gt;0,Y247,1E+99),IF(AA247&gt;0,AA247,1E+99),IF(AC247&gt;0,AC247,1E+99),IF(AE247&gt;0,AE247,1E+99),IF(AG247&gt;0,AG247,1E+99),IF(AI247&gt;0,AI247,1E+99),IF(AK247&gt;0,AK247,1E+99),IF(AM247&gt;0,AM247,1E+99),IF(AO247&gt;0,AO247,1E+99),IF(AQ247&gt;0,AQ247,1E+99),IF(AS247&gt;0,AS247,1E+99),IF(AU247&gt;0,AU247,1E+99),IF(AW247&gt;0,AW247,1E+99),IF(AY247&gt;0,AY247,1E+99),IF(BA247&gt;0,BA247,1E+99)),IF(m=1E+99,"",m))</x:f>
        <x:v>144.242</x:v>
      </x:c>
      <x:c r="BE247" s="16" t="e">
        <x:f>IF(BD247="","",INDEX({"v1.4.20","v1.4.20","v1.4.21","v1.4.21","v1.4.23","v1.4.23","v1.4.26","v1.4.26","v1.4.26.1","v1.4.26.1","v1.4.27","v1.4.27","v1.4.29","v1.4.29","v1.4.30","v1.4.30","v1.4.31","v1.4.31","v1.4.33","v1.4.33","v1.4.35","v1.4.35.2","v1.5","v1.5.1","v1.5.1"},MATCH(BD247,CHOOSE({1,2,3,4,5,6,7,8,9,10,11,12,13,14,15,16,17,18,19,20,21,22,23,24,25},E247,G247,I247,K247,M247,O247,Q247,S247,U247,W247,Y247,AA247,AC247,AE247,AG247,AI247,AK247,AM247,AO247,AQ247,AS247,AU247,AW247,AY247,BA247),0)))</x:f>
      </x:c>
      <x:c r="BF247" s="10" t="n">
        <x:f>IFERROR((AX247-BB247)/BB247,"")</x:f>
        <x:v>0.6438253012048191</x:v>
      </x:c>
      <x:c r="BG247" s="10" t="n">
        <x:f>IFERROR((AY247-BD247)/BD247,"")</x:f>
        <x:v>0.6114862522704899</x:v>
      </x:c>
    </x:row>
    <x:row r="248">
      <x:c r="A248" t="str">
        <x:v>Disenrolled Exclusion</x:v>
      </x:c>
      <x:c r="B248" t="str">
        <x:v>Create / Refresh All Templates</x:v>
      </x:c>
      <x:c r="C248" t="str">
        <x:v>Complete full template build: Template - Disenrolled Exclusion</x:v>
      </x:c>
      <x:c r="D248" s="8" t="n">
        <x:v>0</x:v>
      </x:c>
      <x:c r="E248" s="8" t="n">
        <x:v>173.645</x:v>
      </x:c>
      <x:c r="F248" s="8" t="n">
        <x:v>0</x:v>
      </x:c>
      <x:c r="G248" s="8" t="n">
        <x:v>173.645</x:v>
      </x:c>
      <x:c r="H248" s="8" t="n">
        <x:v>0</x:v>
      </x:c>
      <x:c r="I248" s="8" t="n">
        <x:v>219.915</x:v>
      </x:c>
      <x:c r="J248" s="8" t="n">
        <x:v>0</x:v>
      </x:c>
      <x:c r="K248" s="8" t="n">
        <x:v>219.915</x:v>
      </x:c>
      <x:c r="L248" s="8" t="n">
        <x:v>0</x:v>
      </x:c>
      <x:c r="M248" s="8" t="n">
        <x:v>217.405</x:v>
      </x:c>
      <x:c r="N248" s="8" t="n">
        <x:v>0</x:v>
      </x:c>
      <x:c r="O248" s="8" t="n">
        <x:v>217.405</x:v>
      </x:c>
      <x:c r="P248" s="8" t="n">
        <x:v>0</x:v>
      </x:c>
      <x:c r="Q248" s="8" t="n">
        <x:v>144.242</x:v>
      </x:c>
      <x:c r="R248" s="8" t="n">
        <x:v>0</x:v>
      </x:c>
      <x:c r="S248" s="8" t="n">
        <x:v>144.242</x:v>
      </x:c>
      <x:c r="T248" s="8" t="n">
        <x:v>0</x:v>
      </x:c>
      <x:c r="U248" s="8" t="n">
        <x:v>175.899</x:v>
      </x:c>
      <x:c r="V248" s="8" t="n">
        <x:v>0</x:v>
      </x:c>
      <x:c r="W248" s="8" t="n">
        <x:v>175.899</x:v>
      </x:c>
      <x:c r="X248" s="8" t="n">
        <x:v>0</x:v>
      </x:c>
      <x:c r="Y248" s="8" t="n">
        <x:v>267.512</x:v>
      </x:c>
      <x:c r="Z248" s="8" t="n">
        <x:v>0</x:v>
      </x:c>
      <x:c r="AA248" s="8" t="n">
        <x:v>267.512</x:v>
      </x:c>
      <x:c r="AB248" s="8" t="n">
        <x:v>0</x:v>
      </x:c>
      <x:c r="AC248" s="8" t="n">
        <x:v>245.86</x:v>
      </x:c>
      <x:c r="AD248" s="8" t="n">
        <x:v>0</x:v>
      </x:c>
      <x:c r="AE248" s="8" t="n">
        <x:v>245.86</x:v>
      </x:c>
      <x:c r="AF248" s="8" t="n">
        <x:v>0</x:v>
      </x:c>
      <x:c r="AG248" s="8" t="n">
        <x:v>252.54</x:v>
      </x:c>
      <x:c r="AH248" s="8" t="n">
        <x:v>0</x:v>
      </x:c>
      <x:c r="AI248" s="8" t="n">
        <x:v>252.54</x:v>
      </x:c>
      <x:c r="AJ248" s="8" t="n">
        <x:v>0</x:v>
      </x:c>
      <x:c r="AK248" s="8" t="n">
        <x:v>203.186</x:v>
      </x:c>
      <x:c r="AL248" s="8" t="n">
        <x:v>0</x:v>
      </x:c>
      <x:c r="AM248" s="8" t="n">
        <x:v>203.186</x:v>
      </x:c>
      <x:c r="AN248" s="8" t="n">
        <x:v>0</x:v>
      </x:c>
      <x:c r="AO248" s="8" t="n">
        <x:v>173.892</x:v>
      </x:c>
      <x:c r="AP248" s="8" t="n">
        <x:v>0</x:v>
      </x:c>
      <x:c r="AQ248" s="8" t="n">
        <x:v>173.892</x:v>
      </x:c>
      <x:c r="AR248" s="8" t="n">
        <x:v>0</x:v>
      </x:c>
      <x:c r="AS248" s="8" t="n">
        <x:v>269.178</x:v>
      </x:c>
      <x:c r="AT248" s="8" t="n">
        <x:v>0</x:v>
      </x:c>
      <x:c r="AU248" s="8" t="n">
        <x:v>188.221</x:v>
      </x:c>
      <x:c r="AV248" s="8" t="n">
        <x:v>0</x:v>
      </x:c>
      <x:c r="AW248" s="8" t="n">
        <x:v>231.693</x:v>
      </x:c>
      <x:c r="AX248" s="8" t="n">
        <x:v>0</x:v>
      </x:c>
      <x:c r="AY248" s="8" t="n">
        <x:v>232.444</x:v>
      </x:c>
      <x:c r="AZ248" s="8" t="n">
        <x:v>0</x:v>
      </x:c>
      <x:c r="BA248" s="8" t="n">
        <x:v>232.444</x:v>
      </x:c>
      <x:c r="BB248" s="8" t="str">
        <x:f>LET(m,MIN(IF(D248&gt;0,D248,1E+99),IF(F248&gt;0,F248,1E+99),IF(H248&gt;0,H248,1E+99),IF(J248&gt;0,J248,1E+99),IF(L248&gt;0,L248,1E+99),IF(N248&gt;0,N248,1E+99),IF(P248&gt;0,P248,1E+99),IF(R248&gt;0,R248,1E+99),IF(T248&gt;0,T248,1E+99),IF(V248&gt;0,V248,1E+99),IF(X248&gt;0,X248,1E+99),IF(Z248&gt;0,Z248,1E+99),IF(AB248&gt;0,AB248,1E+99),IF(AD248&gt;0,AD248,1E+99),IF(AF248&gt;0,AF248,1E+99),IF(AH248&gt;0,AH248,1E+99),IF(AJ248&gt;0,AJ248,1E+99),IF(AL248&gt;0,AL248,1E+99),IF(AN248&gt;0,AN248,1E+99),IF(AP248&gt;0,AP248,1E+99),IF(AR248&gt;0,AR248,1E+99),IF(AT248&gt;0,AT248,1E+99),IF(AV248&gt;0,AV248,1E+99),IF(AX248&gt;0,AX248,1E+99),IF(AZ248&gt;0,AZ248,1E+99)),IF(m=1E+99,"",m))</x:f>
      </x:c>
      <x:c r="BC248" s="12" t="str">
        <x:f>IF(BB248="","",INDEX({"v1.4.20","v1.4.20","v1.4.21","v1.4.21","v1.4.23","v1.4.23","v1.4.26","v1.4.26","v1.4.26.1","v1.4.26.1","v1.4.27","v1.4.27","v1.4.29","v1.4.29","v1.4.30","v1.4.30","v1.4.31","v1.4.31","v1.4.33","v1.4.33","v1.4.35","v1.4.35.2","v1.5","v1.5.1","v1.5.1"},MATCH(BB248,CHOOSE({1,2,3,4,5,6,7,8,9,10,11,12,13,14,15,16,17,18,19,20,21,22,23,24,25},D248,F248,H248,J248,L248,N248,P248,R248,T248,V248,X248,Z248,AB248,AD248,AF248,AH248,AJ248,AL248,AN248,AP248,AR248,AT248,AV248,AX248,AZ248),0)))</x:f>
      </x:c>
      <x:c r="BD248" s="14" t="n">
        <x:f>LET(m,MIN(IF(E248&gt;0,E248,1E+99),IF(G248&gt;0,G248,1E+99),IF(I248&gt;0,I248,1E+99),IF(K248&gt;0,K248,1E+99),IF(M248&gt;0,M248,1E+99),IF(O248&gt;0,O248,1E+99),IF(Q248&gt;0,Q248,1E+99),IF(S248&gt;0,S248,1E+99),IF(U248&gt;0,U248,1E+99),IF(W248&gt;0,W248,1E+99),IF(Y248&gt;0,Y248,1E+99),IF(AA248&gt;0,AA248,1E+99),IF(AC248&gt;0,AC248,1E+99),IF(AE248&gt;0,AE248,1E+99),IF(AG248&gt;0,AG248,1E+99),IF(AI248&gt;0,AI248,1E+99),IF(AK248&gt;0,AK248,1E+99),IF(AM248&gt;0,AM248,1E+99),IF(AO248&gt;0,AO248,1E+99),IF(AQ248&gt;0,AQ248,1E+99),IF(AS248&gt;0,AS248,1E+99),IF(AU248&gt;0,AU248,1E+99),IF(AW248&gt;0,AW248,1E+99),IF(AY248&gt;0,AY248,1E+99),IF(BA248&gt;0,BA248,1E+99)),IF(m=1E+99,"",m))</x:f>
        <x:v>144.242</x:v>
      </x:c>
      <x:c r="BE248" s="16" t="e">
        <x:f>IF(BD248="","",INDEX({"v1.4.20","v1.4.20","v1.4.21","v1.4.21","v1.4.23","v1.4.23","v1.4.26","v1.4.26","v1.4.26.1","v1.4.26.1","v1.4.27","v1.4.27","v1.4.29","v1.4.29","v1.4.30","v1.4.30","v1.4.31","v1.4.31","v1.4.33","v1.4.33","v1.4.35","v1.4.35.2","v1.5","v1.5.1","v1.5.1"},MATCH(BD248,CHOOSE({1,2,3,4,5,6,7,8,9,10,11,12,13,14,15,16,17,18,19,20,21,22,23,24,25},E248,G248,I248,K248,M248,O248,Q248,S248,U248,W248,Y248,AA248,AC248,AE248,AG248,AI248,AK248,AM248,AO248,AQ248,AS248,AU248,AW248,AY248,BA248),0)))</x:f>
      </x:c>
      <x:c r="BF248" s="10" t="str">
        <x:f>IFERROR((AX248-BB248)/BB248,"")</x:f>
      </x:c>
      <x:c r="BG248" s="10" t="n">
        <x:f>IFERROR((AY248-BD248)/BD248,"")</x:f>
        <x:v>0.6114862522704899</x:v>
      </x:c>
    </x:row>
    <x:row r="249">
      <x:c r="A249" t="str">
        <x:v>Disenrolled Exclusion</x:v>
      </x:c>
      <x:c r="B249" t="str">
        <x:v>Create / Refresh All Templates</x:v>
      </x:c>
      <x:c r="C249" t="str">
        <x:v>Apply row heights: Template - Disenrolled Exclusion</x:v>
      </x:c>
      <x:c r="D249" s="8" t="n">
        <x:v>0.006</x:v>
      </x:c>
      <x:c r="E249" s="8" t="n">
        <x:v>169.315</x:v>
      </x:c>
      <x:c r="F249" s="8" t="n">
        <x:v>0.006</x:v>
      </x:c>
      <x:c r="G249" s="8" t="n">
        <x:v>169.315</x:v>
      </x:c>
      <x:c r="H249" s="8" t="n">
        <x:v>0.026</x:v>
      </x:c>
      <x:c r="I249" s="8" t="n">
        <x:v>214.003</x:v>
      </x:c>
      <x:c r="J249" s="8" t="n">
        <x:v>0.026</x:v>
      </x:c>
      <x:c r="K249" s="8" t="n">
        <x:v>214.003</x:v>
      </x:c>
      <x:c r="L249" s="8" t="n">
        <x:v>0.014</x:v>
      </x:c>
      <x:c r="M249" s="8" t="n">
        <x:v>210.516</x:v>
      </x:c>
      <x:c r="N249" s="8" t="n">
        <x:v>0.014</x:v>
      </x:c>
      <x:c r="O249" s="8" t="n">
        <x:v>210.516</x:v>
      </x:c>
      <x:c r="P249" s="8" t="n">
        <x:v>0.008</x:v>
      </x:c>
      <x:c r="Q249" s="8" t="n">
        <x:v>140.392</x:v>
      </x:c>
      <x:c r="R249" s="8" t="n">
        <x:v>0.008</x:v>
      </x:c>
      <x:c r="S249" s="8" t="n">
        <x:v>140.392</x:v>
      </x:c>
      <x:c r="T249" s="8" t="n">
        <x:v>1.704</x:v>
      </x:c>
      <x:c r="U249" s="8" t="n">
        <x:v>170.294</x:v>
      </x:c>
      <x:c r="V249" s="8" t="n">
        <x:v>1.704</x:v>
      </x:c>
      <x:c r="W249" s="8" t="n">
        <x:v>170.294</x:v>
      </x:c>
      <x:c r="X249" s="8" t="n">
        <x:v>0.008</x:v>
      </x:c>
      <x:c r="Y249" s="8" t="n">
        <x:v>259.781</x:v>
      </x:c>
      <x:c r="Z249" s="8" t="n">
        <x:v>0.008</x:v>
      </x:c>
      <x:c r="AA249" s="8" t="n">
        <x:v>259.781</x:v>
      </x:c>
      <x:c r="AB249" s="8" t="n">
        <x:v>1.522</x:v>
      </x:c>
      <x:c r="AC249" s="8" t="n">
        <x:v>238.495</x:v>
      </x:c>
      <x:c r="AD249" s="8" t="n">
        <x:v>1.522</x:v>
      </x:c>
      <x:c r="AE249" s="8" t="n">
        <x:v>238.495</x:v>
      </x:c>
      <x:c r="AF249" s="8" t="n">
        <x:v>1.232</x:v>
      </x:c>
      <x:c r="AG249" s="8" t="n">
        <x:v>246.806</x:v>
      </x:c>
      <x:c r="AH249" s="8" t="n">
        <x:v>1.232</x:v>
      </x:c>
      <x:c r="AI249" s="8" t="n">
        <x:v>246.806</x:v>
      </x:c>
      <x:c r="AJ249" s="8" t="n">
        <x:v>1.234</x:v>
      </x:c>
      <x:c r="AK249" s="8" t="n">
        <x:v>196.826</x:v>
      </x:c>
      <x:c r="AL249" s="8" t="n">
        <x:v>1.234</x:v>
      </x:c>
      <x:c r="AM249" s="8" t="n">
        <x:v>196.826</x:v>
      </x:c>
      <x:c r="AN249" s="8" t="n">
        <x:v>0.749</x:v>
      </x:c>
      <x:c r="AO249" s="8" t="n">
        <x:v>169.11</x:v>
      </x:c>
      <x:c r="AP249" s="8" t="n">
        <x:v>0.749</x:v>
      </x:c>
      <x:c r="AQ249" s="8" t="n">
        <x:v>169.11</x:v>
      </x:c>
      <x:c r="AR249" s="8" t="n">
        <x:v>0.029</x:v>
      </x:c>
      <x:c r="AS249" s="8" t="n">
        <x:v>261.495</x:v>
      </x:c>
      <x:c r="AT249" s="8" t="n">
        <x:v>0.016</x:v>
      </x:c>
      <x:c r="AU249" s="8" t="n">
        <x:v>183.616</x:v>
      </x:c>
      <x:c r="AV249" s="8"/>
      <x:c r="AW249" s="8"/>
      <x:c r="AX249" s="8"/>
      <x:c r="AY249" s="8"/>
      <x:c r="AZ249" s="8"/>
      <x:c r="BA249" s="8"/>
      <x:c r="BB249" s="8" t="n">
        <x:f>LET(m,MIN(IF(D249&gt;0,D249,1E+99),IF(F249&gt;0,F249,1E+99),IF(H249&gt;0,H249,1E+99),IF(J249&gt;0,J249,1E+99),IF(L249&gt;0,L249,1E+99),IF(N249&gt;0,N249,1E+99),IF(P249&gt;0,P249,1E+99),IF(R249&gt;0,R249,1E+99),IF(T249&gt;0,T249,1E+99),IF(V249&gt;0,V249,1E+99),IF(X249&gt;0,X249,1E+99),IF(Z249&gt;0,Z249,1E+99),IF(AB249&gt;0,AB249,1E+99),IF(AD249&gt;0,AD249,1E+99),IF(AF249&gt;0,AF249,1E+99),IF(AH249&gt;0,AH249,1E+99),IF(AJ249&gt;0,AJ249,1E+99),IF(AL249&gt;0,AL249,1E+99),IF(AN249&gt;0,AN249,1E+99),IF(AP249&gt;0,AP249,1E+99),IF(AR249&gt;0,AR249,1E+99),IF(AT249&gt;0,AT249,1E+99),IF(AV249&gt;0,AV249,1E+99),IF(AX249&gt;0,AX249,1E+99),IF(AZ249&gt;0,AZ249,1E+99)),IF(m=1E+99,"",m))</x:f>
        <x:v>0.006</x:v>
      </x:c>
      <x:c r="BC249" s="12" t="str">
        <x:f>IF(BB249="","",INDEX({"v1.4.20","v1.4.20","v1.4.21","v1.4.21","v1.4.23","v1.4.23","v1.4.26","v1.4.26","v1.4.26.1","v1.4.26.1","v1.4.27","v1.4.27","v1.4.29","v1.4.29","v1.4.30","v1.4.30","v1.4.31","v1.4.31","v1.4.33","v1.4.33","v1.4.35","v1.4.35.2","v1.5","v1.5.1","v1.5.1"},MATCH(BB249,CHOOSE({1,2,3,4,5,6,7,8,9,10,11,12,13,14,15,16,17,18,19,20,21,22,23,24,25},D249,F249,H249,J249,L249,N249,P249,R249,T249,V249,X249,Z249,AB249,AD249,AF249,AH249,AJ249,AL249,AN249,AP249,AR249,AT249,AV249,AX249,AZ249),0)))</x:f>
        <x:v>v1.4.20</x:v>
      </x:c>
      <x:c r="BD249" s="14" t="n">
        <x:f>LET(m,MIN(IF(E249&gt;0,E249,1E+99),IF(G249&gt;0,G249,1E+99),IF(I249&gt;0,I249,1E+99),IF(K249&gt;0,K249,1E+99),IF(M249&gt;0,M249,1E+99),IF(O249&gt;0,O249,1E+99),IF(Q249&gt;0,Q249,1E+99),IF(S249&gt;0,S249,1E+99),IF(U249&gt;0,U249,1E+99),IF(W249&gt;0,W249,1E+99),IF(Y249&gt;0,Y249,1E+99),IF(AA249&gt;0,AA249,1E+99),IF(AC249&gt;0,AC249,1E+99),IF(AE249&gt;0,AE249,1E+99),IF(AG249&gt;0,AG249,1E+99),IF(AI249&gt;0,AI249,1E+99),IF(AK249&gt;0,AK249,1E+99),IF(AM249&gt;0,AM249,1E+99),IF(AO249&gt;0,AO249,1E+99),IF(AQ249&gt;0,AQ249,1E+99),IF(AS249&gt;0,AS249,1E+99),IF(AU249&gt;0,AU249,1E+99),IF(AW249&gt;0,AW249,1E+99),IF(AY249&gt;0,AY249,1E+99),IF(BA249&gt;0,BA249,1E+99)),IF(m=1E+99,"",m))</x:f>
        <x:v>140.392</x:v>
      </x:c>
      <x:c r="BE249" s="16" t="e">
        <x:f>IF(BD249="","",INDEX({"v1.4.20","v1.4.20","v1.4.21","v1.4.21","v1.4.23","v1.4.23","v1.4.26","v1.4.26","v1.4.26.1","v1.4.26.1","v1.4.27","v1.4.27","v1.4.29","v1.4.29","v1.4.30","v1.4.30","v1.4.31","v1.4.31","v1.4.33","v1.4.33","v1.4.35","v1.4.35.2","v1.5","v1.5.1","v1.5.1"},MATCH(BD249,CHOOSE({1,2,3,4,5,6,7,8,9,10,11,12,13,14,15,16,17,18,19,20,21,22,23,24,25},E249,G249,I249,K249,M249,O249,Q249,S249,U249,W249,Y249,AA249,AC249,AE249,AG249,AI249,AK249,AM249,AO249,AQ249,AS249,AU249,AW249,AY249,BA249),0)))</x:f>
      </x:c>
      <x:c r="BF249" s="10" t="n">
        <x:f>IFERROR((AX249-BB249)/BB249,"")</x:f>
        <x:v>-1</x:v>
      </x:c>
      <x:c r="BG249" s="10" t="n">
        <x:f>IFERROR((AY249-BD249)/BD249,"")</x:f>
        <x:v>-1</x:v>
      </x:c>
    </x:row>
    <x:row r="250">
      <x:c r="A250" t="str">
        <x:v>Disenrolled Exclusion</x:v>
      </x:c>
      <x:c r="B250" t="str">
        <x:v>Create / Refresh All Templates</x:v>
      </x:c>
      <x:c r="C250" t="str">
        <x:v>Clear sheet/formats for full build: Template - Disenrolled Exclusion</x:v>
      </x:c>
      <x:c r="D250" s="8" t="n">
        <x:v>10.1</x:v>
      </x:c>
      <x:c r="E250" s="8" t="n">
        <x:v>161.488</x:v>
      </x:c>
      <x:c r="F250" s="8" t="n">
        <x:v>10.1</x:v>
      </x:c>
      <x:c r="G250" s="8" t="n">
        <x:v>161.488</x:v>
      </x:c>
      <x:c r="H250" s="8" t="n">
        <x:v>13.099</x:v>
      </x:c>
      <x:c r="I250" s="8" t="n">
        <x:v>202.708</x:v>
      </x:c>
      <x:c r="J250" s="8" t="n">
        <x:v>13.099</x:v>
      </x:c>
      <x:c r="K250" s="8" t="n">
        <x:v>202.708</x:v>
      </x:c>
      <x:c r="L250" s="8" t="n">
        <x:v>12.312</x:v>
      </x:c>
      <x:c r="M250" s="8" t="n">
        <x:v>201.412</x:v>
      </x:c>
      <x:c r="N250" s="8" t="n">
        <x:v>12.312</x:v>
      </x:c>
      <x:c r="O250" s="8" t="n">
        <x:v>201.412</x:v>
      </x:c>
      <x:c r="P250" s="8" t="n">
        <x:v>8.93</x:v>
      </x:c>
      <x:c r="Q250" s="8" t="n">
        <x:v>134.454</x:v>
      </x:c>
      <x:c r="R250" s="8" t="n">
        <x:v>8.93</x:v>
      </x:c>
      <x:c r="S250" s="8" t="n">
        <x:v>134.454</x:v>
      </x:c>
      <x:c r="T250" s="8"/>
      <x:c r="U250" s="8"/>
      <x:c r="V250" s="8"/>
      <x:c r="W250" s="8"/>
      <x:c r="X250" s="8" t="n">
        <x:v>18.051</x:v>
      </x:c>
      <x:c r="Y250" s="8" t="n">
        <x:v>249.4</x:v>
      </x:c>
      <x:c r="Z250" s="8" t="n">
        <x:v>18.051</x:v>
      </x:c>
      <x:c r="AA250" s="8" t="n">
        <x:v>249.4</x:v>
      </x:c>
      <x:c r="AB250" s="8"/>
      <x:c r="AC250" s="8"/>
      <x:c r="AD250" s="8"/>
      <x:c r="AE250" s="8"/>
      <x:c r="AF250" s="8"/>
      <x:c r="AG250" s="8"/>
      <x:c r="AH250" s="8"/>
      <x:c r="AI250" s="8"/>
      <x:c r="AJ250" s="8"/>
      <x:c r="AK250" s="8"/>
      <x:c r="AL250" s="8"/>
      <x:c r="AM250" s="8"/>
      <x:c r="AN250" s="8"/>
      <x:c r="AO250" s="8"/>
      <x:c r="AP250" s="8"/>
      <x:c r="AQ250" s="8"/>
      <x:c r="AR250" s="8" t="n">
        <x:v>18.265</x:v>
      </x:c>
      <x:c r="AS250" s="8" t="n">
        <x:v>251.254</x:v>
      </x:c>
      <x:c r="AT250" s="8" t="n">
        <x:v>10.134</x:v>
      </x:c>
      <x:c r="AU250" s="8" t="n">
        <x:v>177.433</x:v>
      </x:c>
      <x:c r="AV250" s="8"/>
      <x:c r="AW250" s="8"/>
      <x:c r="AX250" s="8"/>
      <x:c r="AY250" s="8"/>
      <x:c r="AZ250" s="8"/>
      <x:c r="BA250" s="8"/>
      <x:c r="BB250" s="8" t="n">
        <x:f>LET(m,MIN(IF(D250&gt;0,D250,1E+99),IF(F250&gt;0,F250,1E+99),IF(H250&gt;0,H250,1E+99),IF(J250&gt;0,J250,1E+99),IF(L250&gt;0,L250,1E+99),IF(N250&gt;0,N250,1E+99),IF(P250&gt;0,P250,1E+99),IF(R250&gt;0,R250,1E+99),IF(T250&gt;0,T250,1E+99),IF(V250&gt;0,V250,1E+99),IF(X250&gt;0,X250,1E+99),IF(Z250&gt;0,Z250,1E+99),IF(AB250&gt;0,AB250,1E+99),IF(AD250&gt;0,AD250,1E+99),IF(AF250&gt;0,AF250,1E+99),IF(AH250&gt;0,AH250,1E+99),IF(AJ250&gt;0,AJ250,1E+99),IF(AL250&gt;0,AL250,1E+99),IF(AN250&gt;0,AN250,1E+99),IF(AP250&gt;0,AP250,1E+99),IF(AR250&gt;0,AR250,1E+99),IF(AT250&gt;0,AT250,1E+99),IF(AV250&gt;0,AV250,1E+99),IF(AX250&gt;0,AX250,1E+99),IF(AZ250&gt;0,AZ250,1E+99)),IF(m=1E+99,"",m))</x:f>
        <x:v>8.93</x:v>
      </x:c>
      <x:c r="BC250" s="12" t="e">
        <x:f>IF(BB250="","",INDEX({"v1.4.20","v1.4.20","v1.4.21","v1.4.21","v1.4.23","v1.4.23","v1.4.26","v1.4.26","v1.4.26.1","v1.4.26.1","v1.4.27","v1.4.27","v1.4.29","v1.4.29","v1.4.30","v1.4.30","v1.4.31","v1.4.31","v1.4.33","v1.4.33","v1.4.35","v1.4.35.2","v1.5","v1.5.1","v1.5.1"},MATCH(BB250,CHOOSE({1,2,3,4,5,6,7,8,9,10,11,12,13,14,15,16,17,18,19,20,21,22,23,24,25},D250,F250,H250,J250,L250,N250,P250,R250,T250,V250,X250,Z250,AB250,AD250,AF250,AH250,AJ250,AL250,AN250,AP250,AR250,AT250,AV250,AX250,AZ250),0)))</x:f>
      </x:c>
      <x:c r="BD250" s="14" t="n">
        <x:f>LET(m,MIN(IF(E250&gt;0,E250,1E+99),IF(G250&gt;0,G250,1E+99),IF(I250&gt;0,I250,1E+99),IF(K250&gt;0,K250,1E+99),IF(M250&gt;0,M250,1E+99),IF(O250&gt;0,O250,1E+99),IF(Q250&gt;0,Q250,1E+99),IF(S250&gt;0,S250,1E+99),IF(U250&gt;0,U250,1E+99),IF(W250&gt;0,W250,1E+99),IF(Y250&gt;0,Y250,1E+99),IF(AA250&gt;0,AA250,1E+99),IF(AC250&gt;0,AC250,1E+99),IF(AE250&gt;0,AE250,1E+99),IF(AG250&gt;0,AG250,1E+99),IF(AI250&gt;0,AI250,1E+99),IF(AK250&gt;0,AK250,1E+99),IF(AM250&gt;0,AM250,1E+99),IF(AO250&gt;0,AO250,1E+99),IF(AQ250&gt;0,AQ250,1E+99),IF(AS250&gt;0,AS250,1E+99),IF(AU250&gt;0,AU250,1E+99),IF(AW250&gt;0,AW250,1E+99),IF(AY250&gt;0,AY250,1E+99),IF(BA250&gt;0,BA250,1E+99)),IF(m=1E+99,"",m))</x:f>
        <x:v>134.454</x:v>
      </x:c>
      <x:c r="BE250" s="16" t="e">
        <x:f>IF(BD250="","",INDEX({"v1.4.20","v1.4.20","v1.4.21","v1.4.21","v1.4.23","v1.4.23","v1.4.26","v1.4.26","v1.4.26.1","v1.4.26.1","v1.4.27","v1.4.27","v1.4.29","v1.4.29","v1.4.30","v1.4.30","v1.4.31","v1.4.31","v1.4.33","v1.4.33","v1.4.35","v1.4.35.2","v1.5","v1.5.1","v1.5.1"},MATCH(BD250,CHOOSE({1,2,3,4,5,6,7,8,9,10,11,12,13,14,15,16,17,18,19,20,21,22,23,24,25},E250,G250,I250,K250,M250,O250,Q250,S250,U250,W250,Y250,AA250,AC250,AE250,AG250,AI250,AK250,AM250,AO250,AQ250,AS250,AU250,AW250,AY250,BA250),0)))</x:f>
      </x:c>
      <x:c r="BF250" s="10" t="n">
        <x:f>IFERROR((AX250-BB250)/BB250,"")</x:f>
        <x:v>-1</x:v>
      </x:c>
      <x:c r="BG250" s="10" t="n">
        <x:f>IFERROR((AY250-BD250)/BD250,"")</x:f>
        <x:v>-1</x:v>
      </x:c>
    </x:row>
    <x:row r="251">
      <x:c r="A251" t="str">
        <x:v>Disenrolled Exclusion</x:v>
      </x:c>
      <x:c r="B251" t="str">
        <x:v>Create / Refresh All Templates</x:v>
      </x:c>
      <x:c r="C251" t="str">
        <x:v>Resize columns: Template - Disenrolled Exclusion (32 cols)</x:v>
      </x:c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8" t="n">
        <x:v>0.158</x:v>
      </x:c>
      <x:c r="U251" s="8" t="n">
        <x:v>162.831</x:v>
      </x:c>
      <x:c r="V251" s="8" t="n">
        <x:v>0.158</x:v>
      </x:c>
      <x:c r="W251" s="8" t="n">
        <x:v>162.831</x:v>
      </x:c>
      <x:c r="X251" s="8"/>
      <x:c r="Y251" s="8"/>
      <x:c r="Z251" s="8"/>
      <x:c r="AA251" s="8"/>
      <x:c r="AB251" s="8"/>
      <x:c r="AC251" s="8"/>
      <x:c r="AD251" s="8"/>
      <x:c r="AE251" s="8"/>
      <x:c r="AF251" s="8" t="n">
        <x:v>0.966</x:v>
      </x:c>
      <x:c r="AG251" s="8" t="n">
        <x:v>237.114</x:v>
      </x:c>
      <x:c r="AH251" s="8"/>
      <x:c r="AI251" s="8"/>
      <x:c r="AJ251" s="8" t="n">
        <x:v>0.977</x:v>
      </x:c>
      <x:c r="AK251" s="8" t="n">
        <x:v>187.328</x:v>
      </x:c>
      <x:c r="AL251" s="8" t="n">
        <x:v>0.977</x:v>
      </x:c>
      <x:c r="AM251" s="8" t="n">
        <x:v>187.328</x:v>
      </x:c>
      <x:c r="AN251" s="8" t="n">
        <x:v>0.219</x:v>
      </x:c>
      <x:c r="AO251" s="8" t="n">
        <x:v>162.187</x:v>
      </x:c>
      <x:c r="AP251" s="8" t="n">
        <x:v>0.219</x:v>
      </x:c>
      <x:c r="AQ251" s="8" t="n">
        <x:v>162.187</x:v>
      </x:c>
      <x:c r="AR251" s="8"/>
      <x:c r="AS251" s="8"/>
      <x:c r="AT251" s="8"/>
      <x:c r="AU251" s="8"/>
      <x:c r="AV251" s="8"/>
      <x:c r="AW251" s="8"/>
      <x:c r="AX251" s="8"/>
      <x:c r="AY251" s="8"/>
      <x:c r="AZ251" s="8"/>
      <x:c r="BA251" s="8"/>
      <x:c r="BB251" s="8" t="n">
        <x:f>LET(m,MIN(IF(D251&gt;0,D251,1E+99),IF(F251&gt;0,F251,1E+99),IF(H251&gt;0,H251,1E+99),IF(J251&gt;0,J251,1E+99),IF(L251&gt;0,L251,1E+99),IF(N251&gt;0,N251,1E+99),IF(P251&gt;0,P251,1E+99),IF(R251&gt;0,R251,1E+99),IF(T251&gt;0,T251,1E+99),IF(V251&gt;0,V251,1E+99),IF(X251&gt;0,X251,1E+99),IF(Z251&gt;0,Z251,1E+99),IF(AB251&gt;0,AB251,1E+99),IF(AD251&gt;0,AD251,1E+99),IF(AF251&gt;0,AF251,1E+99),IF(AH251&gt;0,AH251,1E+99),IF(AJ251&gt;0,AJ251,1E+99),IF(AL251&gt;0,AL251,1E+99),IF(AN251&gt;0,AN251,1E+99),IF(AP251&gt;0,AP251,1E+99),IF(AR251&gt;0,AR251,1E+99),IF(AT251&gt;0,AT251,1E+99),IF(AV251&gt;0,AV251,1E+99),IF(AX251&gt;0,AX251,1E+99),IF(AZ251&gt;0,AZ251,1E+99)),IF(m=1E+99,"",m))</x:f>
        <x:v>0.158</x:v>
      </x:c>
      <x:c r="BC251" s="12" t="e">
        <x:f>IF(BB251="","",INDEX({"v1.4.20","v1.4.20","v1.4.21","v1.4.21","v1.4.23","v1.4.23","v1.4.26","v1.4.26","v1.4.26.1","v1.4.26.1","v1.4.27","v1.4.27","v1.4.29","v1.4.29","v1.4.30","v1.4.30","v1.4.31","v1.4.31","v1.4.33","v1.4.33","v1.4.35","v1.4.35.2","v1.5","v1.5.1","v1.5.1"},MATCH(BB251,CHOOSE({1,2,3,4,5,6,7,8,9,10,11,12,13,14,15,16,17,18,19,20,21,22,23,24,25},D251,F251,H251,J251,L251,N251,P251,R251,T251,V251,X251,Z251,AB251,AD251,AF251,AH251,AJ251,AL251,AN251,AP251,AR251,AT251,AV251,AX251,AZ251),0)))</x:f>
      </x:c>
      <x:c r="BD251" s="14" t="n">
        <x:f>LET(m,MIN(IF(E251&gt;0,E251,1E+99),IF(G251&gt;0,G251,1E+99),IF(I251&gt;0,I251,1E+99),IF(K251&gt;0,K251,1E+99),IF(M251&gt;0,M251,1E+99),IF(O251&gt;0,O251,1E+99),IF(Q251&gt;0,Q251,1E+99),IF(S251&gt;0,S251,1E+99),IF(U251&gt;0,U251,1E+99),IF(W251&gt;0,W251,1E+99),IF(Y251&gt;0,Y251,1E+99),IF(AA251&gt;0,AA251,1E+99),IF(AC251&gt;0,AC251,1E+99),IF(AE251&gt;0,AE251,1E+99),IF(AG251&gt;0,AG251,1E+99),IF(AI251&gt;0,AI251,1E+99),IF(AK251&gt;0,AK251,1E+99),IF(AM251&gt;0,AM251,1E+99),IF(AO251&gt;0,AO251,1E+99),IF(AQ251&gt;0,AQ251,1E+99),IF(AS251&gt;0,AS251,1E+99),IF(AU251&gt;0,AU251,1E+99),IF(AW251&gt;0,AW251,1E+99),IF(AY251&gt;0,AY251,1E+99),IF(BA251&gt;0,BA251,1E+99)),IF(m=1E+99,"",m))</x:f>
        <x:v>162.187</x:v>
      </x:c>
      <x:c r="BE251" s="16" t="e">
        <x:f>IF(BD251="","",INDEX({"v1.4.20","v1.4.20","v1.4.21","v1.4.21","v1.4.23","v1.4.23","v1.4.26","v1.4.26","v1.4.26.1","v1.4.26.1","v1.4.27","v1.4.27","v1.4.29","v1.4.29","v1.4.30","v1.4.30","v1.4.31","v1.4.31","v1.4.33","v1.4.33","v1.4.35","v1.4.35.2","v1.5","v1.5.1","v1.5.1"},MATCH(BD251,CHOOSE({1,2,3,4,5,6,7,8,9,10,11,12,13,14,15,16,17,18,19,20,21,22,23,24,25},E251,G251,I251,K251,M251,O251,Q251,S251,U251,W251,Y251,AA251,AC251,AE251,AG251,AI251,AK251,AM251,AO251,AQ251,AS251,AU251,AW251,AY251,BA251),0)))</x:f>
      </x:c>
      <x:c r="BF251" s="10" t="n">
        <x:f>IFERROR((AX251-BB251)/BB251,"")</x:f>
        <x:v>-1</x:v>
      </x:c>
      <x:c r="BG251" s="10" t="n">
        <x:f>IFERROR((AY251-BD251)/BD251,"")</x:f>
        <x:v>-1</x:v>
      </x:c>
    </x:row>
    <x:row r="252">
      <x:c r="A252" t="str">
        <x:v>Disenrolled Exclusion</x:v>
      </x:c>
      <x:c r="B252" t="str">
        <x:v>Create / Refresh All Templates</x:v>
      </x:c>
      <x:c r="C252" t="str">
        <x:v>Resize rows: Template - Disenrolled Exclusion (1000 rows)</x:v>
      </x:c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8" t="n">
        <x:v>9.604</x:v>
      </x:c>
      <x:c r="U252" s="8" t="n">
        <x:v>162.673</x:v>
      </x:c>
      <x:c r="V252" s="8" t="n">
        <x:v>9.604</x:v>
      </x:c>
      <x:c r="W252" s="8" t="n">
        <x:v>162.673</x:v>
      </x:c>
      <x:c r="X252" s="8"/>
      <x:c r="Y252" s="8"/>
      <x:c r="Z252" s="8"/>
      <x:c r="AA252" s="8"/>
      <x:c r="AB252" s="8"/>
      <x:c r="AC252" s="8"/>
      <x:c r="AD252" s="8"/>
      <x:c r="AE252" s="8"/>
      <x:c r="AF252" s="8"/>
      <x:c r="AG252" s="8"/>
      <x:c r="AH252" s="8"/>
      <x:c r="AI252" s="8"/>
      <x:c r="AJ252" s="8"/>
      <x:c r="AK252" s="8"/>
      <x:c r="AL252" s="8"/>
      <x:c r="AM252" s="8"/>
      <x:c r="AN252" s="8" t="n">
        <x:v>8.816</x:v>
      </x:c>
      <x:c r="AO252" s="8" t="n">
        <x:v>161.968</x:v>
      </x:c>
      <x:c r="AP252" s="8" t="n">
        <x:v>8.816</x:v>
      </x:c>
      <x:c r="AQ252" s="8" t="n">
        <x:v>161.968</x:v>
      </x:c>
      <x:c r="AR252" s="8"/>
      <x:c r="AS252" s="8"/>
      <x:c r="AT252" s="8"/>
      <x:c r="AU252" s="8"/>
      <x:c r="AV252" s="8"/>
      <x:c r="AW252" s="8"/>
      <x:c r="AX252" s="8"/>
      <x:c r="AY252" s="8"/>
      <x:c r="AZ252" s="8"/>
      <x:c r="BA252" s="8"/>
      <x:c r="BB252" s="8" t="n">
        <x:f>LET(m,MIN(IF(D252&gt;0,D252,1E+99),IF(F252&gt;0,F252,1E+99),IF(H252&gt;0,H252,1E+99),IF(J252&gt;0,J252,1E+99),IF(L252&gt;0,L252,1E+99),IF(N252&gt;0,N252,1E+99),IF(P252&gt;0,P252,1E+99),IF(R252&gt;0,R252,1E+99),IF(T252&gt;0,T252,1E+99),IF(V252&gt;0,V252,1E+99),IF(X252&gt;0,X252,1E+99),IF(Z252&gt;0,Z252,1E+99),IF(AB252&gt;0,AB252,1E+99),IF(AD252&gt;0,AD252,1E+99),IF(AF252&gt;0,AF252,1E+99),IF(AH252&gt;0,AH252,1E+99),IF(AJ252&gt;0,AJ252,1E+99),IF(AL252&gt;0,AL252,1E+99),IF(AN252&gt;0,AN252,1E+99),IF(AP252&gt;0,AP252,1E+99),IF(AR252&gt;0,AR252,1E+99),IF(AT252&gt;0,AT252,1E+99),IF(AV252&gt;0,AV252,1E+99),IF(AX252&gt;0,AX252,1E+99),IF(AZ252&gt;0,AZ252,1E+99)),IF(m=1E+99,"",m))</x:f>
        <x:v>8.816</x:v>
      </x:c>
      <x:c r="BC252" s="12" t="e">
        <x:f>IF(BB252="","",INDEX({"v1.4.20","v1.4.20","v1.4.21","v1.4.21","v1.4.23","v1.4.23","v1.4.26","v1.4.26","v1.4.26.1","v1.4.26.1","v1.4.27","v1.4.27","v1.4.29","v1.4.29","v1.4.30","v1.4.30","v1.4.31","v1.4.31","v1.4.33","v1.4.33","v1.4.35","v1.4.35.2","v1.5","v1.5.1","v1.5.1"},MATCH(BB252,CHOOSE({1,2,3,4,5,6,7,8,9,10,11,12,13,14,15,16,17,18,19,20,21,22,23,24,25},D252,F252,H252,J252,L252,N252,P252,R252,T252,V252,X252,Z252,AB252,AD252,AF252,AH252,AJ252,AL252,AN252,AP252,AR252,AT252,AV252,AX252,AZ252),0)))</x:f>
      </x:c>
      <x:c r="BD252" s="14" t="n">
        <x:f>LET(m,MIN(IF(E252&gt;0,E252,1E+99),IF(G252&gt;0,G252,1E+99),IF(I252&gt;0,I252,1E+99),IF(K252&gt;0,K252,1E+99),IF(M252&gt;0,M252,1E+99),IF(O252&gt;0,O252,1E+99),IF(Q252&gt;0,Q252,1E+99),IF(S252&gt;0,S252,1E+99),IF(U252&gt;0,U252,1E+99),IF(W252&gt;0,W252,1E+99),IF(Y252&gt;0,Y252,1E+99),IF(AA252&gt;0,AA252,1E+99),IF(AC252&gt;0,AC252,1E+99),IF(AE252&gt;0,AE252,1E+99),IF(AG252&gt;0,AG252,1E+99),IF(AI252&gt;0,AI252,1E+99),IF(AK252&gt;0,AK252,1E+99),IF(AM252&gt;0,AM252,1E+99),IF(AO252&gt;0,AO252,1E+99),IF(AQ252&gt;0,AQ252,1E+99),IF(AS252&gt;0,AS252,1E+99),IF(AU252&gt;0,AU252,1E+99),IF(AW252&gt;0,AW252,1E+99),IF(AY252&gt;0,AY252,1E+99),IF(BA252&gt;0,BA252,1E+99)),IF(m=1E+99,"",m))</x:f>
        <x:v>161.968</x:v>
      </x:c>
      <x:c r="BE252" s="16" t="e">
        <x:f>IF(BD252="","",INDEX({"v1.4.20","v1.4.20","v1.4.21","v1.4.21","v1.4.23","v1.4.23","v1.4.26","v1.4.26","v1.4.26.1","v1.4.26.1","v1.4.27","v1.4.27","v1.4.29","v1.4.29","v1.4.30","v1.4.30","v1.4.31","v1.4.31","v1.4.33","v1.4.33","v1.4.35","v1.4.35.2","v1.5","v1.5.1","v1.5.1"},MATCH(BD252,CHOOSE({1,2,3,4,5,6,7,8,9,10,11,12,13,14,15,16,17,18,19,20,21,22,23,24,25},E252,G252,I252,K252,M252,O252,Q252,S252,U252,W252,Y252,AA252,AC252,AE252,AG252,AI252,AK252,AM252,AO252,AQ252,AS252,AU252,AW252,AY252,BA252),0)))</x:f>
      </x:c>
      <x:c r="BF252" s="10" t="n">
        <x:f>IFERROR((AX252-BB252)/BB252,"")</x:f>
        <x:v>-1</x:v>
      </x:c>
      <x:c r="BG252" s="10" t="n">
        <x:f>IFERROR((AY252-BD252)/BD252,"")</x:f>
        <x:v>-1</x:v>
      </x:c>
    </x:row>
    <x:row r="253">
      <x:c r="A253" t="str">
        <x:v>Disenrolled Exclusion</x:v>
      </x:c>
      <x:c r="B253" t="str">
        <x:v>Create / Refresh All Templates</x:v>
      </x:c>
      <x:c r="C253" t="str">
        <x:v>Resize rows: Template - Disenrolled Exclusion (800 rows)</x:v>
      </x:c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8"/>
      <x:c r="U253" s="8"/>
      <x:c r="V253" s="8"/>
      <x:c r="W253" s="8"/>
      <x:c r="X253" s="8"/>
      <x:c r="Y253" s="8"/>
      <x:c r="Z253" s="8"/>
      <x:c r="AA253" s="8"/>
      <x:c r="AB253" s="8"/>
      <x:c r="AC253" s="8"/>
      <x:c r="AD253" s="8"/>
      <x:c r="AE253" s="8"/>
      <x:c r="AF253" s="8" t="n">
        <x:v>16.599</x:v>
      </x:c>
      <x:c r="AG253" s="8" t="n">
        <x:v>236.148</x:v>
      </x:c>
      <x:c r="AH253" s="8"/>
      <x:c r="AI253" s="8"/>
      <x:c r="AJ253" s="8" t="n">
        <x:v>17.031</x:v>
      </x:c>
      <x:c r="AK253" s="8" t="n">
        <x:v>186.351</x:v>
      </x:c>
      <x:c r="AL253" s="8" t="n">
        <x:v>17.031</x:v>
      </x:c>
      <x:c r="AM253" s="8" t="n">
        <x:v>186.351</x:v>
      </x:c>
      <x:c r="AN253" s="8"/>
      <x:c r="AO253" s="8"/>
      <x:c r="AP253" s="8"/>
      <x:c r="AQ253" s="8"/>
      <x:c r="AR253" s="8"/>
      <x:c r="AS253" s="8"/>
      <x:c r="AT253" s="8"/>
      <x:c r="AU253" s="8"/>
      <x:c r="AV253" s="8"/>
      <x:c r="AW253" s="8"/>
      <x:c r="AX253" s="8"/>
      <x:c r="AY253" s="8"/>
      <x:c r="AZ253" s="8"/>
      <x:c r="BA253" s="8"/>
      <x:c r="BB253" s="8" t="n">
        <x:f>LET(m,MIN(IF(D253&gt;0,D253,1E+99),IF(F253&gt;0,F253,1E+99),IF(H253&gt;0,H253,1E+99),IF(J253&gt;0,J253,1E+99),IF(L253&gt;0,L253,1E+99),IF(N253&gt;0,N253,1E+99),IF(P253&gt;0,P253,1E+99),IF(R253&gt;0,R253,1E+99),IF(T253&gt;0,T253,1E+99),IF(V253&gt;0,V253,1E+99),IF(X253&gt;0,X253,1E+99),IF(Z253&gt;0,Z253,1E+99),IF(AB253&gt;0,AB253,1E+99),IF(AD253&gt;0,AD253,1E+99),IF(AF253&gt;0,AF253,1E+99),IF(AH253&gt;0,AH253,1E+99),IF(AJ253&gt;0,AJ253,1E+99),IF(AL253&gt;0,AL253,1E+99),IF(AN253&gt;0,AN253,1E+99),IF(AP253&gt;0,AP253,1E+99),IF(AR253&gt;0,AR253,1E+99),IF(AT253&gt;0,AT253,1E+99),IF(AV253&gt;0,AV253,1E+99),IF(AX253&gt;0,AX253,1E+99),IF(AZ253&gt;0,AZ253,1E+99)),IF(m=1E+99,"",m))</x:f>
        <x:v>16.599</x:v>
      </x:c>
      <x:c r="BC253" s="12" t="e">
        <x:f>IF(BB253="","",INDEX({"v1.4.20","v1.4.20","v1.4.21","v1.4.21","v1.4.23","v1.4.23","v1.4.26","v1.4.26","v1.4.26.1","v1.4.26.1","v1.4.27","v1.4.27","v1.4.29","v1.4.29","v1.4.30","v1.4.30","v1.4.31","v1.4.31","v1.4.33","v1.4.33","v1.4.35","v1.4.35.2","v1.5","v1.5.1","v1.5.1"},MATCH(BB253,CHOOSE({1,2,3,4,5,6,7,8,9,10,11,12,13,14,15,16,17,18,19,20,21,22,23,24,25},D253,F253,H253,J253,L253,N253,P253,R253,T253,V253,X253,Z253,AB253,AD253,AF253,AH253,AJ253,AL253,AN253,AP253,AR253,AT253,AV253,AX253,AZ253),0)))</x:f>
      </x:c>
      <x:c r="BD253" s="14" t="n">
        <x:f>LET(m,MIN(IF(E253&gt;0,E253,1E+99),IF(G253&gt;0,G253,1E+99),IF(I253&gt;0,I253,1E+99),IF(K253&gt;0,K253,1E+99),IF(M253&gt;0,M253,1E+99),IF(O253&gt;0,O253,1E+99),IF(Q253&gt;0,Q253,1E+99),IF(S253&gt;0,S253,1E+99),IF(U253&gt;0,U253,1E+99),IF(W253&gt;0,W253,1E+99),IF(Y253&gt;0,Y253,1E+99),IF(AA253&gt;0,AA253,1E+99),IF(AC253&gt;0,AC253,1E+99),IF(AE253&gt;0,AE253,1E+99),IF(AG253&gt;0,AG253,1E+99),IF(AI253&gt;0,AI253,1E+99),IF(AK253&gt;0,AK253,1E+99),IF(AM253&gt;0,AM253,1E+99),IF(AO253&gt;0,AO253,1E+99),IF(AQ253&gt;0,AQ253,1E+99),IF(AS253&gt;0,AS253,1E+99),IF(AU253&gt;0,AU253,1E+99),IF(AW253&gt;0,AW253,1E+99),IF(AY253&gt;0,AY253,1E+99),IF(BA253&gt;0,BA253,1E+99)),IF(m=1E+99,"",m))</x:f>
        <x:v>186.351</x:v>
      </x:c>
      <x:c r="BE253" s="16" t="e">
        <x:f>IF(BD253="","",INDEX({"v1.4.20","v1.4.20","v1.4.21","v1.4.21","v1.4.23","v1.4.23","v1.4.26","v1.4.26","v1.4.26.1","v1.4.26.1","v1.4.27","v1.4.27","v1.4.29","v1.4.29","v1.4.30","v1.4.30","v1.4.31","v1.4.31","v1.4.33","v1.4.33","v1.4.35","v1.4.35.2","v1.5","v1.5.1","v1.5.1"},MATCH(BD253,CHOOSE({1,2,3,4,5,6,7,8,9,10,11,12,13,14,15,16,17,18,19,20,21,22,23,24,25},E253,G253,I253,K253,M253,O253,Q253,S253,U253,W253,Y253,AA253,AC253,AE253,AG253,AI253,AK253,AM253,AO253,AQ253,AS253,AU253,AW253,AY253,BA253),0)))</x:f>
      </x:c>
      <x:c r="BF253" s="10" t="n">
        <x:f>IFERROR((AX253-BB253)/BB253,"")</x:f>
        <x:v>-1</x:v>
      </x:c>
      <x:c r="BG253" s="10" t="n">
        <x:f>IFERROR((AY253-BD253)/BD253,"")</x:f>
        <x:v>-1</x:v>
      </x:c>
    </x:row>
    <x:row r="254">
      <x:c r="A254" t="str">
        <x:v>Disenrolled Exclusion</x:v>
      </x:c>
      <x:c r="B254" t="str">
        <x:v>Create / Refresh All Templates</x:v>
      </x:c>
      <x:c r="C254" t="str">
        <x:v>Resize sheet: Template - Disenrolled Exclusion (800 rows x 32 cols)</x:v>
      </x:c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  <x:c r="P254" s="8" t="n">
        <x:v>1.067</x:v>
      </x:c>
      <x:c r="Q254" s="8" t="n">
        <x:v>135.521</x:v>
      </x:c>
      <x:c r="R254" s="8" t="n">
        <x:v>1.067</x:v>
      </x:c>
      <x:c r="S254" s="8" t="n">
        <x:v>135.521</x:v>
      </x:c>
      <x:c r="T254" s="8"/>
      <x:c r="U254" s="8"/>
      <x:c r="V254" s="8"/>
      <x:c r="W254" s="8"/>
      <x:c r="X254" s="8" t="n">
        <x:v>2.349</x:v>
      </x:c>
      <x:c r="Y254" s="8" t="n">
        <x:v>251.749</x:v>
      </x:c>
      <x:c r="Z254" s="8" t="n">
        <x:v>2.349</x:v>
      </x:c>
      <x:c r="AA254" s="8" t="n">
        <x:v>251.749</x:v>
      </x:c>
      <x:c r="AB254" s="8" t="n">
        <x:v>15.322</x:v>
      </x:c>
      <x:c r="AC254" s="8" t="n">
        <x:v>228.076</x:v>
      </x:c>
      <x:c r="AD254" s="8" t="n">
        <x:v>15.322</x:v>
      </x:c>
      <x:c r="AE254" s="8" t="n">
        <x:v>228.076</x:v>
      </x:c>
      <x:c r="AF254" s="8"/>
      <x:c r="AG254" s="8"/>
      <x:c r="AH254" s="8"/>
      <x:c r="AI254" s="8"/>
      <x:c r="AJ254" s="8"/>
      <x:c r="AK254" s="8"/>
      <x:c r="AL254" s="8"/>
      <x:c r="AM254" s="8"/>
      <x:c r="AN254" s="8"/>
      <x:c r="AO254" s="8"/>
      <x:c r="AP254" s="8"/>
      <x:c r="AQ254" s="8"/>
      <x:c r="AR254" s="8"/>
      <x:c r="AS254" s="8"/>
      <x:c r="AT254" s="8"/>
      <x:c r="AU254" s="8"/>
      <x:c r="AV254" s="8"/>
      <x:c r="AW254" s="8"/>
      <x:c r="AX254" s="8"/>
      <x:c r="AY254" s="8"/>
      <x:c r="AZ254" s="8"/>
      <x:c r="BA254" s="8"/>
      <x:c r="BB254" s="8" t="n">
        <x:f>LET(m,MIN(IF(D254&gt;0,D254,1E+99),IF(F254&gt;0,F254,1E+99),IF(H254&gt;0,H254,1E+99),IF(J254&gt;0,J254,1E+99),IF(L254&gt;0,L254,1E+99),IF(N254&gt;0,N254,1E+99),IF(P254&gt;0,P254,1E+99),IF(R254&gt;0,R254,1E+99),IF(T254&gt;0,T254,1E+99),IF(V254&gt;0,V254,1E+99),IF(X254&gt;0,X254,1E+99),IF(Z254&gt;0,Z254,1E+99),IF(AB254&gt;0,AB254,1E+99),IF(AD254&gt;0,AD254,1E+99),IF(AF254&gt;0,AF254,1E+99),IF(AH254&gt;0,AH254,1E+99),IF(AJ254&gt;0,AJ254,1E+99),IF(AL254&gt;0,AL254,1E+99),IF(AN254&gt;0,AN254,1E+99),IF(AP254&gt;0,AP254,1E+99),IF(AR254&gt;0,AR254,1E+99),IF(AT254&gt;0,AT254,1E+99),IF(AV254&gt;0,AV254,1E+99),IF(AX254&gt;0,AX254,1E+99),IF(AZ254&gt;0,AZ254,1E+99)),IF(m=1E+99,"",m))</x:f>
        <x:v>1.067</x:v>
      </x:c>
      <x:c r="BC254" s="12" t="e">
        <x:f>IF(BB254="","",INDEX({"v1.4.20","v1.4.20","v1.4.21","v1.4.21","v1.4.23","v1.4.23","v1.4.26","v1.4.26","v1.4.26.1","v1.4.26.1","v1.4.27","v1.4.27","v1.4.29","v1.4.29","v1.4.30","v1.4.30","v1.4.31","v1.4.31","v1.4.33","v1.4.33","v1.4.35","v1.4.35.2","v1.5","v1.5.1","v1.5.1"},MATCH(BB254,CHOOSE({1,2,3,4,5,6,7,8,9,10,11,12,13,14,15,16,17,18,19,20,21,22,23,24,25},D254,F254,H254,J254,L254,N254,P254,R254,T254,V254,X254,Z254,AB254,AD254,AF254,AH254,AJ254,AL254,AN254,AP254,AR254,AT254,AV254,AX254,AZ254),0)))</x:f>
      </x:c>
      <x:c r="BD254" s="14" t="n">
        <x:f>LET(m,MIN(IF(E254&gt;0,E254,1E+99),IF(G254&gt;0,G254,1E+99),IF(I254&gt;0,I254,1E+99),IF(K254&gt;0,K254,1E+99),IF(M254&gt;0,M254,1E+99),IF(O254&gt;0,O254,1E+99),IF(Q254&gt;0,Q254,1E+99),IF(S254&gt;0,S254,1E+99),IF(U254&gt;0,U254,1E+99),IF(W254&gt;0,W254,1E+99),IF(Y254&gt;0,Y254,1E+99),IF(AA254&gt;0,AA254,1E+99),IF(AC254&gt;0,AC254,1E+99),IF(AE254&gt;0,AE254,1E+99),IF(AG254&gt;0,AG254,1E+99),IF(AI254&gt;0,AI254,1E+99),IF(AK254&gt;0,AK254,1E+99),IF(AM254&gt;0,AM254,1E+99),IF(AO254&gt;0,AO254,1E+99),IF(AQ254&gt;0,AQ254,1E+99),IF(AS254&gt;0,AS254,1E+99),IF(AU254&gt;0,AU254,1E+99),IF(AW254&gt;0,AW254,1E+99),IF(AY254&gt;0,AY254,1E+99),IF(BA254&gt;0,BA254,1E+99)),IF(m=1E+99,"",m))</x:f>
        <x:v>135.521</x:v>
      </x:c>
      <x:c r="BE254" s="16" t="e">
        <x:f>IF(BD254="","",INDEX({"v1.4.20","v1.4.20","v1.4.21","v1.4.21","v1.4.23","v1.4.23","v1.4.26","v1.4.26","v1.4.26.1","v1.4.26.1","v1.4.27","v1.4.27","v1.4.29","v1.4.29","v1.4.30","v1.4.30","v1.4.31","v1.4.31","v1.4.33","v1.4.33","v1.4.35","v1.4.35.2","v1.5","v1.5.1","v1.5.1"},MATCH(BD254,CHOOSE({1,2,3,4,5,6,7,8,9,10,11,12,13,14,15,16,17,18,19,20,21,22,23,24,25},E254,G254,I254,K254,M254,O254,Q254,S254,U254,W254,Y254,AA254,AC254,AE254,AG254,AI254,AK254,AM254,AO254,AQ254,AS254,AU254,AW254,AY254,BA254),0)))</x:f>
      </x:c>
      <x:c r="BF254" s="10" t="n">
        <x:f>IFERROR((AX254-BB254)/BB254,"")</x:f>
        <x:v>-1</x:v>
      </x:c>
      <x:c r="BG254" s="10" t="n">
        <x:f>IFERROR((AY254-BD254)/BD254,"")</x:f>
        <x:v>-1</x:v>
      </x:c>
    </x:row>
    <x:row r="255">
      <x:c r="A255" t="str">
        <x:v>Disenrolled Exclusion</x:v>
      </x:c>
      <x:c r="B255" t="str">
        <x:v>Create / Refresh All Templates</x:v>
      </x:c>
      <x:c r="C255" t="str">
        <x:v>Resize sheet: Template - Disenrolled Exclusion (800 rows x 48 cols)</x:v>
      </x:c>
      <x:c r="D255" s="8" t="n">
        <x:v>1.32</x:v>
      </x:c>
      <x:c r="E255" s="8" t="n">
        <x:v>162.808</x:v>
      </x:c>
      <x:c r="F255" s="8" t="n">
        <x:v>1.32</x:v>
      </x:c>
      <x:c r="G255" s="8" t="n">
        <x:v>162.808</x:v>
      </x:c>
      <x:c r="H255" s="8"/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8"/>
      <x:c r="U255" s="8"/>
      <x:c r="V255" s="8"/>
      <x:c r="W255" s="8"/>
      <x:c r="X255" s="8"/>
      <x:c r="Y255" s="8"/>
      <x:c r="Z255" s="8"/>
      <x:c r="AA255" s="8"/>
      <x:c r="AB255" s="8"/>
      <x:c r="AC255" s="8"/>
      <x:c r="AD255" s="8"/>
      <x:c r="AE255" s="8"/>
      <x:c r="AF255" s="8"/>
      <x:c r="AG255" s="8"/>
      <x:c r="AH255" s="8"/>
      <x:c r="AI255" s="8"/>
      <x:c r="AJ255" s="8"/>
      <x:c r="AK255" s="8"/>
      <x:c r="AL255" s="8"/>
      <x:c r="AM255" s="8"/>
      <x:c r="AN255" s="8"/>
      <x:c r="AO255" s="8"/>
      <x:c r="AP255" s="8"/>
      <x:c r="AQ255" s="8"/>
      <x:c r="AR255" s="8"/>
      <x:c r="AS255" s="8"/>
      <x:c r="AT255" s="8"/>
      <x:c r="AU255" s="8"/>
      <x:c r="AV255" s="8"/>
      <x:c r="AW255" s="8"/>
      <x:c r="AX255" s="8"/>
      <x:c r="AY255" s="8"/>
      <x:c r="AZ255" s="8"/>
      <x:c r="BA255" s="8"/>
      <x:c r="BB255" s="8" t="n">
        <x:f>LET(m,MIN(IF(D255&gt;0,D255,1E+99),IF(F255&gt;0,F255,1E+99),IF(H255&gt;0,H255,1E+99),IF(J255&gt;0,J255,1E+99),IF(L255&gt;0,L255,1E+99),IF(N255&gt;0,N255,1E+99),IF(P255&gt;0,P255,1E+99),IF(R255&gt;0,R255,1E+99),IF(T255&gt;0,T255,1E+99),IF(V255&gt;0,V255,1E+99),IF(X255&gt;0,X255,1E+99),IF(Z255&gt;0,Z255,1E+99),IF(AB255&gt;0,AB255,1E+99),IF(AD255&gt;0,AD255,1E+99),IF(AF255&gt;0,AF255,1E+99),IF(AH255&gt;0,AH255,1E+99),IF(AJ255&gt;0,AJ255,1E+99),IF(AL255&gt;0,AL255,1E+99),IF(AN255&gt;0,AN255,1E+99),IF(AP255&gt;0,AP255,1E+99),IF(AR255&gt;0,AR255,1E+99),IF(AT255&gt;0,AT255,1E+99),IF(AV255&gt;0,AV255,1E+99),IF(AX255&gt;0,AX255,1E+99),IF(AZ255&gt;0,AZ255,1E+99)),IF(m=1E+99,"",m))</x:f>
        <x:v>1.32</x:v>
      </x:c>
      <x:c r="BC255" s="12" t="str">
        <x:f>IF(BB255="","",INDEX({"v1.4.20","v1.4.20","v1.4.21","v1.4.21","v1.4.23","v1.4.23","v1.4.26","v1.4.26","v1.4.26.1","v1.4.26.1","v1.4.27","v1.4.27","v1.4.29","v1.4.29","v1.4.30","v1.4.30","v1.4.31","v1.4.31","v1.4.33","v1.4.33","v1.4.35","v1.4.35.2","v1.5","v1.5.1","v1.5.1"},MATCH(BB255,CHOOSE({1,2,3,4,5,6,7,8,9,10,11,12,13,14,15,16,17,18,19,20,21,22,23,24,25},D255,F255,H255,J255,L255,N255,P255,R255,T255,V255,X255,Z255,AB255,AD255,AF255,AH255,AJ255,AL255,AN255,AP255,AR255,AT255,AV255,AX255,AZ255),0)))</x:f>
        <x:v>v1.4.20</x:v>
      </x:c>
      <x:c r="BD255" s="14" t="n">
        <x:f>LET(m,MIN(IF(E255&gt;0,E255,1E+99),IF(G255&gt;0,G255,1E+99),IF(I255&gt;0,I255,1E+99),IF(K255&gt;0,K255,1E+99),IF(M255&gt;0,M255,1E+99),IF(O255&gt;0,O255,1E+99),IF(Q255&gt;0,Q255,1E+99),IF(S255&gt;0,S255,1E+99),IF(U255&gt;0,U255,1E+99),IF(W255&gt;0,W255,1E+99),IF(Y255&gt;0,Y255,1E+99),IF(AA255&gt;0,AA255,1E+99),IF(AC255&gt;0,AC255,1E+99),IF(AE255&gt;0,AE255,1E+99),IF(AG255&gt;0,AG255,1E+99),IF(AI255&gt;0,AI255,1E+99),IF(AK255&gt;0,AK255,1E+99),IF(AM255&gt;0,AM255,1E+99),IF(AO255&gt;0,AO255,1E+99),IF(AQ255&gt;0,AQ255,1E+99),IF(AS255&gt;0,AS255,1E+99),IF(AU255&gt;0,AU255,1E+99),IF(AW255&gt;0,AW255,1E+99),IF(AY255&gt;0,AY255,1E+99),IF(BA255&gt;0,BA255,1E+99)),IF(m=1E+99,"",m))</x:f>
        <x:v>162.808</x:v>
      </x:c>
      <x:c r="BE255" s="16" t="str">
        <x:f>IF(BD255="","",INDEX({"v1.4.20","v1.4.20","v1.4.21","v1.4.21","v1.4.23","v1.4.23","v1.4.26","v1.4.26","v1.4.26.1","v1.4.26.1","v1.4.27","v1.4.27","v1.4.29","v1.4.29","v1.4.30","v1.4.30","v1.4.31","v1.4.31","v1.4.33","v1.4.33","v1.4.35","v1.4.35.2","v1.5","v1.5.1","v1.5.1"},MATCH(BD255,CHOOSE({1,2,3,4,5,6,7,8,9,10,11,12,13,14,15,16,17,18,19,20,21,22,23,24,25},E255,G255,I255,K255,M255,O255,Q255,S255,U255,W255,Y255,AA255,AC255,AE255,AG255,AI255,AK255,AM255,AO255,AQ255,AS255,AU255,AW255,AY255,BA255),0)))</x:f>
        <x:v>v1.4.20</x:v>
      </x:c>
      <x:c r="BF255" s="10" t="n">
        <x:f>IFERROR((AX255-BB255)/BB255,"")</x:f>
        <x:v>-1</x:v>
      </x:c>
      <x:c r="BG255" s="10" t="n">
        <x:f>IFERROR((AY255-BD255)/BD255,"")</x:f>
        <x:v>-1</x:v>
      </x:c>
    </x:row>
    <x:row r="256">
      <x:c r="A256" t="str">
        <x:v>Disenrolled Exclusion</x:v>
      </x:c>
      <x:c r="B256" t="str">
        <x:v>Create / Refresh All Templates</x:v>
      </x:c>
      <x:c r="C256" t="str">
        <x:v>Resize sheet: Template - Disenrolled Exclusion (800 rows x 51 cols)</x:v>
      </x:c>
      <x:c r="D256" s="8"/>
      <x:c r="E256" s="8"/>
      <x:c r="F256" s="8"/>
      <x:c r="G256" s="8"/>
      <x:c r="H256" s="8" t="n">
        <x:v>3.411</x:v>
      </x:c>
      <x:c r="I256" s="8" t="n">
        <x:v>206.119</x:v>
      </x:c>
      <x:c r="J256" s="8" t="n">
        <x:v>3.411</x:v>
      </x:c>
      <x:c r="K256" s="8" t="n">
        <x:v>206.119</x:v>
      </x:c>
      <x:c r="L256" s="8" t="n">
        <x:v>1.334</x:v>
      </x:c>
      <x:c r="M256" s="8" t="n">
        <x:v>202.746</x:v>
      </x:c>
      <x:c r="N256" s="8" t="n">
        <x:v>1.334</x:v>
      </x:c>
      <x:c r="O256" s="8" t="n">
        <x:v>202.746</x:v>
      </x:c>
      <x:c r="P256" s="8"/>
      <x:c r="Q256" s="8"/>
      <x:c r="R256" s="8"/>
      <x:c r="S256" s="8"/>
      <x:c r="T256" s="8"/>
      <x:c r="U256" s="8"/>
      <x:c r="V256" s="8"/>
      <x:c r="W256" s="8"/>
      <x:c r="X256" s="8"/>
      <x:c r="Y256" s="8"/>
      <x:c r="Z256" s="8"/>
      <x:c r="AA256" s="8"/>
      <x:c r="AB256" s="8"/>
      <x:c r="AC256" s="8"/>
      <x:c r="AD256" s="8"/>
      <x:c r="AE256" s="8"/>
      <x:c r="AF256" s="8"/>
      <x:c r="AG256" s="8"/>
      <x:c r="AH256" s="8"/>
      <x:c r="AI256" s="8"/>
      <x:c r="AJ256" s="8"/>
      <x:c r="AK256" s="8"/>
      <x:c r="AL256" s="8"/>
      <x:c r="AM256" s="8"/>
      <x:c r="AN256" s="8"/>
      <x:c r="AO256" s="8"/>
      <x:c r="AP256" s="8"/>
      <x:c r="AQ256" s="8"/>
      <x:c r="AR256" s="8"/>
      <x:c r="AS256" s="8"/>
      <x:c r="AT256" s="8"/>
      <x:c r="AU256" s="8"/>
      <x:c r="AV256" s="8"/>
      <x:c r="AW256" s="8"/>
      <x:c r="AX256" s="8"/>
      <x:c r="AY256" s="8"/>
      <x:c r="AZ256" s="8"/>
      <x:c r="BA256" s="8"/>
      <x:c r="BB256" s="8" t="n">
        <x:f>LET(m,MIN(IF(D256&gt;0,D256,1E+99),IF(F256&gt;0,F256,1E+99),IF(H256&gt;0,H256,1E+99),IF(J256&gt;0,J256,1E+99),IF(L256&gt;0,L256,1E+99),IF(N256&gt;0,N256,1E+99),IF(P256&gt;0,P256,1E+99),IF(R256&gt;0,R256,1E+99),IF(T256&gt;0,T256,1E+99),IF(V256&gt;0,V256,1E+99),IF(X256&gt;0,X256,1E+99),IF(Z256&gt;0,Z256,1E+99),IF(AB256&gt;0,AB256,1E+99),IF(AD256&gt;0,AD256,1E+99),IF(AF256&gt;0,AF256,1E+99),IF(AH256&gt;0,AH256,1E+99),IF(AJ256&gt;0,AJ256,1E+99),IF(AL256&gt;0,AL256,1E+99),IF(AN256&gt;0,AN256,1E+99),IF(AP256&gt;0,AP256,1E+99),IF(AR256&gt;0,AR256,1E+99),IF(AT256&gt;0,AT256,1E+99),IF(AV256&gt;0,AV256,1E+99),IF(AX256&gt;0,AX256,1E+99),IF(AZ256&gt;0,AZ256,1E+99)),IF(m=1E+99,"",m))</x:f>
        <x:v>1.334</x:v>
      </x:c>
      <x:c r="BC256" s="12" t="e">
        <x:f>IF(BB256="","",INDEX({"v1.4.20","v1.4.20","v1.4.21","v1.4.21","v1.4.23","v1.4.23","v1.4.26","v1.4.26","v1.4.26.1","v1.4.26.1","v1.4.27","v1.4.27","v1.4.29","v1.4.29","v1.4.30","v1.4.30","v1.4.31","v1.4.31","v1.4.33","v1.4.33","v1.4.35","v1.4.35.2","v1.5","v1.5.1","v1.5.1"},MATCH(BB256,CHOOSE({1,2,3,4,5,6,7,8,9,10,11,12,13,14,15,16,17,18,19,20,21,22,23,24,25},D256,F256,H256,J256,L256,N256,P256,R256,T256,V256,X256,Z256,AB256,AD256,AF256,AH256,AJ256,AL256,AN256,AP256,AR256,AT256,AV256,AX256,AZ256),0)))</x:f>
      </x:c>
      <x:c r="BD256" s="14" t="n">
        <x:f>LET(m,MIN(IF(E256&gt;0,E256,1E+99),IF(G256&gt;0,G256,1E+99),IF(I256&gt;0,I256,1E+99),IF(K256&gt;0,K256,1E+99),IF(M256&gt;0,M256,1E+99),IF(O256&gt;0,O256,1E+99),IF(Q256&gt;0,Q256,1E+99),IF(S256&gt;0,S256,1E+99),IF(U256&gt;0,U256,1E+99),IF(W256&gt;0,W256,1E+99),IF(Y256&gt;0,Y256,1E+99),IF(AA256&gt;0,AA256,1E+99),IF(AC256&gt;0,AC256,1E+99),IF(AE256&gt;0,AE256,1E+99),IF(AG256&gt;0,AG256,1E+99),IF(AI256&gt;0,AI256,1E+99),IF(AK256&gt;0,AK256,1E+99),IF(AM256&gt;0,AM256,1E+99),IF(AO256&gt;0,AO256,1E+99),IF(AQ256&gt;0,AQ256,1E+99),IF(AS256&gt;0,AS256,1E+99),IF(AU256&gt;0,AU256,1E+99),IF(AW256&gt;0,AW256,1E+99),IF(AY256&gt;0,AY256,1E+99),IF(BA256&gt;0,BA256,1E+99)),IF(m=1E+99,"",m))</x:f>
        <x:v>202.746</x:v>
      </x:c>
      <x:c r="BE256" s="16" t="e">
        <x:f>IF(BD256="","",INDEX({"v1.4.20","v1.4.20","v1.4.21","v1.4.21","v1.4.23","v1.4.23","v1.4.26","v1.4.26","v1.4.26.1","v1.4.26.1","v1.4.27","v1.4.27","v1.4.29","v1.4.29","v1.4.30","v1.4.30","v1.4.31","v1.4.31","v1.4.33","v1.4.33","v1.4.35","v1.4.35.2","v1.5","v1.5.1","v1.5.1"},MATCH(BD256,CHOOSE({1,2,3,4,5,6,7,8,9,10,11,12,13,14,15,16,17,18,19,20,21,22,23,24,25},E256,G256,I256,K256,M256,O256,Q256,S256,U256,W256,Y256,AA256,AC256,AE256,AG256,AI256,AK256,AM256,AO256,AQ256,AS256,AU256,AW256,AY256,BA256),0)))</x:f>
      </x:c>
      <x:c r="BF256" s="10" t="n">
        <x:f>IFERROR((AX256-BB256)/BB256,"")</x:f>
        <x:v>-1</x:v>
      </x:c>
      <x:c r="BG256" s="10" t="n">
        <x:f>IFERROR((AY256-BD256)/BD256,"")</x:f>
        <x:v>-1</x:v>
      </x:c>
    </x:row>
    <x:row r="257">
      <x:c r="A257" t="str">
        <x:v>Master List Change Log</x:v>
      </x:c>
      <x:c r="B257" t="str">
        <x:v>Create / Refresh All Templates</x:v>
      </x:c>
      <x:c r="C257" t="str">
        <x:v>Open/create sheet: Template - Master List Change Log</x:v>
      </x:c>
      <x:c r="D257" s="8" t="n">
        <x:v>1.942</x:v>
      </x:c>
      <x:c r="E257" s="8" t="n">
        <x:v>175.587</x:v>
      </x:c>
      <x:c r="F257" s="8" t="n">
        <x:v>1.942</x:v>
      </x:c>
      <x:c r="G257" s="8" t="n">
        <x:v>175.587</x:v>
      </x:c>
      <x:c r="H257" s="8" t="n">
        <x:v>2.912</x:v>
      </x:c>
      <x:c r="I257" s="8" t="n">
        <x:v>222.827</x:v>
      </x:c>
      <x:c r="J257" s="8" t="n">
        <x:v>2.912</x:v>
      </x:c>
      <x:c r="K257" s="8" t="n">
        <x:v>222.827</x:v>
      </x:c>
      <x:c r="L257" s="8" t="n">
        <x:v>3.156</x:v>
      </x:c>
      <x:c r="M257" s="8" t="n">
        <x:v>220.561</x:v>
      </x:c>
      <x:c r="N257" s="8" t="n">
        <x:v>3.156</x:v>
      </x:c>
      <x:c r="O257" s="8" t="n">
        <x:v>220.561</x:v>
      </x:c>
      <x:c r="P257" s="8" t="n">
        <x:v>1.867</x:v>
      </x:c>
      <x:c r="Q257" s="8" t="n">
        <x:v>146.109</x:v>
      </x:c>
      <x:c r="R257" s="8" t="n">
        <x:v>1.867</x:v>
      </x:c>
      <x:c r="S257" s="8" t="n">
        <x:v>146.109</x:v>
      </x:c>
      <x:c r="T257" s="8" t="n">
        <x:v>2.281</x:v>
      </x:c>
      <x:c r="U257" s="8" t="n">
        <x:v>178.18</x:v>
      </x:c>
      <x:c r="V257" s="8" t="n">
        <x:v>2.281</x:v>
      </x:c>
      <x:c r="W257" s="8" t="n">
        <x:v>178.18</x:v>
      </x:c>
      <x:c r="X257" s="8" t="n">
        <x:v>3.07</x:v>
      </x:c>
      <x:c r="Y257" s="8" t="n">
        <x:v>270.582</x:v>
      </x:c>
      <x:c r="Z257" s="8" t="n">
        <x:v>3.07</x:v>
      </x:c>
      <x:c r="AA257" s="8" t="n">
        <x:v>270.582</x:v>
      </x:c>
      <x:c r="AB257" s="8" t="n">
        <x:v>3.45</x:v>
      </x:c>
      <x:c r="AC257" s="8" t="n">
        <x:v>249.31</x:v>
      </x:c>
      <x:c r="AD257" s="8" t="n">
        <x:v>3.45</x:v>
      </x:c>
      <x:c r="AE257" s="8" t="n">
        <x:v>249.31</x:v>
      </x:c>
      <x:c r="AF257" s="8" t="n">
        <x:v>3.842</x:v>
      </x:c>
      <x:c r="AG257" s="8" t="n">
        <x:v>256.382</x:v>
      </x:c>
      <x:c r="AH257" s="8" t="n">
        <x:v>3.842</x:v>
      </x:c>
      <x:c r="AI257" s="8" t="n">
        <x:v>256.382</x:v>
      </x:c>
      <x:c r="AJ257" s="8" t="n">
        <x:v>3.671</x:v>
      </x:c>
      <x:c r="AK257" s="8" t="n">
        <x:v>206.857</x:v>
      </x:c>
      <x:c r="AL257" s="8" t="n">
        <x:v>3.671</x:v>
      </x:c>
      <x:c r="AM257" s="8" t="n">
        <x:v>206.857</x:v>
      </x:c>
      <x:c r="AN257" s="8" t="n">
        <x:v>3.022</x:v>
      </x:c>
      <x:c r="AO257" s="8" t="n">
        <x:v>176.914</x:v>
      </x:c>
      <x:c r="AP257" s="8" t="n">
        <x:v>3.022</x:v>
      </x:c>
      <x:c r="AQ257" s="8" t="n">
        <x:v>176.914</x:v>
      </x:c>
      <x:c r="AR257" s="8" t="n">
        <x:v>3.667</x:v>
      </x:c>
      <x:c r="AS257" s="8" t="n">
        <x:v>272.845</x:v>
      </x:c>
      <x:c r="AT257" s="8" t="n">
        <x:v>2.206</x:v>
      </x:c>
      <x:c r="AU257" s="8" t="n">
        <x:v>190.427</x:v>
      </x:c>
      <x:c r="AV257" s="8" t="n">
        <x:v>3.226</x:v>
      </x:c>
      <x:c r="AW257" s="8" t="n">
        <x:v>234.919</x:v>
      </x:c>
      <x:c r="AX257" s="8" t="n">
        <x:v>2.939</x:v>
      </x:c>
      <x:c r="AY257" s="8" t="n">
        <x:v>235.383</x:v>
      </x:c>
      <x:c r="AZ257" s="8" t="n">
        <x:v>2.939</x:v>
      </x:c>
      <x:c r="BA257" s="8" t="n">
        <x:v>235.383</x:v>
      </x:c>
      <x:c r="BB257" s="8" t="n">
        <x:f>LET(m,MIN(IF(D257&gt;0,D257,1E+99),IF(F257&gt;0,F257,1E+99),IF(H257&gt;0,H257,1E+99),IF(J257&gt;0,J257,1E+99),IF(L257&gt;0,L257,1E+99),IF(N257&gt;0,N257,1E+99),IF(P257&gt;0,P257,1E+99),IF(R257&gt;0,R257,1E+99),IF(T257&gt;0,T257,1E+99),IF(V257&gt;0,V257,1E+99),IF(X257&gt;0,X257,1E+99),IF(Z257&gt;0,Z257,1E+99),IF(AB257&gt;0,AB257,1E+99),IF(AD257&gt;0,AD257,1E+99),IF(AF257&gt;0,AF257,1E+99),IF(AH257&gt;0,AH257,1E+99),IF(AJ257&gt;0,AJ257,1E+99),IF(AL257&gt;0,AL257,1E+99),IF(AN257&gt;0,AN257,1E+99),IF(AP257&gt;0,AP257,1E+99),IF(AR257&gt;0,AR257,1E+99),IF(AT257&gt;0,AT257,1E+99),IF(AV257&gt;0,AV257,1E+99),IF(AX257&gt;0,AX257,1E+99),IF(AZ257&gt;0,AZ257,1E+99)),IF(m=1E+99,"",m))</x:f>
        <x:v>1.867</x:v>
      </x:c>
      <x:c r="BC257" s="12" t="e">
        <x:f>IF(BB257="","",INDEX({"v1.4.20","v1.4.20","v1.4.21","v1.4.21","v1.4.23","v1.4.23","v1.4.26","v1.4.26","v1.4.26.1","v1.4.26.1","v1.4.27","v1.4.27","v1.4.29","v1.4.29","v1.4.30","v1.4.30","v1.4.31","v1.4.31","v1.4.33","v1.4.33","v1.4.35","v1.4.35.2","v1.5","v1.5.1","v1.5.1"},MATCH(BB257,CHOOSE({1,2,3,4,5,6,7,8,9,10,11,12,13,14,15,16,17,18,19,20,21,22,23,24,25},D257,F257,H257,J257,L257,N257,P257,R257,T257,V257,X257,Z257,AB257,AD257,AF257,AH257,AJ257,AL257,AN257,AP257,AR257,AT257,AV257,AX257,AZ257),0)))</x:f>
      </x:c>
      <x:c r="BD257" s="14" t="n">
        <x:f>LET(m,MIN(IF(E257&gt;0,E257,1E+99),IF(G257&gt;0,G257,1E+99),IF(I257&gt;0,I257,1E+99),IF(K257&gt;0,K257,1E+99),IF(M257&gt;0,M257,1E+99),IF(O257&gt;0,O257,1E+99),IF(Q257&gt;0,Q257,1E+99),IF(S257&gt;0,S257,1E+99),IF(U257&gt;0,U257,1E+99),IF(W257&gt;0,W257,1E+99),IF(Y257&gt;0,Y257,1E+99),IF(AA257&gt;0,AA257,1E+99),IF(AC257&gt;0,AC257,1E+99),IF(AE257&gt;0,AE257,1E+99),IF(AG257&gt;0,AG257,1E+99),IF(AI257&gt;0,AI257,1E+99),IF(AK257&gt;0,AK257,1E+99),IF(AM257&gt;0,AM257,1E+99),IF(AO257&gt;0,AO257,1E+99),IF(AQ257&gt;0,AQ257,1E+99),IF(AS257&gt;0,AS257,1E+99),IF(AU257&gt;0,AU257,1E+99),IF(AW257&gt;0,AW257,1E+99),IF(AY257&gt;0,AY257,1E+99),IF(BA257&gt;0,BA257,1E+99)),IF(m=1E+99,"",m))</x:f>
        <x:v>146.109</x:v>
      </x:c>
      <x:c r="BE257" s="16" t="e">
        <x:f>IF(BD257="","",INDEX({"v1.4.20","v1.4.20","v1.4.21","v1.4.21","v1.4.23","v1.4.23","v1.4.26","v1.4.26","v1.4.26.1","v1.4.26.1","v1.4.27","v1.4.27","v1.4.29","v1.4.29","v1.4.30","v1.4.30","v1.4.31","v1.4.31","v1.4.33","v1.4.33","v1.4.35","v1.4.35.2","v1.5","v1.5.1","v1.5.1"},MATCH(BD257,CHOOSE({1,2,3,4,5,6,7,8,9,10,11,12,13,14,15,16,17,18,19,20,21,22,23,24,25},E257,G257,I257,K257,M257,O257,Q257,S257,U257,W257,Y257,AA257,AC257,AE257,AG257,AI257,AK257,AM257,AO257,AQ257,AS257,AU257,AW257,AY257,BA257),0)))</x:f>
      </x:c>
      <x:c r="BF257" s="10" t="n">
        <x:f>IFERROR((AX257-BB257)/BB257,"")</x:f>
        <x:v>0.5741831815747188</x:v>
      </x:c>
      <x:c r="BG257" s="10" t="n">
        <x:f>IFERROR((AY257-BD257)/BD257,"")</x:f>
        <x:v>0.6110095887317003</x:v>
      </x:c>
    </x:row>
    <x:row r="258">
      <x:c r="A258" t="str">
        <x:v>Master List Change Log</x:v>
      </x:c>
      <x:c r="B258" t="str">
        <x:v>Create / Refresh All Templates</x:v>
      </x:c>
      <x:c r="C258" t="str">
        <x:v>Template signature mismatch - full build required: Template - Master List Change Log</x:v>
      </x:c>
      <x:c r="D258" s="8" t="n">
        <x:v>0.057</x:v>
      </x:c>
      <x:c r="E258" s="8" t="n">
        <x:v>175.644</x:v>
      </x:c>
      <x:c r="F258" s="8" t="n">
        <x:v>0.057</x:v>
      </x:c>
      <x:c r="G258" s="8" t="n">
        <x:v>175.644</x:v>
      </x:c>
      <x:c r="H258" s="8" t="n">
        <x:v>0.024</x:v>
      </x:c>
      <x:c r="I258" s="8" t="n">
        <x:v>222.851</x:v>
      </x:c>
      <x:c r="J258" s="8" t="n">
        <x:v>0.024</x:v>
      </x:c>
      <x:c r="K258" s="8" t="n">
        <x:v>222.851</x:v>
      </x:c>
      <x:c r="L258" s="8" t="n">
        <x:v>0.043</x:v>
      </x:c>
      <x:c r="M258" s="8" t="n">
        <x:v>220.604</x:v>
      </x:c>
      <x:c r="N258" s="8" t="n">
        <x:v>0.043</x:v>
      </x:c>
      <x:c r="O258" s="8" t="n">
        <x:v>220.604</x:v>
      </x:c>
      <x:c r="P258" s="8" t="n">
        <x:v>0.032</x:v>
      </x:c>
      <x:c r="Q258" s="8" t="n">
        <x:v>146.141</x:v>
      </x:c>
      <x:c r="R258" s="8" t="n">
        <x:v>0.032</x:v>
      </x:c>
      <x:c r="S258" s="8" t="n">
        <x:v>146.141</x:v>
      </x:c>
      <x:c r="T258" s="8" t="n">
        <x:v>0.049</x:v>
      </x:c>
      <x:c r="U258" s="8" t="n">
        <x:v>178.229</x:v>
      </x:c>
      <x:c r="V258" s="8" t="n">
        <x:v>0.049</x:v>
      </x:c>
      <x:c r="W258" s="8" t="n">
        <x:v>178.229</x:v>
      </x:c>
      <x:c r="X258" s="8" t="n">
        <x:v>0.057</x:v>
      </x:c>
      <x:c r="Y258" s="8" t="n">
        <x:v>270.639</x:v>
      </x:c>
      <x:c r="Z258" s="8" t="n">
        <x:v>0.057</x:v>
      </x:c>
      <x:c r="AA258" s="8" t="n">
        <x:v>270.639</x:v>
      </x:c>
      <x:c r="AB258" s="8" t="n">
        <x:v>0.028</x:v>
      </x:c>
      <x:c r="AC258" s="8" t="n">
        <x:v>249.338</x:v>
      </x:c>
      <x:c r="AD258" s="8" t="n">
        <x:v>0.028</x:v>
      </x:c>
      <x:c r="AE258" s="8" t="n">
        <x:v>249.338</x:v>
      </x:c>
      <x:c r="AF258" s="8" t="n">
        <x:v>0.027</x:v>
      </x:c>
      <x:c r="AG258" s="8" t="n">
        <x:v>256.409</x:v>
      </x:c>
      <x:c r="AH258" s="8" t="n">
        <x:v>0.027</x:v>
      </x:c>
      <x:c r="AI258" s="8" t="n">
        <x:v>256.409</x:v>
      </x:c>
      <x:c r="AJ258" s="8" t="n">
        <x:v>0.026</x:v>
      </x:c>
      <x:c r="AK258" s="8" t="n">
        <x:v>206.883</x:v>
      </x:c>
      <x:c r="AL258" s="8" t="n">
        <x:v>0.026</x:v>
      </x:c>
      <x:c r="AM258" s="8" t="n">
        <x:v>206.883</x:v>
      </x:c>
      <x:c r="AN258" s="8" t="n">
        <x:v>0.04</x:v>
      </x:c>
      <x:c r="AO258" s="8" t="n">
        <x:v>176.954</x:v>
      </x:c>
      <x:c r="AP258" s="8" t="n">
        <x:v>0.04</x:v>
      </x:c>
      <x:c r="AQ258" s="8" t="n">
        <x:v>176.954</x:v>
      </x:c>
      <x:c r="AR258" s="8" t="n">
        <x:v>0.055</x:v>
      </x:c>
      <x:c r="AS258" s="8" t="n">
        <x:v>272.9</x:v>
      </x:c>
      <x:c r="AT258" s="8" t="n">
        <x:v>0.03</x:v>
      </x:c>
      <x:c r="AU258" s="8" t="n">
        <x:v>190.457</x:v>
      </x:c>
      <x:c r="AV258" s="8" t="n">
        <x:v>0.03</x:v>
      </x:c>
      <x:c r="AW258" s="8" t="n">
        <x:v>234.949</x:v>
      </x:c>
      <x:c r="AX258" s="8" t="n">
        <x:v>0.048</x:v>
      </x:c>
      <x:c r="AY258" s="8" t="n">
        <x:v>235.431</x:v>
      </x:c>
      <x:c r="AZ258" s="8" t="n">
        <x:v>0.048</x:v>
      </x:c>
      <x:c r="BA258" s="8" t="n">
        <x:v>235.431</x:v>
      </x:c>
      <x:c r="BB258" s="8" t="n">
        <x:f>LET(m,MIN(IF(D258&gt;0,D258,1E+99),IF(F258&gt;0,F258,1E+99),IF(H258&gt;0,H258,1E+99),IF(J258&gt;0,J258,1E+99),IF(L258&gt;0,L258,1E+99),IF(N258&gt;0,N258,1E+99),IF(P258&gt;0,P258,1E+99),IF(R258&gt;0,R258,1E+99),IF(T258&gt;0,T258,1E+99),IF(V258&gt;0,V258,1E+99),IF(X258&gt;0,X258,1E+99),IF(Z258&gt;0,Z258,1E+99),IF(AB258&gt;0,AB258,1E+99),IF(AD258&gt;0,AD258,1E+99),IF(AF258&gt;0,AF258,1E+99),IF(AH258&gt;0,AH258,1E+99),IF(AJ258&gt;0,AJ258,1E+99),IF(AL258&gt;0,AL258,1E+99),IF(AN258&gt;0,AN258,1E+99),IF(AP258&gt;0,AP258,1E+99),IF(AR258&gt;0,AR258,1E+99),IF(AT258&gt;0,AT258,1E+99),IF(AV258&gt;0,AV258,1E+99),IF(AX258&gt;0,AX258,1E+99),IF(AZ258&gt;0,AZ258,1E+99)),IF(m=1E+99,"",m))</x:f>
        <x:v>0.024</x:v>
      </x:c>
      <x:c r="BC258" s="12" t="e">
        <x:f>IF(BB258="","",INDEX({"v1.4.20","v1.4.20","v1.4.21","v1.4.21","v1.4.23","v1.4.23","v1.4.26","v1.4.26","v1.4.26.1","v1.4.26.1","v1.4.27","v1.4.27","v1.4.29","v1.4.29","v1.4.30","v1.4.30","v1.4.31","v1.4.31","v1.4.33","v1.4.33","v1.4.35","v1.4.35.2","v1.5","v1.5.1","v1.5.1"},MATCH(BB258,CHOOSE({1,2,3,4,5,6,7,8,9,10,11,12,13,14,15,16,17,18,19,20,21,22,23,24,25},D258,F258,H258,J258,L258,N258,P258,R258,T258,V258,X258,Z258,AB258,AD258,AF258,AH258,AJ258,AL258,AN258,AP258,AR258,AT258,AV258,AX258,AZ258),0)))</x:f>
      </x:c>
      <x:c r="BD258" s="14" t="n">
        <x:f>LET(m,MIN(IF(E258&gt;0,E258,1E+99),IF(G258&gt;0,G258,1E+99),IF(I258&gt;0,I258,1E+99),IF(K258&gt;0,K258,1E+99),IF(M258&gt;0,M258,1E+99),IF(O258&gt;0,O258,1E+99),IF(Q258&gt;0,Q258,1E+99),IF(S258&gt;0,S258,1E+99),IF(U258&gt;0,U258,1E+99),IF(W258&gt;0,W258,1E+99),IF(Y258&gt;0,Y258,1E+99),IF(AA258&gt;0,AA258,1E+99),IF(AC258&gt;0,AC258,1E+99),IF(AE258&gt;0,AE258,1E+99),IF(AG258&gt;0,AG258,1E+99),IF(AI258&gt;0,AI258,1E+99),IF(AK258&gt;0,AK258,1E+99),IF(AM258&gt;0,AM258,1E+99),IF(AO258&gt;0,AO258,1E+99),IF(AQ258&gt;0,AQ258,1E+99),IF(AS258&gt;0,AS258,1E+99),IF(AU258&gt;0,AU258,1E+99),IF(AW258&gt;0,AW258,1E+99),IF(AY258&gt;0,AY258,1E+99),IF(BA258&gt;0,BA258,1E+99)),IF(m=1E+99,"",m))</x:f>
        <x:v>146.141</x:v>
      </x:c>
      <x:c r="BE258" s="16" t="e">
        <x:f>IF(BD258="","",INDEX({"v1.4.20","v1.4.20","v1.4.21","v1.4.21","v1.4.23","v1.4.23","v1.4.26","v1.4.26","v1.4.26.1","v1.4.26.1","v1.4.27","v1.4.27","v1.4.29","v1.4.29","v1.4.30","v1.4.30","v1.4.31","v1.4.31","v1.4.33","v1.4.33","v1.4.35","v1.4.35.2","v1.5","v1.5.1","v1.5.1"},MATCH(BD258,CHOOSE({1,2,3,4,5,6,7,8,9,10,11,12,13,14,15,16,17,18,19,20,21,22,23,24,25},E258,G258,I258,K258,M258,O258,Q258,S258,U258,W258,Y258,AA258,AC258,AE258,AG258,AI258,AK258,AM258,AO258,AQ258,AS258,AU258,AW258,AY258,BA258),0)))</x:f>
      </x:c>
      <x:c r="BF258" s="10" t="n">
        <x:f>IFERROR((AX258-BB258)/BB258,"")</x:f>
        <x:v>1</x:v>
      </x:c>
      <x:c r="BG258" s="10" t="n">
        <x:f>IFERROR((AY258-BD258)/BD258,"")</x:f>
        <x:v>0.6109852813378862</x:v>
      </x:c>
    </x:row>
    <x:row r="259">
      <x:c r="A259" t="str">
        <x:v>Master List Change Log</x:v>
      </x:c>
      <x:c r="B259" t="str">
        <x:v>Create / Refresh All Templates</x:v>
      </x:c>
      <x:c r="C259" t="str">
        <x:v>Template refresh decision: FULL_BUILD - Template - Master List Change Log (template sheet did not exist; no stored signature)</x:v>
      </x:c>
      <x:c r="D259" s="8" t="n">
        <x:v>0</x:v>
      </x:c>
      <x:c r="E259" s="8" t="n">
        <x:v>175.644</x:v>
      </x:c>
      <x:c r="F259" s="8" t="n">
        <x:v>0</x:v>
      </x:c>
      <x:c r="G259" s="8" t="n">
        <x:v>175.644</x:v>
      </x:c>
      <x:c r="H259" s="8" t="n">
        <x:v>0</x:v>
      </x:c>
      <x:c r="I259" s="8" t="n">
        <x:v>222.851</x:v>
      </x:c>
      <x:c r="J259" s="8" t="n">
        <x:v>0</x:v>
      </x:c>
      <x:c r="K259" s="8" t="n">
        <x:v>222.851</x:v>
      </x:c>
      <x:c r="L259" s="8" t="n">
        <x:v>0</x:v>
      </x:c>
      <x:c r="M259" s="8" t="n">
        <x:v>220.604</x:v>
      </x:c>
      <x:c r="N259" s="8" t="n">
        <x:v>0</x:v>
      </x:c>
      <x:c r="O259" s="8" t="n">
        <x:v>220.604</x:v>
      </x:c>
      <x:c r="P259" s="8" t="n">
        <x:v>0</x:v>
      </x:c>
      <x:c r="Q259" s="8" t="n">
        <x:v>146.141</x:v>
      </x:c>
      <x:c r="R259" s="8" t="n">
        <x:v>0</x:v>
      </x:c>
      <x:c r="S259" s="8" t="n">
        <x:v>146.141</x:v>
      </x:c>
      <x:c r="T259" s="8" t="n">
        <x:v>0</x:v>
      </x:c>
      <x:c r="U259" s="8" t="n">
        <x:v>178.229</x:v>
      </x:c>
      <x:c r="V259" s="8" t="n">
        <x:v>0</x:v>
      </x:c>
      <x:c r="W259" s="8" t="n">
        <x:v>178.229</x:v>
      </x:c>
      <x:c r="X259" s="8" t="n">
        <x:v>0</x:v>
      </x:c>
      <x:c r="Y259" s="8" t="n">
        <x:v>270.639</x:v>
      </x:c>
      <x:c r="Z259" s="8" t="n">
        <x:v>0</x:v>
      </x:c>
      <x:c r="AA259" s="8" t="n">
        <x:v>270.639</x:v>
      </x:c>
      <x:c r="AB259" s="8" t="n">
        <x:v>0</x:v>
      </x:c>
      <x:c r="AC259" s="8" t="n">
        <x:v>249.338</x:v>
      </x:c>
      <x:c r="AD259" s="8" t="n">
        <x:v>0</x:v>
      </x:c>
      <x:c r="AE259" s="8" t="n">
        <x:v>249.338</x:v>
      </x:c>
      <x:c r="AF259" s="8" t="n">
        <x:v>0</x:v>
      </x:c>
      <x:c r="AG259" s="8" t="n">
        <x:v>256.409</x:v>
      </x:c>
      <x:c r="AH259" s="8" t="n">
        <x:v>0</x:v>
      </x:c>
      <x:c r="AI259" s="8" t="n">
        <x:v>256.409</x:v>
      </x:c>
      <x:c r="AJ259" s="8" t="n">
        <x:v>0</x:v>
      </x:c>
      <x:c r="AK259" s="8" t="n">
        <x:v>206.883</x:v>
      </x:c>
      <x:c r="AL259" s="8" t="n">
        <x:v>0</x:v>
      </x:c>
      <x:c r="AM259" s="8" t="n">
        <x:v>206.883</x:v>
      </x:c>
      <x:c r="AN259" s="8" t="n">
        <x:v>0</x:v>
      </x:c>
      <x:c r="AO259" s="8" t="n">
        <x:v>176.954</x:v>
      </x:c>
      <x:c r="AP259" s="8" t="n">
        <x:v>0</x:v>
      </x:c>
      <x:c r="AQ259" s="8" t="n">
        <x:v>176.954</x:v>
      </x:c>
      <x:c r="AR259" s="8" t="n">
        <x:v>0</x:v>
      </x:c>
      <x:c r="AS259" s="8" t="n">
        <x:v>272.9</x:v>
      </x:c>
      <x:c r="AT259" s="8" t="n">
        <x:v>0</x:v>
      </x:c>
      <x:c r="AU259" s="8" t="n">
        <x:v>190.457</x:v>
      </x:c>
      <x:c r="AV259" s="8" t="n">
        <x:v>0</x:v>
      </x:c>
      <x:c r="AW259" s="8" t="n">
        <x:v>234.949</x:v>
      </x:c>
      <x:c r="AX259" s="8" t="n">
        <x:v>0</x:v>
      </x:c>
      <x:c r="AY259" s="8" t="n">
        <x:v>235.431</x:v>
      </x:c>
      <x:c r="AZ259" s="8" t="n">
        <x:v>0</x:v>
      </x:c>
      <x:c r="BA259" s="8" t="n">
        <x:v>235.431</x:v>
      </x:c>
      <x:c r="BB259" s="8" t="str">
        <x:f>LET(m,MIN(IF(D259&gt;0,D259,1E+99),IF(F259&gt;0,F259,1E+99),IF(H259&gt;0,H259,1E+99),IF(J259&gt;0,J259,1E+99),IF(L259&gt;0,L259,1E+99),IF(N259&gt;0,N259,1E+99),IF(P259&gt;0,P259,1E+99),IF(R259&gt;0,R259,1E+99),IF(T259&gt;0,T259,1E+99),IF(V259&gt;0,V259,1E+99),IF(X259&gt;0,X259,1E+99),IF(Z259&gt;0,Z259,1E+99),IF(AB259&gt;0,AB259,1E+99),IF(AD259&gt;0,AD259,1E+99),IF(AF259&gt;0,AF259,1E+99),IF(AH259&gt;0,AH259,1E+99),IF(AJ259&gt;0,AJ259,1E+99),IF(AL259&gt;0,AL259,1E+99),IF(AN259&gt;0,AN259,1E+99),IF(AP259&gt;0,AP259,1E+99),IF(AR259&gt;0,AR259,1E+99),IF(AT259&gt;0,AT259,1E+99),IF(AV259&gt;0,AV259,1E+99),IF(AX259&gt;0,AX259,1E+99),IF(AZ259&gt;0,AZ259,1E+99)),IF(m=1E+99,"",m))</x:f>
      </x:c>
      <x:c r="BC259" s="12" t="str">
        <x:f>IF(BB259="","",INDEX({"v1.4.20","v1.4.20","v1.4.21","v1.4.21","v1.4.23","v1.4.23","v1.4.26","v1.4.26","v1.4.26.1","v1.4.26.1","v1.4.27","v1.4.27","v1.4.29","v1.4.29","v1.4.30","v1.4.30","v1.4.31","v1.4.31","v1.4.33","v1.4.33","v1.4.35","v1.4.35.2","v1.5","v1.5.1","v1.5.1"},MATCH(BB259,CHOOSE({1,2,3,4,5,6,7,8,9,10,11,12,13,14,15,16,17,18,19,20,21,22,23,24,25},D259,F259,H259,J259,L259,N259,P259,R259,T259,V259,X259,Z259,AB259,AD259,AF259,AH259,AJ259,AL259,AN259,AP259,AR259,AT259,AV259,AX259,AZ259),0)))</x:f>
      </x:c>
      <x:c r="BD259" s="14" t="n">
        <x:f>LET(m,MIN(IF(E259&gt;0,E259,1E+99),IF(G259&gt;0,G259,1E+99),IF(I259&gt;0,I259,1E+99),IF(K259&gt;0,K259,1E+99),IF(M259&gt;0,M259,1E+99),IF(O259&gt;0,O259,1E+99),IF(Q259&gt;0,Q259,1E+99),IF(S259&gt;0,S259,1E+99),IF(U259&gt;0,U259,1E+99),IF(W259&gt;0,W259,1E+99),IF(Y259&gt;0,Y259,1E+99),IF(AA259&gt;0,AA259,1E+99),IF(AC259&gt;0,AC259,1E+99),IF(AE259&gt;0,AE259,1E+99),IF(AG259&gt;0,AG259,1E+99),IF(AI259&gt;0,AI259,1E+99),IF(AK259&gt;0,AK259,1E+99),IF(AM259&gt;0,AM259,1E+99),IF(AO259&gt;0,AO259,1E+99),IF(AQ259&gt;0,AQ259,1E+99),IF(AS259&gt;0,AS259,1E+99),IF(AU259&gt;0,AU259,1E+99),IF(AW259&gt;0,AW259,1E+99),IF(AY259&gt;0,AY259,1E+99),IF(BA259&gt;0,BA259,1E+99)),IF(m=1E+99,"",m))</x:f>
        <x:v>146.141</x:v>
      </x:c>
      <x:c r="BE259" s="16" t="e">
        <x:f>IF(BD259="","",INDEX({"v1.4.20","v1.4.20","v1.4.21","v1.4.21","v1.4.23","v1.4.23","v1.4.26","v1.4.26","v1.4.26.1","v1.4.26.1","v1.4.27","v1.4.27","v1.4.29","v1.4.29","v1.4.30","v1.4.30","v1.4.31","v1.4.31","v1.4.33","v1.4.33","v1.4.35","v1.4.35.2","v1.5","v1.5.1","v1.5.1"},MATCH(BD259,CHOOSE({1,2,3,4,5,6,7,8,9,10,11,12,13,14,15,16,17,18,19,20,21,22,23,24,25},E259,G259,I259,K259,M259,O259,Q259,S259,U259,W259,Y259,AA259,AC259,AE259,AG259,AI259,AK259,AM259,AO259,AQ259,AS259,AU259,AW259,AY259,BA259),0)))</x:f>
      </x:c>
      <x:c r="BF259" s="10" t="str">
        <x:f>IFERROR((AX259-BB259)/BB259,"")</x:f>
      </x:c>
      <x:c r="BG259" s="10" t="n">
        <x:f>IFERROR((AY259-BD259)/BD259,"")</x:f>
        <x:v>0.6109852813378862</x:v>
      </x:c>
    </x:row>
    <x:row r="260">
      <x:c r="A260" t="str">
        <x:v>Master List Change Log</x:v>
      </x:c>
      <x:c r="B260" t="str">
        <x:v>Create / Refresh All Templates</x:v>
      </x:c>
      <x:c r="C260" t="str">
        <x:v>Full template build required: Template - Master List Change Log</x:v>
      </x:c>
      <x:c r="D260" s="8" t="n">
        <x:v>0</x:v>
      </x:c>
      <x:c r="E260" s="8" t="n">
        <x:v>175.644</x:v>
      </x:c>
      <x:c r="F260" s="8" t="n">
        <x:v>0</x:v>
      </x:c>
      <x:c r="G260" s="8" t="n">
        <x:v>175.644</x:v>
      </x:c>
      <x:c r="H260" s="8" t="n">
        <x:v>0</x:v>
      </x:c>
      <x:c r="I260" s="8" t="n">
        <x:v>222.851</x:v>
      </x:c>
      <x:c r="J260" s="8" t="n">
        <x:v>0</x:v>
      </x:c>
      <x:c r="K260" s="8" t="n">
        <x:v>222.851</x:v>
      </x:c>
      <x:c r="L260" s="8" t="n">
        <x:v>0</x:v>
      </x:c>
      <x:c r="M260" s="8" t="n">
        <x:v>220.604</x:v>
      </x:c>
      <x:c r="N260" s="8" t="n">
        <x:v>0</x:v>
      </x:c>
      <x:c r="O260" s="8" t="n">
        <x:v>220.604</x:v>
      </x:c>
      <x:c r="P260" s="8" t="n">
        <x:v>0</x:v>
      </x:c>
      <x:c r="Q260" s="8" t="n">
        <x:v>146.141</x:v>
      </x:c>
      <x:c r="R260" s="8" t="n">
        <x:v>0</x:v>
      </x:c>
      <x:c r="S260" s="8" t="n">
        <x:v>146.141</x:v>
      </x:c>
      <x:c r="T260" s="8" t="n">
        <x:v>0</x:v>
      </x:c>
      <x:c r="U260" s="8" t="n">
        <x:v>178.229</x:v>
      </x:c>
      <x:c r="V260" s="8" t="n">
        <x:v>0</x:v>
      </x:c>
      <x:c r="W260" s="8" t="n">
        <x:v>178.229</x:v>
      </x:c>
      <x:c r="X260" s="8" t="n">
        <x:v>0</x:v>
      </x:c>
      <x:c r="Y260" s="8" t="n">
        <x:v>270.639</x:v>
      </x:c>
      <x:c r="Z260" s="8" t="n">
        <x:v>0</x:v>
      </x:c>
      <x:c r="AA260" s="8" t="n">
        <x:v>270.639</x:v>
      </x:c>
      <x:c r="AB260" s="8" t="n">
        <x:v>0</x:v>
      </x:c>
      <x:c r="AC260" s="8" t="n">
        <x:v>249.338</x:v>
      </x:c>
      <x:c r="AD260" s="8" t="n">
        <x:v>0</x:v>
      </x:c>
      <x:c r="AE260" s="8" t="n">
        <x:v>249.338</x:v>
      </x:c>
      <x:c r="AF260" s="8" t="n">
        <x:v>0</x:v>
      </x:c>
      <x:c r="AG260" s="8" t="n">
        <x:v>256.409</x:v>
      </x:c>
      <x:c r="AH260" s="8" t="n">
        <x:v>0</x:v>
      </x:c>
      <x:c r="AI260" s="8" t="n">
        <x:v>256.409</x:v>
      </x:c>
      <x:c r="AJ260" s="8" t="n">
        <x:v>0</x:v>
      </x:c>
      <x:c r="AK260" s="8" t="n">
        <x:v>206.883</x:v>
      </x:c>
      <x:c r="AL260" s="8" t="n">
        <x:v>0</x:v>
      </x:c>
      <x:c r="AM260" s="8" t="n">
        <x:v>206.883</x:v>
      </x:c>
      <x:c r="AN260" s="8" t="n">
        <x:v>0</x:v>
      </x:c>
      <x:c r="AO260" s="8" t="n">
        <x:v>176.954</x:v>
      </x:c>
      <x:c r="AP260" s="8" t="n">
        <x:v>0</x:v>
      </x:c>
      <x:c r="AQ260" s="8" t="n">
        <x:v>176.954</x:v>
      </x:c>
      <x:c r="AR260" s="8" t="n">
        <x:v>0</x:v>
      </x:c>
      <x:c r="AS260" s="8" t="n">
        <x:v>272.9</x:v>
      </x:c>
      <x:c r="AT260" s="8" t="n">
        <x:v>0</x:v>
      </x:c>
      <x:c r="AU260" s="8" t="n">
        <x:v>190.457</x:v>
      </x:c>
      <x:c r="AV260" s="8" t="n">
        <x:v>0</x:v>
      </x:c>
      <x:c r="AW260" s="8" t="n">
        <x:v>234.949</x:v>
      </x:c>
      <x:c r="AX260" s="8" t="n">
        <x:v>0</x:v>
      </x:c>
      <x:c r="AY260" s="8" t="n">
        <x:v>235.431</x:v>
      </x:c>
      <x:c r="AZ260" s="8" t="n">
        <x:v>0</x:v>
      </x:c>
      <x:c r="BA260" s="8" t="n">
        <x:v>235.431</x:v>
      </x:c>
      <x:c r="BB260" s="8" t="str">
        <x:f>LET(m,MIN(IF(D260&gt;0,D260,1E+99),IF(F260&gt;0,F260,1E+99),IF(H260&gt;0,H260,1E+99),IF(J260&gt;0,J260,1E+99),IF(L260&gt;0,L260,1E+99),IF(N260&gt;0,N260,1E+99),IF(P260&gt;0,P260,1E+99),IF(R260&gt;0,R260,1E+99),IF(T260&gt;0,T260,1E+99),IF(V260&gt;0,V260,1E+99),IF(X260&gt;0,X260,1E+99),IF(Z260&gt;0,Z260,1E+99),IF(AB260&gt;0,AB260,1E+99),IF(AD260&gt;0,AD260,1E+99),IF(AF260&gt;0,AF260,1E+99),IF(AH260&gt;0,AH260,1E+99),IF(AJ260&gt;0,AJ260,1E+99),IF(AL260&gt;0,AL260,1E+99),IF(AN260&gt;0,AN260,1E+99),IF(AP260&gt;0,AP260,1E+99),IF(AR260&gt;0,AR260,1E+99),IF(AT260&gt;0,AT260,1E+99),IF(AV260&gt;0,AV260,1E+99),IF(AX260&gt;0,AX260,1E+99),IF(AZ260&gt;0,AZ260,1E+99)),IF(m=1E+99,"",m))</x:f>
      </x:c>
      <x:c r="BC260" s="12" t="str">
        <x:f>IF(BB260="","",INDEX({"v1.4.20","v1.4.20","v1.4.21","v1.4.21","v1.4.23","v1.4.23","v1.4.26","v1.4.26","v1.4.26.1","v1.4.26.1","v1.4.27","v1.4.27","v1.4.29","v1.4.29","v1.4.30","v1.4.30","v1.4.31","v1.4.31","v1.4.33","v1.4.33","v1.4.35","v1.4.35.2","v1.5","v1.5.1","v1.5.1"},MATCH(BB260,CHOOSE({1,2,3,4,5,6,7,8,9,10,11,12,13,14,15,16,17,18,19,20,21,22,23,24,25},D260,F260,H260,J260,L260,N260,P260,R260,T260,V260,X260,Z260,AB260,AD260,AF260,AH260,AJ260,AL260,AN260,AP260,AR260,AT260,AV260,AX260,AZ260),0)))</x:f>
      </x:c>
      <x:c r="BD260" s="14" t="n">
        <x:f>LET(m,MIN(IF(E260&gt;0,E260,1E+99),IF(G260&gt;0,G260,1E+99),IF(I260&gt;0,I260,1E+99),IF(K260&gt;0,K260,1E+99),IF(M260&gt;0,M260,1E+99),IF(O260&gt;0,O260,1E+99),IF(Q260&gt;0,Q260,1E+99),IF(S260&gt;0,S260,1E+99),IF(U260&gt;0,U260,1E+99),IF(W260&gt;0,W260,1E+99),IF(Y260&gt;0,Y260,1E+99),IF(AA260&gt;0,AA260,1E+99),IF(AC260&gt;0,AC260,1E+99),IF(AE260&gt;0,AE260,1E+99),IF(AG260&gt;0,AG260,1E+99),IF(AI260&gt;0,AI260,1E+99),IF(AK260&gt;0,AK260,1E+99),IF(AM260&gt;0,AM260,1E+99),IF(AO260&gt;0,AO260,1E+99),IF(AQ260&gt;0,AQ260,1E+99),IF(AS260&gt;0,AS260,1E+99),IF(AU260&gt;0,AU260,1E+99),IF(AW260&gt;0,AW260,1E+99),IF(AY260&gt;0,AY260,1E+99),IF(BA260&gt;0,BA260,1E+99)),IF(m=1E+99,"",m))</x:f>
        <x:v>146.141</x:v>
      </x:c>
      <x:c r="BE260" s="16" t="e">
        <x:f>IF(BD260="","",INDEX({"v1.4.20","v1.4.20","v1.4.21","v1.4.21","v1.4.23","v1.4.23","v1.4.26","v1.4.26","v1.4.26.1","v1.4.26.1","v1.4.27","v1.4.27","v1.4.29","v1.4.29","v1.4.30","v1.4.30","v1.4.31","v1.4.31","v1.4.33","v1.4.33","v1.4.35","v1.4.35.2","v1.5","v1.5.1","v1.5.1"},MATCH(BD260,CHOOSE({1,2,3,4,5,6,7,8,9,10,11,12,13,14,15,16,17,18,19,20,21,22,23,24,25},E260,G260,I260,K260,M260,O260,Q260,S260,U260,W260,Y260,AA260,AC260,AE260,AG260,AI260,AK260,AM260,AO260,AQ260,AS260,AU260,AW260,AY260,BA260),0)))</x:f>
      </x:c>
      <x:c r="BF260" s="10" t="str">
        <x:f>IFERROR((AX260-BB260)/BB260,"")</x:f>
      </x:c>
      <x:c r="BG260" s="10" t="n">
        <x:f>IFERROR((AY260-BD260)/BD260,"")</x:f>
        <x:v>0.6109852813378862</x:v>
      </x:c>
    </x:row>
    <x:row r="261">
      <x:c r="A261" t="str">
        <x:v>Master List Change Log</x:v>
      </x:c>
      <x:c r="B261" t="str">
        <x:v>Create / Refresh All Templates</x:v>
      </x:c>
      <x:c r="C261" t="str">
        <x:v>Create template fast path - clear skipped for blank sheet: Template - Master List Change Log</x:v>
      </x:c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8" t="n">
        <x:v>0</x:v>
      </x:c>
      <x:c r="U261" s="8" t="n">
        <x:v>178.229</x:v>
      </x:c>
      <x:c r="V261" s="8" t="n">
        <x:v>0</x:v>
      </x:c>
      <x:c r="W261" s="8" t="n">
        <x:v>178.229</x:v>
      </x:c>
      <x:c r="X261" s="8"/>
      <x:c r="Y261" s="8"/>
      <x:c r="Z261" s="8"/>
      <x:c r="AA261" s="8"/>
      <x:c r="AB261" s="8" t="n">
        <x:v>0</x:v>
      </x:c>
      <x:c r="AC261" s="8" t="n">
        <x:v>249.338</x:v>
      </x:c>
      <x:c r="AD261" s="8" t="n">
        <x:v>0</x:v>
      </x:c>
      <x:c r="AE261" s="8" t="n">
        <x:v>249.338</x:v>
      </x:c>
      <x:c r="AF261" s="8" t="n">
        <x:v>0</x:v>
      </x:c>
      <x:c r="AG261" s="8" t="n">
        <x:v>256.409</x:v>
      </x:c>
      <x:c r="AH261" s="8" t="n">
        <x:v>0</x:v>
      </x:c>
      <x:c r="AI261" s="8" t="n">
        <x:v>256.409</x:v>
      </x:c>
      <x:c r="AJ261" s="8" t="n">
        <x:v>0</x:v>
      </x:c>
      <x:c r="AK261" s="8" t="n">
        <x:v>206.883</x:v>
      </x:c>
      <x:c r="AL261" s="8" t="n">
        <x:v>0</x:v>
      </x:c>
      <x:c r="AM261" s="8" t="n">
        <x:v>206.883</x:v>
      </x:c>
      <x:c r="AN261" s="8" t="n">
        <x:v>0</x:v>
      </x:c>
      <x:c r="AO261" s="8" t="n">
        <x:v>176.954</x:v>
      </x:c>
      <x:c r="AP261" s="8" t="n">
        <x:v>0</x:v>
      </x:c>
      <x:c r="AQ261" s="8" t="n">
        <x:v>176.954</x:v>
      </x:c>
      <x:c r="AR261" s="8"/>
      <x:c r="AS261" s="8"/>
      <x:c r="AT261" s="8"/>
      <x:c r="AU261" s="8"/>
      <x:c r="AV261" s="8" t="n">
        <x:v>13.618</x:v>
      </x:c>
      <x:c r="AW261" s="8" t="n">
        <x:v>248.567</x:v>
      </x:c>
      <x:c r="AX261" s="8" t="n">
        <x:v>11.969</x:v>
      </x:c>
      <x:c r="AY261" s="8" t="n">
        <x:v>247.4</x:v>
      </x:c>
      <x:c r="AZ261" s="8" t="n">
        <x:v>11.969</x:v>
      </x:c>
      <x:c r="BA261" s="8" t="n">
        <x:v>247.4</x:v>
      </x:c>
      <x:c r="BB261" s="8" t="n">
        <x:f>LET(m,MIN(IF(D261&gt;0,D261,1E+99),IF(F261&gt;0,F261,1E+99),IF(H261&gt;0,H261,1E+99),IF(J261&gt;0,J261,1E+99),IF(L261&gt;0,L261,1E+99),IF(N261&gt;0,N261,1E+99),IF(P261&gt;0,P261,1E+99),IF(R261&gt;0,R261,1E+99),IF(T261&gt;0,T261,1E+99),IF(V261&gt;0,V261,1E+99),IF(X261&gt;0,X261,1E+99),IF(Z261&gt;0,Z261,1E+99),IF(AB261&gt;0,AB261,1E+99),IF(AD261&gt;0,AD261,1E+99),IF(AF261&gt;0,AF261,1E+99),IF(AH261&gt;0,AH261,1E+99),IF(AJ261&gt;0,AJ261,1E+99),IF(AL261&gt;0,AL261,1E+99),IF(AN261&gt;0,AN261,1E+99),IF(AP261&gt;0,AP261,1E+99),IF(AR261&gt;0,AR261,1E+99),IF(AT261&gt;0,AT261,1E+99),IF(AV261&gt;0,AV261,1E+99),IF(AX261&gt;0,AX261,1E+99),IF(AZ261&gt;0,AZ261,1E+99)),IF(m=1E+99,"",m))</x:f>
        <x:v>11.969</x:v>
      </x:c>
      <x:c r="BC261" s="12" t="e">
        <x:f>IF(BB261="","",INDEX({"v1.4.20","v1.4.20","v1.4.21","v1.4.21","v1.4.23","v1.4.23","v1.4.26","v1.4.26","v1.4.26.1","v1.4.26.1","v1.4.27","v1.4.27","v1.4.29","v1.4.29","v1.4.30","v1.4.30","v1.4.31","v1.4.31","v1.4.33","v1.4.33","v1.4.35","v1.4.35.2","v1.5","v1.5.1","v1.5.1"},MATCH(BB261,CHOOSE({1,2,3,4,5,6,7,8,9,10,11,12,13,14,15,16,17,18,19,20,21,22,23,24,25},D261,F261,H261,J261,L261,N261,P261,R261,T261,V261,X261,Z261,AB261,AD261,AF261,AH261,AJ261,AL261,AN261,AP261,AR261,AT261,AV261,AX261,AZ261),0)))</x:f>
      </x:c>
      <x:c r="BD261" s="14" t="n">
        <x:f>LET(m,MIN(IF(E261&gt;0,E261,1E+99),IF(G261&gt;0,G261,1E+99),IF(I261&gt;0,I261,1E+99),IF(K261&gt;0,K261,1E+99),IF(M261&gt;0,M261,1E+99),IF(O261&gt;0,O261,1E+99),IF(Q261&gt;0,Q261,1E+99),IF(S261&gt;0,S261,1E+99),IF(U261&gt;0,U261,1E+99),IF(W261&gt;0,W261,1E+99),IF(Y261&gt;0,Y261,1E+99),IF(AA261&gt;0,AA261,1E+99),IF(AC261&gt;0,AC261,1E+99),IF(AE261&gt;0,AE261,1E+99),IF(AG261&gt;0,AG261,1E+99),IF(AI261&gt;0,AI261,1E+99),IF(AK261&gt;0,AK261,1E+99),IF(AM261&gt;0,AM261,1E+99),IF(AO261&gt;0,AO261,1E+99),IF(AQ261&gt;0,AQ261,1E+99),IF(AS261&gt;0,AS261,1E+99),IF(AU261&gt;0,AU261,1E+99),IF(AW261&gt;0,AW261,1E+99),IF(AY261&gt;0,AY261,1E+99),IF(BA261&gt;0,BA261,1E+99)),IF(m=1E+99,"",m))</x:f>
        <x:v>176.954</x:v>
      </x:c>
      <x:c r="BE261" s="16" t="e">
        <x:f>IF(BD261="","",INDEX({"v1.4.20","v1.4.20","v1.4.21","v1.4.21","v1.4.23","v1.4.23","v1.4.26","v1.4.26","v1.4.26.1","v1.4.26.1","v1.4.27","v1.4.27","v1.4.29","v1.4.29","v1.4.30","v1.4.30","v1.4.31","v1.4.31","v1.4.33","v1.4.33","v1.4.35","v1.4.35.2","v1.5","v1.5.1","v1.5.1"},MATCH(BD261,CHOOSE({1,2,3,4,5,6,7,8,9,10,11,12,13,14,15,16,17,18,19,20,21,22,23,24,25},E261,G261,I261,K261,M261,O261,Q261,S261,U261,W261,Y261,AA261,AC261,AE261,AG261,AI261,AK261,AM261,AO261,AQ261,AS261,AU261,AW261,AY261,BA261),0)))</x:f>
      </x:c>
      <x:c r="BF261" s="10" t="n">
        <x:f>IFERROR((AX261-BB261)/BB261,"")</x:f>
        <x:v>0</x:v>
      </x:c>
      <x:c r="BG261" s="10" t="n">
        <x:f>IFERROR((AY261-BD261)/BD261,"")</x:f>
        <x:v>0.3981034619166563</x:v>
      </x:c>
    </x:row>
    <x:row r="262">
      <x:c r="A262" t="str">
        <x:v>Master List Change Log</x:v>
      </x:c>
      <x:c r="B262" t="str">
        <x:v>Create / Refresh All Templates</x:v>
      </x:c>
      <x:c r="C262" t="str">
        <x:v>Resize sheet: Template - Master List Change Log (1000 rows x 12 cols)</x:v>
      </x:c>
      <x:c r="D262" s="8" t="n">
        <x:v>0.689</x:v>
      </x:c>
      <x:c r="E262" s="8" t="n">
        <x:v>185.262</x:v>
      </x:c>
      <x:c r="F262" s="8" t="n">
        <x:v>0.689</x:v>
      </x:c>
      <x:c r="G262" s="8" t="n">
        <x:v>185.262</x:v>
      </x:c>
      <x:c r="H262" s="8" t="n">
        <x:v>0.824</x:v>
      </x:c>
      <x:c r="I262" s="8" t="n">
        <x:v>237.542</x:v>
      </x:c>
      <x:c r="J262" s="8" t="n">
        <x:v>0.824</x:v>
      </x:c>
      <x:c r="K262" s="8" t="n">
        <x:v>237.542</x:v>
      </x:c>
      <x:c r="L262" s="8" t="n">
        <x:v>0.996</x:v>
      </x:c>
      <x:c r="M262" s="8" t="n">
        <x:v>236.519</x:v>
      </x:c>
      <x:c r="N262" s="8" t="n">
        <x:v>0.996</x:v>
      </x:c>
      <x:c r="O262" s="8" t="n">
        <x:v>236.519</x:v>
      </x:c>
      <x:c r="P262" s="8" t="n">
        <x:v>0.606</x:v>
      </x:c>
      <x:c r="Q262" s="8" t="n">
        <x:v>155.126</x:v>
      </x:c>
      <x:c r="R262" s="8" t="n">
        <x:v>0.606</x:v>
      </x:c>
      <x:c r="S262" s="8" t="n">
        <x:v>155.126</x:v>
      </x:c>
      <x:c r="T262" s="8"/>
      <x:c r="U262" s="8"/>
      <x:c r="V262" s="8"/>
      <x:c r="W262" s="8"/>
      <x:c r="X262" s="8" t="n">
        <x:v>0.947</x:v>
      </x:c>
      <x:c r="Y262" s="8" t="n">
        <x:v>289.467</x:v>
      </x:c>
      <x:c r="Z262" s="8" t="n">
        <x:v>0.947</x:v>
      </x:c>
      <x:c r="AA262" s="8" t="n">
        <x:v>289.467</x:v>
      </x:c>
      <x:c r="AB262" s="8" t="n">
        <x:v>15.655</x:v>
      </x:c>
      <x:c r="AC262" s="8" t="n">
        <x:v>264.993</x:v>
      </x:c>
      <x:c r="AD262" s="8" t="n">
        <x:v>15.655</x:v>
      </x:c>
      <x:c r="AE262" s="8" t="n">
        <x:v>264.993</x:v>
      </x:c>
      <x:c r="AF262" s="8"/>
      <x:c r="AG262" s="8"/>
      <x:c r="AH262" s="8"/>
      <x:c r="AI262" s="8"/>
      <x:c r="AJ262" s="8"/>
      <x:c r="AK262" s="8"/>
      <x:c r="AL262" s="8"/>
      <x:c r="AM262" s="8"/>
      <x:c r="AN262" s="8"/>
      <x:c r="AO262" s="8"/>
      <x:c r="AP262" s="8"/>
      <x:c r="AQ262" s="8"/>
      <x:c r="AR262" s="8" t="n">
        <x:v>1.191</x:v>
      </x:c>
      <x:c r="AS262" s="8" t="n">
        <x:v>289.032</x:v>
      </x:c>
      <x:c r="AT262" s="8" t="n">
        <x:v>0.622</x:v>
      </x:c>
      <x:c r="AU262" s="8" t="n">
        <x:v>203.92</x:v>
      </x:c>
      <x:c r="AV262" s="8" t="n">
        <x:v>0.113</x:v>
      </x:c>
      <x:c r="AW262" s="8" t="n">
        <x:v>248.68</x:v>
      </x:c>
      <x:c r="AX262" s="8" t="n">
        <x:v>0.092</x:v>
      </x:c>
      <x:c r="AY262" s="8" t="n">
        <x:v>247.492</x:v>
      </x:c>
      <x:c r="AZ262" s="8" t="n">
        <x:v>0.092</x:v>
      </x:c>
      <x:c r="BA262" s="8" t="n">
        <x:v>247.492</x:v>
      </x:c>
      <x:c r="BB262" s="8" t="n">
        <x:f>LET(m,MIN(IF(D262&gt;0,D262,1E+99),IF(F262&gt;0,F262,1E+99),IF(H262&gt;0,H262,1E+99),IF(J262&gt;0,J262,1E+99),IF(L262&gt;0,L262,1E+99),IF(N262&gt;0,N262,1E+99),IF(P262&gt;0,P262,1E+99),IF(R262&gt;0,R262,1E+99),IF(T262&gt;0,T262,1E+99),IF(V262&gt;0,V262,1E+99),IF(X262&gt;0,X262,1E+99),IF(Z262&gt;0,Z262,1E+99),IF(AB262&gt;0,AB262,1E+99),IF(AD262&gt;0,AD262,1E+99),IF(AF262&gt;0,AF262,1E+99),IF(AH262&gt;0,AH262,1E+99),IF(AJ262&gt;0,AJ262,1E+99),IF(AL262&gt;0,AL262,1E+99),IF(AN262&gt;0,AN262,1E+99),IF(AP262&gt;0,AP262,1E+99),IF(AR262&gt;0,AR262,1E+99),IF(AT262&gt;0,AT262,1E+99),IF(AV262&gt;0,AV262,1E+99),IF(AX262&gt;0,AX262,1E+99),IF(AZ262&gt;0,AZ262,1E+99)),IF(m=1E+99,"",m))</x:f>
        <x:v>0.092</x:v>
      </x:c>
      <x:c r="BC262" s="12" t="e">
        <x:f>IF(BB262="","",INDEX({"v1.4.20","v1.4.20","v1.4.21","v1.4.21","v1.4.23","v1.4.23","v1.4.26","v1.4.26","v1.4.26.1","v1.4.26.1","v1.4.27","v1.4.27","v1.4.29","v1.4.29","v1.4.30","v1.4.30","v1.4.31","v1.4.31","v1.4.33","v1.4.33","v1.4.35","v1.4.35.2","v1.5","v1.5.1","v1.5.1"},MATCH(BB262,CHOOSE({1,2,3,4,5,6,7,8,9,10,11,12,13,14,15,16,17,18,19,20,21,22,23,24,25},D262,F262,H262,J262,L262,N262,P262,R262,T262,V262,X262,Z262,AB262,AD262,AF262,AH262,AJ262,AL262,AN262,AP262,AR262,AT262,AV262,AX262,AZ262),0)))</x:f>
      </x:c>
      <x:c r="BD262" s="14" t="n">
        <x:f>LET(m,MIN(IF(E262&gt;0,E262,1E+99),IF(G262&gt;0,G262,1E+99),IF(I262&gt;0,I262,1E+99),IF(K262&gt;0,K262,1E+99),IF(M262&gt;0,M262,1E+99),IF(O262&gt;0,O262,1E+99),IF(Q262&gt;0,Q262,1E+99),IF(S262&gt;0,S262,1E+99),IF(U262&gt;0,U262,1E+99),IF(W262&gt;0,W262,1E+99),IF(Y262&gt;0,Y262,1E+99),IF(AA262&gt;0,AA262,1E+99),IF(AC262&gt;0,AC262,1E+99),IF(AE262&gt;0,AE262,1E+99),IF(AG262&gt;0,AG262,1E+99),IF(AI262&gt;0,AI262,1E+99),IF(AK262&gt;0,AK262,1E+99),IF(AM262&gt;0,AM262,1E+99),IF(AO262&gt;0,AO262,1E+99),IF(AQ262&gt;0,AQ262,1E+99),IF(AS262&gt;0,AS262,1E+99),IF(AU262&gt;0,AU262,1E+99),IF(AW262&gt;0,AW262,1E+99),IF(AY262&gt;0,AY262,1E+99),IF(BA262&gt;0,BA262,1E+99)),IF(m=1E+99,"",m))</x:f>
        <x:v>155.126</x:v>
      </x:c>
      <x:c r="BE262" s="16" t="e">
        <x:f>IF(BD262="","",INDEX({"v1.4.20","v1.4.20","v1.4.21","v1.4.21","v1.4.23","v1.4.23","v1.4.26","v1.4.26","v1.4.26.1","v1.4.26.1","v1.4.27","v1.4.27","v1.4.29","v1.4.29","v1.4.30","v1.4.30","v1.4.31","v1.4.31","v1.4.33","v1.4.33","v1.4.35","v1.4.35.2","v1.5","v1.5.1","v1.5.1"},MATCH(BD262,CHOOSE({1,2,3,4,5,6,7,8,9,10,11,12,13,14,15,16,17,18,19,20,21,22,23,24,25},E262,G262,I262,K262,M262,O262,Q262,S262,U262,W262,Y262,AA262,AC262,AE262,AG262,AI262,AK262,AM262,AO262,AQ262,AS262,AU262,AW262,AY262,BA262),0)))</x:f>
      </x:c>
      <x:c r="BF262" s="10" t="n">
        <x:f>IFERROR((AX262-BB262)/BB262,"")</x:f>
        <x:v>0</x:v>
      </x:c>
      <x:c r="BG262" s="10" t="n">
        <x:f>IFERROR((AY262-BD262)/BD262,"")</x:f>
        <x:v>0.5954256539845028</x:v>
      </x:c>
    </x:row>
    <x:row r="263">
      <x:c r="A263" t="str">
        <x:v>Master List Change Log</x:v>
      </x:c>
      <x:c r="B263" t="str">
        <x:v>Create / Refresh All Templates</x:v>
      </x:c>
      <x:c r="C263" t="str">
        <x:v>Apply title rows: Template - Master List Change Log</x:v>
      </x:c>
      <x:c r="D263" s="8" t="n">
        <x:v>0.585</x:v>
      </x:c>
      <x:c r="E263" s="8" t="n">
        <x:v>185.847</x:v>
      </x:c>
      <x:c r="F263" s="8" t="n">
        <x:v>0.585</x:v>
      </x:c>
      <x:c r="G263" s="8" t="n">
        <x:v>185.847</x:v>
      </x:c>
      <x:c r="H263" s="8" t="n">
        <x:v>0.764</x:v>
      </x:c>
      <x:c r="I263" s="8" t="n">
        <x:v>238.306</x:v>
      </x:c>
      <x:c r="J263" s="8" t="n">
        <x:v>0.764</x:v>
      </x:c>
      <x:c r="K263" s="8" t="n">
        <x:v>238.306</x:v>
      </x:c>
      <x:c r="L263" s="8" t="n">
        <x:v>0.935</x:v>
      </x:c>
      <x:c r="M263" s="8" t="n">
        <x:v>237.454</x:v>
      </x:c>
      <x:c r="N263" s="8" t="n">
        <x:v>0.935</x:v>
      </x:c>
      <x:c r="O263" s="8" t="n">
        <x:v>237.454</x:v>
      </x:c>
      <x:c r="P263" s="8" t="n">
        <x:v>0.573</x:v>
      </x:c>
      <x:c r="Q263" s="8" t="n">
        <x:v>155.699</x:v>
      </x:c>
      <x:c r="R263" s="8" t="n">
        <x:v>0.573</x:v>
      </x:c>
      <x:c r="S263" s="8" t="n">
        <x:v>155.699</x:v>
      </x:c>
      <x:c r="T263" s="8" t="n">
        <x:v>0.741</x:v>
      </x:c>
      <x:c r="U263" s="8" t="n">
        <x:v>187.508</x:v>
      </x:c>
      <x:c r="V263" s="8" t="n">
        <x:v>0.741</x:v>
      </x:c>
      <x:c r="W263" s="8" t="n">
        <x:v>187.508</x:v>
      </x:c>
      <x:c r="X263" s="8" t="n">
        <x:v>0.876</x:v>
      </x:c>
      <x:c r="Y263" s="8" t="n">
        <x:v>290.343</x:v>
      </x:c>
      <x:c r="Z263" s="8" t="n">
        <x:v>0.876</x:v>
      </x:c>
      <x:c r="AA263" s="8" t="n">
        <x:v>290.343</x:v>
      </x:c>
      <x:c r="AB263" s="8" t="n">
        <x:v>1.316</x:v>
      </x:c>
      <x:c r="AC263" s="8" t="n">
        <x:v>266.309</x:v>
      </x:c>
      <x:c r="AD263" s="8" t="n">
        <x:v>1.316</x:v>
      </x:c>
      <x:c r="AE263" s="8" t="n">
        <x:v>266.309</x:v>
      </x:c>
      <x:c r="AF263" s="8" t="n">
        <x:v>0.974</x:v>
      </x:c>
      <x:c r="AG263" s="8" t="n">
        <x:v>273.007</x:v>
      </x:c>
      <x:c r="AH263" s="8" t="n">
        <x:v>0.974</x:v>
      </x:c>
      <x:c r="AI263" s="8" t="n">
        <x:v>273.007</x:v>
      </x:c>
      <x:c r="AJ263" s="8" t="n">
        <x:v>1.042</x:v>
      </x:c>
      <x:c r="AK263" s="8" t="n">
        <x:v>225.062</x:v>
      </x:c>
      <x:c r="AL263" s="8" t="n">
        <x:v>1.042</x:v>
      </x:c>
      <x:c r="AM263" s="8" t="n">
        <x:v>225.062</x:v>
      </x:c>
      <x:c r="AN263" s="8" t="n">
        <x:v>0.624</x:v>
      </x:c>
      <x:c r="AO263" s="8" t="n">
        <x:v>187.564</x:v>
      </x:c>
      <x:c r="AP263" s="8" t="n">
        <x:v>0.624</x:v>
      </x:c>
      <x:c r="AQ263" s="8" t="n">
        <x:v>187.564</x:v>
      </x:c>
      <x:c r="AR263" s="8" t="n">
        <x:v>1.368</x:v>
      </x:c>
      <x:c r="AS263" s="8" t="n">
        <x:v>290.4</x:v>
      </x:c>
      <x:c r="AT263" s="8" t="n">
        <x:v>0.649</x:v>
      </x:c>
      <x:c r="AU263" s="8" t="n">
        <x:v>204.569</x:v>
      </x:c>
      <x:c r="AV263" s="8" t="n">
        <x:v>0.85</x:v>
      </x:c>
      <x:c r="AW263" s="8" t="n">
        <x:v>249.53</x:v>
      </x:c>
      <x:c r="AX263" s="8" t="n">
        <x:v>0.845</x:v>
      </x:c>
      <x:c r="AY263" s="8" t="n">
        <x:v>248.337</x:v>
      </x:c>
      <x:c r="AZ263" s="8" t="n">
        <x:v>0.845</x:v>
      </x:c>
      <x:c r="BA263" s="8" t="n">
        <x:v>248.337</x:v>
      </x:c>
      <x:c r="BB263" s="8" t="n">
        <x:f>LET(m,MIN(IF(D263&gt;0,D263,1E+99),IF(F263&gt;0,F263,1E+99),IF(H263&gt;0,H263,1E+99),IF(J263&gt;0,J263,1E+99),IF(L263&gt;0,L263,1E+99),IF(N263&gt;0,N263,1E+99),IF(P263&gt;0,P263,1E+99),IF(R263&gt;0,R263,1E+99),IF(T263&gt;0,T263,1E+99),IF(V263&gt;0,V263,1E+99),IF(X263&gt;0,X263,1E+99),IF(Z263&gt;0,Z263,1E+99),IF(AB263&gt;0,AB263,1E+99),IF(AD263&gt;0,AD263,1E+99),IF(AF263&gt;0,AF263,1E+99),IF(AH263&gt;0,AH263,1E+99),IF(AJ263&gt;0,AJ263,1E+99),IF(AL263&gt;0,AL263,1E+99),IF(AN263&gt;0,AN263,1E+99),IF(AP263&gt;0,AP263,1E+99),IF(AR263&gt;0,AR263,1E+99),IF(AT263&gt;0,AT263,1E+99),IF(AV263&gt;0,AV263,1E+99),IF(AX263&gt;0,AX263,1E+99),IF(AZ263&gt;0,AZ263,1E+99)),IF(m=1E+99,"",m))</x:f>
        <x:v>0.573</x:v>
      </x:c>
      <x:c r="BC263" s="12" t="e">
        <x:f>IF(BB263="","",INDEX({"v1.4.20","v1.4.20","v1.4.21","v1.4.21","v1.4.23","v1.4.23","v1.4.26","v1.4.26","v1.4.26.1","v1.4.26.1","v1.4.27","v1.4.27","v1.4.29","v1.4.29","v1.4.30","v1.4.30","v1.4.31","v1.4.31","v1.4.33","v1.4.33","v1.4.35","v1.4.35.2","v1.5","v1.5.1","v1.5.1"},MATCH(BB263,CHOOSE({1,2,3,4,5,6,7,8,9,10,11,12,13,14,15,16,17,18,19,20,21,22,23,24,25},D263,F263,H263,J263,L263,N263,P263,R263,T263,V263,X263,Z263,AB263,AD263,AF263,AH263,AJ263,AL263,AN263,AP263,AR263,AT263,AV263,AX263,AZ263),0)))</x:f>
      </x:c>
      <x:c r="BD263" s="14" t="n">
        <x:f>LET(m,MIN(IF(E263&gt;0,E263,1E+99),IF(G263&gt;0,G263,1E+99),IF(I263&gt;0,I263,1E+99),IF(K263&gt;0,K263,1E+99),IF(M263&gt;0,M263,1E+99),IF(O263&gt;0,O263,1E+99),IF(Q263&gt;0,Q263,1E+99),IF(S263&gt;0,S263,1E+99),IF(U263&gt;0,U263,1E+99),IF(W263&gt;0,W263,1E+99),IF(Y263&gt;0,Y263,1E+99),IF(AA263&gt;0,AA263,1E+99),IF(AC263&gt;0,AC263,1E+99),IF(AE263&gt;0,AE263,1E+99),IF(AG263&gt;0,AG263,1E+99),IF(AI263&gt;0,AI263,1E+99),IF(AK263&gt;0,AK263,1E+99),IF(AM263&gt;0,AM263,1E+99),IF(AO263&gt;0,AO263,1E+99),IF(AQ263&gt;0,AQ263,1E+99),IF(AS263&gt;0,AS263,1E+99),IF(AU263&gt;0,AU263,1E+99),IF(AW263&gt;0,AW263,1E+99),IF(AY263&gt;0,AY263,1E+99),IF(BA263&gt;0,BA263,1E+99)),IF(m=1E+99,"",m))</x:f>
        <x:v>155.699</x:v>
      </x:c>
      <x:c r="BE263" s="16" t="e">
        <x:f>IF(BD263="","",INDEX({"v1.4.20","v1.4.20","v1.4.21","v1.4.21","v1.4.23","v1.4.23","v1.4.26","v1.4.26","v1.4.26.1","v1.4.26.1","v1.4.27","v1.4.27","v1.4.29","v1.4.29","v1.4.30","v1.4.30","v1.4.31","v1.4.31","v1.4.33","v1.4.33","v1.4.35","v1.4.35.2","v1.5","v1.5.1","v1.5.1"},MATCH(BD263,CHOOSE({1,2,3,4,5,6,7,8,9,10,11,12,13,14,15,16,17,18,19,20,21,22,23,24,25},E263,G263,I263,K263,M263,O263,Q263,S263,U263,W263,Y263,AA263,AC263,AE263,AG263,AI263,AK263,AM263,AO263,AQ263,AS263,AU263,AW263,AY263,BA263),0)))</x:f>
      </x:c>
      <x:c r="BF263" s="10" t="n">
        <x:f>IFERROR((AX263-BB263)/BB263,"")</x:f>
        <x:v>0.474694589877836</x:v>
      </x:c>
      <x:c r="BG263" s="10" t="n">
        <x:f>IFERROR((AY263-BD263)/BD263,"")</x:f>
        <x:v>0.5949813422051521</x:v>
      </x:c>
    </x:row>
    <x:row r="264">
      <x:c r="A264" t="str">
        <x:v>Master List Change Log</x:v>
      </x:c>
      <x:c r="B264" t="str">
        <x:v>Create / Refresh All Templates</x:v>
      </x:c>
      <x:c r="C264" t="str">
        <x:v>Apply header row: Template - Master List Change Log</x:v>
      </x:c>
      <x:c r="D264" s="8" t="n">
        <x:v>0.063</x:v>
      </x:c>
      <x:c r="E264" s="8" t="n">
        <x:v>185.91</x:v>
      </x:c>
      <x:c r="F264" s="8" t="n">
        <x:v>0.063</x:v>
      </x:c>
      <x:c r="G264" s="8" t="n">
        <x:v>185.91</x:v>
      </x:c>
      <x:c r="H264" s="8" t="n">
        <x:v>0.07</x:v>
      </x:c>
      <x:c r="I264" s="8" t="n">
        <x:v>238.376</x:v>
      </x:c>
      <x:c r="J264" s="8" t="n">
        <x:v>0.07</x:v>
      </x:c>
      <x:c r="K264" s="8" t="n">
        <x:v>238.376</x:v>
      </x:c>
      <x:c r="L264" s="8" t="n">
        <x:v>0.095</x:v>
      </x:c>
      <x:c r="M264" s="8" t="n">
        <x:v>237.549</x:v>
      </x:c>
      <x:c r="N264" s="8" t="n">
        <x:v>0.095</x:v>
      </x:c>
      <x:c r="O264" s="8" t="n">
        <x:v>237.549</x:v>
      </x:c>
      <x:c r="P264" s="8" t="n">
        <x:v>0.083</x:v>
      </x:c>
      <x:c r="Q264" s="8" t="n">
        <x:v>155.782</x:v>
      </x:c>
      <x:c r="R264" s="8" t="n">
        <x:v>0.083</x:v>
      </x:c>
      <x:c r="S264" s="8" t="n">
        <x:v>155.782</x:v>
      </x:c>
      <x:c r="T264" s="8" t="n">
        <x:v>0.08</x:v>
      </x:c>
      <x:c r="U264" s="8" t="n">
        <x:v>187.588</x:v>
      </x:c>
      <x:c r="V264" s="8" t="n">
        <x:v>0.08</x:v>
      </x:c>
      <x:c r="W264" s="8" t="n">
        <x:v>187.588</x:v>
      </x:c>
      <x:c r="X264" s="8" t="n">
        <x:v>0.065</x:v>
      </x:c>
      <x:c r="Y264" s="8" t="n">
        <x:v>290.408</x:v>
      </x:c>
      <x:c r="Z264" s="8" t="n">
        <x:v>0.065</x:v>
      </x:c>
      <x:c r="AA264" s="8" t="n">
        <x:v>290.408</x:v>
      </x:c>
      <x:c r="AB264" s="8" t="n">
        <x:v>0.053</x:v>
      </x:c>
      <x:c r="AC264" s="8" t="n">
        <x:v>266.362</x:v>
      </x:c>
      <x:c r="AD264" s="8" t="n">
        <x:v>0.053</x:v>
      </x:c>
      <x:c r="AE264" s="8" t="n">
        <x:v>266.362</x:v>
      </x:c>
      <x:c r="AF264" s="8" t="n">
        <x:v>0.103</x:v>
      </x:c>
      <x:c r="AG264" s="8" t="n">
        <x:v>273.11</x:v>
      </x:c>
      <x:c r="AH264" s="8" t="n">
        <x:v>0.103</x:v>
      </x:c>
      <x:c r="AI264" s="8" t="n">
        <x:v>273.11</x:v>
      </x:c>
      <x:c r="AJ264" s="8" t="n">
        <x:v>0.149</x:v>
      </x:c>
      <x:c r="AK264" s="8" t="n">
        <x:v>225.211</x:v>
      </x:c>
      <x:c r="AL264" s="8" t="n">
        <x:v>0.149</x:v>
      </x:c>
      <x:c r="AM264" s="8" t="n">
        <x:v>225.211</x:v>
      </x:c>
      <x:c r="AN264" s="8" t="n">
        <x:v>0.061</x:v>
      </x:c>
      <x:c r="AO264" s="8" t="n">
        <x:v>187.625</x:v>
      </x:c>
      <x:c r="AP264" s="8" t="n">
        <x:v>0.061</x:v>
      </x:c>
      <x:c r="AQ264" s="8" t="n">
        <x:v>187.625</x:v>
      </x:c>
      <x:c r="AR264" s="8" t="n">
        <x:v>0.086</x:v>
      </x:c>
      <x:c r="AS264" s="8" t="n">
        <x:v>290.486</x:v>
      </x:c>
      <x:c r="AT264" s="8" t="n">
        <x:v>0.097</x:v>
      </x:c>
      <x:c r="AU264" s="8" t="n">
        <x:v>204.666</x:v>
      </x:c>
      <x:c r="AV264" s="8" t="n">
        <x:v>0.044</x:v>
      </x:c>
      <x:c r="AW264" s="8" t="n">
        <x:v>249.574</x:v>
      </x:c>
      <x:c r="AX264" s="8" t="n">
        <x:v>0.068</x:v>
      </x:c>
      <x:c r="AY264" s="8" t="n">
        <x:v>248.405</x:v>
      </x:c>
      <x:c r="AZ264" s="8" t="n">
        <x:v>0.068</x:v>
      </x:c>
      <x:c r="BA264" s="8" t="n">
        <x:v>248.405</x:v>
      </x:c>
      <x:c r="BB264" s="8" t="n">
        <x:f>LET(m,MIN(IF(D264&gt;0,D264,1E+99),IF(F264&gt;0,F264,1E+99),IF(H264&gt;0,H264,1E+99),IF(J264&gt;0,J264,1E+99),IF(L264&gt;0,L264,1E+99),IF(N264&gt;0,N264,1E+99),IF(P264&gt;0,P264,1E+99),IF(R264&gt;0,R264,1E+99),IF(T264&gt;0,T264,1E+99),IF(V264&gt;0,V264,1E+99),IF(X264&gt;0,X264,1E+99),IF(Z264&gt;0,Z264,1E+99),IF(AB264&gt;0,AB264,1E+99),IF(AD264&gt;0,AD264,1E+99),IF(AF264&gt;0,AF264,1E+99),IF(AH264&gt;0,AH264,1E+99),IF(AJ264&gt;0,AJ264,1E+99),IF(AL264&gt;0,AL264,1E+99),IF(AN264&gt;0,AN264,1E+99),IF(AP264&gt;0,AP264,1E+99),IF(AR264&gt;0,AR264,1E+99),IF(AT264&gt;0,AT264,1E+99),IF(AV264&gt;0,AV264,1E+99),IF(AX264&gt;0,AX264,1E+99),IF(AZ264&gt;0,AZ264,1E+99)),IF(m=1E+99,"",m))</x:f>
        <x:v>0.044</x:v>
      </x:c>
      <x:c r="BC264" s="12" t="e">
        <x:f>IF(BB264="","",INDEX({"v1.4.20","v1.4.20","v1.4.21","v1.4.21","v1.4.23","v1.4.23","v1.4.26","v1.4.26","v1.4.26.1","v1.4.26.1","v1.4.27","v1.4.27","v1.4.29","v1.4.29","v1.4.30","v1.4.30","v1.4.31","v1.4.31","v1.4.33","v1.4.33","v1.4.35","v1.4.35.2","v1.5","v1.5.1","v1.5.1"},MATCH(BB264,CHOOSE({1,2,3,4,5,6,7,8,9,10,11,12,13,14,15,16,17,18,19,20,21,22,23,24,25},D264,F264,H264,J264,L264,N264,P264,R264,T264,V264,X264,Z264,AB264,AD264,AF264,AH264,AJ264,AL264,AN264,AP264,AR264,AT264,AV264,AX264,AZ264),0)))</x:f>
      </x:c>
      <x:c r="BD264" s="14" t="n">
        <x:f>LET(m,MIN(IF(E264&gt;0,E264,1E+99),IF(G264&gt;0,G264,1E+99),IF(I264&gt;0,I264,1E+99),IF(K264&gt;0,K264,1E+99),IF(M264&gt;0,M264,1E+99),IF(O264&gt;0,O264,1E+99),IF(Q264&gt;0,Q264,1E+99),IF(S264&gt;0,S264,1E+99),IF(U264&gt;0,U264,1E+99),IF(W264&gt;0,W264,1E+99),IF(Y264&gt;0,Y264,1E+99),IF(AA264&gt;0,AA264,1E+99),IF(AC264&gt;0,AC264,1E+99),IF(AE264&gt;0,AE264,1E+99),IF(AG264&gt;0,AG264,1E+99),IF(AI264&gt;0,AI264,1E+99),IF(AK264&gt;0,AK264,1E+99),IF(AM264&gt;0,AM264,1E+99),IF(AO264&gt;0,AO264,1E+99),IF(AQ264&gt;0,AQ264,1E+99),IF(AS264&gt;0,AS264,1E+99),IF(AU264&gt;0,AU264,1E+99),IF(AW264&gt;0,AW264,1E+99),IF(AY264&gt;0,AY264,1E+99),IF(BA264&gt;0,BA264,1E+99)),IF(m=1E+99,"",m))</x:f>
        <x:v>155.782</x:v>
      </x:c>
      <x:c r="BE264" s="16" t="e">
        <x:f>IF(BD264="","",INDEX({"v1.4.20","v1.4.20","v1.4.21","v1.4.21","v1.4.23","v1.4.23","v1.4.26","v1.4.26","v1.4.26.1","v1.4.26.1","v1.4.27","v1.4.27","v1.4.29","v1.4.29","v1.4.30","v1.4.30","v1.4.31","v1.4.31","v1.4.33","v1.4.33","v1.4.35","v1.4.35.2","v1.5","v1.5.1","v1.5.1"},MATCH(BD264,CHOOSE({1,2,3,4,5,6,7,8,9,10,11,12,13,14,15,16,17,18,19,20,21,22,23,24,25},E264,G264,I264,K264,M264,O264,Q264,S264,U264,W264,Y264,AA264,AC264,AE264,AG264,AI264,AK264,AM264,AO264,AQ264,AS264,AU264,AW264,AY264,BA264),0)))</x:f>
      </x:c>
      <x:c r="BF264" s="10" t="n">
        <x:f>IFERROR((AX264-BB264)/BB264,"")</x:f>
        <x:v>0.5454545454545456</x:v>
      </x:c>
      <x:c r="BG264" s="10" t="n">
        <x:f>IFERROR((AY264-BD264)/BD264,"")</x:f>
        <x:v>0.5945680502240309</x:v>
      </x:c>
    </x:row>
    <x:row r="265">
      <x:c r="A265" t="str">
        <x:v>Master List Change Log</x:v>
      </x:c>
      <x:c r="B265" t="str">
        <x:v>Create / Refresh All Templates</x:v>
      </x:c>
      <x:c r="C265" t="str">
        <x:v>Apply alternating color rules: Template - Master List Change Log</x:v>
      </x:c>
      <x:c r="D265" s="8" t="n">
        <x:v>3.018</x:v>
      </x:c>
      <x:c r="E265" s="8" t="n">
        <x:v>188.928</x:v>
      </x:c>
      <x:c r="F265" s="8" t="n">
        <x:v>3.018</x:v>
      </x:c>
      <x:c r="G265" s="8" t="n">
        <x:v>188.928</x:v>
      </x:c>
      <x:c r="H265" s="8" t="n">
        <x:v>2.346</x:v>
      </x:c>
      <x:c r="I265" s="8" t="n">
        <x:v>240.722</x:v>
      </x:c>
      <x:c r="J265" s="8" t="n">
        <x:v>2.346</x:v>
      </x:c>
      <x:c r="K265" s="8" t="n">
        <x:v>240.722</x:v>
      </x:c>
      <x:c r="L265" s="8" t="n">
        <x:v>3.831</x:v>
      </x:c>
      <x:c r="M265" s="8" t="n">
        <x:v>241.38</x:v>
      </x:c>
      <x:c r="N265" s="8" t="n">
        <x:v>3.831</x:v>
      </x:c>
      <x:c r="O265" s="8" t="n">
        <x:v>241.38</x:v>
      </x:c>
      <x:c r="P265" s="8" t="n">
        <x:v>1.577</x:v>
      </x:c>
      <x:c r="Q265" s="8" t="n">
        <x:v>157.359</x:v>
      </x:c>
      <x:c r="R265" s="8" t="n">
        <x:v>1.577</x:v>
      </x:c>
      <x:c r="S265" s="8" t="n">
        <x:v>157.359</x:v>
      </x:c>
      <x:c r="T265" s="8" t="n">
        <x:v>2.327</x:v>
      </x:c>
      <x:c r="U265" s="8" t="n">
        <x:v>189.915</x:v>
      </x:c>
      <x:c r="V265" s="8" t="n">
        <x:v>2.327</x:v>
      </x:c>
      <x:c r="W265" s="8" t="n">
        <x:v>189.915</x:v>
      </x:c>
      <x:c r="X265" s="8" t="n">
        <x:v>3.179</x:v>
      </x:c>
      <x:c r="Y265" s="8" t="n">
        <x:v>293.587</x:v>
      </x:c>
      <x:c r="Z265" s="8" t="n">
        <x:v>3.179</x:v>
      </x:c>
      <x:c r="AA265" s="8" t="n">
        <x:v>293.587</x:v>
      </x:c>
      <x:c r="AB265" s="8" t="n">
        <x:v>2.633</x:v>
      </x:c>
      <x:c r="AC265" s="8" t="n">
        <x:v>268.995</x:v>
      </x:c>
      <x:c r="AD265" s="8" t="n">
        <x:v>2.633</x:v>
      </x:c>
      <x:c r="AE265" s="8" t="n">
        <x:v>268.995</x:v>
      </x:c>
      <x:c r="AF265" s="8" t="n">
        <x:v>2.791</x:v>
      </x:c>
      <x:c r="AG265" s="8" t="n">
        <x:v>275.901</x:v>
      </x:c>
      <x:c r="AH265" s="8" t="n">
        <x:v>2.791</x:v>
      </x:c>
      <x:c r="AI265" s="8" t="n">
        <x:v>275.901</x:v>
      </x:c>
      <x:c r="AJ265" s="8" t="n">
        <x:v>2.926</x:v>
      </x:c>
      <x:c r="AK265" s="8" t="n">
        <x:v>228.137</x:v>
      </x:c>
      <x:c r="AL265" s="8" t="n">
        <x:v>2.926</x:v>
      </x:c>
      <x:c r="AM265" s="8" t="n">
        <x:v>228.137</x:v>
      </x:c>
      <x:c r="AN265" s="8" t="n">
        <x:v>1.884</x:v>
      </x:c>
      <x:c r="AO265" s="8" t="n">
        <x:v>189.509</x:v>
      </x:c>
      <x:c r="AP265" s="8" t="n">
        <x:v>1.884</x:v>
      </x:c>
      <x:c r="AQ265" s="8" t="n">
        <x:v>189.509</x:v>
      </x:c>
      <x:c r="AR265" s="8" t="n">
        <x:v>2.803</x:v>
      </x:c>
      <x:c r="AS265" s="8" t="n">
        <x:v>293.289</x:v>
      </x:c>
      <x:c r="AT265" s="8" t="n">
        <x:v>2.046</x:v>
      </x:c>
      <x:c r="AU265" s="8" t="n">
        <x:v>206.712</x:v>
      </x:c>
      <x:c r="AV265" s="8" t="n">
        <x:v>2.666</x:v>
      </x:c>
      <x:c r="AW265" s="8" t="n">
        <x:v>252.24</x:v>
      </x:c>
      <x:c r="AX265" s="8" t="n">
        <x:v>2.59</x:v>
      </x:c>
      <x:c r="AY265" s="8" t="n">
        <x:v>250.995</x:v>
      </x:c>
      <x:c r="AZ265" s="8" t="n">
        <x:v>2.59</x:v>
      </x:c>
      <x:c r="BA265" s="8" t="n">
        <x:v>250.995</x:v>
      </x:c>
      <x:c r="BB265" s="8" t="n">
        <x:f>LET(m,MIN(IF(D265&gt;0,D265,1E+99),IF(F265&gt;0,F265,1E+99),IF(H265&gt;0,H265,1E+99),IF(J265&gt;0,J265,1E+99),IF(L265&gt;0,L265,1E+99),IF(N265&gt;0,N265,1E+99),IF(P265&gt;0,P265,1E+99),IF(R265&gt;0,R265,1E+99),IF(T265&gt;0,T265,1E+99),IF(V265&gt;0,V265,1E+99),IF(X265&gt;0,X265,1E+99),IF(Z265&gt;0,Z265,1E+99),IF(AB265&gt;0,AB265,1E+99),IF(AD265&gt;0,AD265,1E+99),IF(AF265&gt;0,AF265,1E+99),IF(AH265&gt;0,AH265,1E+99),IF(AJ265&gt;0,AJ265,1E+99),IF(AL265&gt;0,AL265,1E+99),IF(AN265&gt;0,AN265,1E+99),IF(AP265&gt;0,AP265,1E+99),IF(AR265&gt;0,AR265,1E+99),IF(AT265&gt;0,AT265,1E+99),IF(AV265&gt;0,AV265,1E+99),IF(AX265&gt;0,AX265,1E+99),IF(AZ265&gt;0,AZ265,1E+99)),IF(m=1E+99,"",m))</x:f>
        <x:v>1.577</x:v>
      </x:c>
      <x:c r="BC265" s="12" t="e">
        <x:f>IF(BB265="","",INDEX({"v1.4.20","v1.4.20","v1.4.21","v1.4.21","v1.4.23","v1.4.23","v1.4.26","v1.4.26","v1.4.26.1","v1.4.26.1","v1.4.27","v1.4.27","v1.4.29","v1.4.29","v1.4.30","v1.4.30","v1.4.31","v1.4.31","v1.4.33","v1.4.33","v1.4.35","v1.4.35.2","v1.5","v1.5.1","v1.5.1"},MATCH(BB265,CHOOSE({1,2,3,4,5,6,7,8,9,10,11,12,13,14,15,16,17,18,19,20,21,22,23,24,25},D265,F265,H265,J265,L265,N265,P265,R265,T265,V265,X265,Z265,AB265,AD265,AF265,AH265,AJ265,AL265,AN265,AP265,AR265,AT265,AV265,AX265,AZ265),0)))</x:f>
      </x:c>
      <x:c r="BD265" s="14" t="n">
        <x:f>LET(m,MIN(IF(E265&gt;0,E265,1E+99),IF(G265&gt;0,G265,1E+99),IF(I265&gt;0,I265,1E+99),IF(K265&gt;0,K265,1E+99),IF(M265&gt;0,M265,1E+99),IF(O265&gt;0,O265,1E+99),IF(Q265&gt;0,Q265,1E+99),IF(S265&gt;0,S265,1E+99),IF(U265&gt;0,U265,1E+99),IF(W265&gt;0,W265,1E+99),IF(Y265&gt;0,Y265,1E+99),IF(AA265&gt;0,AA265,1E+99),IF(AC265&gt;0,AC265,1E+99),IF(AE265&gt;0,AE265,1E+99),IF(AG265&gt;0,AG265,1E+99),IF(AI265&gt;0,AI265,1E+99),IF(AK265&gt;0,AK265,1E+99),IF(AM265&gt;0,AM265,1E+99),IF(AO265&gt;0,AO265,1E+99),IF(AQ265&gt;0,AQ265,1E+99),IF(AS265&gt;0,AS265,1E+99),IF(AU265&gt;0,AU265,1E+99),IF(AW265&gt;0,AW265,1E+99),IF(AY265&gt;0,AY265,1E+99),IF(BA265&gt;0,BA265,1E+99)),IF(m=1E+99,"",m))</x:f>
        <x:v>157.359</x:v>
      </x:c>
      <x:c r="BE265" s="16" t="e">
        <x:f>IF(BD265="","",INDEX({"v1.4.20","v1.4.20","v1.4.21","v1.4.21","v1.4.23","v1.4.23","v1.4.26","v1.4.26","v1.4.26.1","v1.4.26.1","v1.4.27","v1.4.27","v1.4.29","v1.4.29","v1.4.30","v1.4.30","v1.4.31","v1.4.31","v1.4.33","v1.4.33","v1.4.35","v1.4.35.2","v1.5","v1.5.1","v1.5.1"},MATCH(BD265,CHOOSE({1,2,3,4,5,6,7,8,9,10,11,12,13,14,15,16,17,18,19,20,21,22,23,24,25},E265,G265,I265,K265,M265,O265,Q265,S265,U265,W265,Y265,AA265,AC265,AE265,AG265,AI265,AK265,AM265,AO265,AQ265,AS265,AU265,AW265,AY265,BA265),0)))</x:f>
      </x:c>
      <x:c r="BF265" s="10" t="n">
        <x:f>IFERROR((AX265-BB265)/BB265,"")</x:f>
        <x:v>0.6423589093214964</x:v>
      </x:c>
      <x:c r="BG265" s="10" t="n">
        <x:f>IFERROR((AY265-BD265)/BD265,"")</x:f>
        <x:v>0.5950469944521761</x:v>
      </x:c>
    </x:row>
    <x:row r="266">
      <x:c r="A266" t="str">
        <x:v>Master List Change Log</x:v>
      </x:c>
      <x:c r="B266" t="str">
        <x:v>Create / Refresh All Templates</x:v>
      </x:c>
      <x:c r="C266" t="str">
        <x:v>Apply data row base style: Template - Master List Change Log</x:v>
      </x:c>
      <x:c r="D266" s="8" t="n">
        <x:v>0</x:v>
      </x:c>
      <x:c r="E266" s="8" t="n">
        <x:v>188.928</x:v>
      </x:c>
      <x:c r="F266" s="8" t="n">
        <x:v>0</x:v>
      </x:c>
      <x:c r="G266" s="8" t="n">
        <x:v>188.928</x:v>
      </x:c>
      <x:c r="H266" s="8" t="n">
        <x:v>0</x:v>
      </x:c>
      <x:c r="I266" s="8" t="n">
        <x:v>240.722</x:v>
      </x:c>
      <x:c r="J266" s="8" t="n">
        <x:v>0</x:v>
      </x:c>
      <x:c r="K266" s="8" t="n">
        <x:v>240.722</x:v>
      </x:c>
      <x:c r="L266" s="8" t="n">
        <x:v>0</x:v>
      </x:c>
      <x:c r="M266" s="8" t="n">
        <x:v>241.38</x:v>
      </x:c>
      <x:c r="N266" s="8" t="n">
        <x:v>0</x:v>
      </x:c>
      <x:c r="O266" s="8" t="n">
        <x:v>241.38</x:v>
      </x:c>
      <x:c r="P266" s="8" t="n">
        <x:v>0</x:v>
      </x:c>
      <x:c r="Q266" s="8" t="n">
        <x:v>157.359</x:v>
      </x:c>
      <x:c r="R266" s="8" t="n">
        <x:v>0</x:v>
      </x:c>
      <x:c r="S266" s="8" t="n">
        <x:v>157.359</x:v>
      </x:c>
      <x:c r="T266" s="8" t="n">
        <x:v>0</x:v>
      </x:c>
      <x:c r="U266" s="8" t="n">
        <x:v>189.915</x:v>
      </x:c>
      <x:c r="V266" s="8" t="n">
        <x:v>0</x:v>
      </x:c>
      <x:c r="W266" s="8" t="n">
        <x:v>189.915</x:v>
      </x:c>
      <x:c r="X266" s="8" t="n">
        <x:v>0</x:v>
      </x:c>
      <x:c r="Y266" s="8" t="n">
        <x:v>293.587</x:v>
      </x:c>
      <x:c r="Z266" s="8" t="n">
        <x:v>0</x:v>
      </x:c>
      <x:c r="AA266" s="8" t="n">
        <x:v>293.587</x:v>
      </x:c>
      <x:c r="AB266" s="8" t="n">
        <x:v>0</x:v>
      </x:c>
      <x:c r="AC266" s="8" t="n">
        <x:v>268.995</x:v>
      </x:c>
      <x:c r="AD266" s="8" t="n">
        <x:v>0</x:v>
      </x:c>
      <x:c r="AE266" s="8" t="n">
        <x:v>268.995</x:v>
      </x:c>
      <x:c r="AF266" s="8" t="n">
        <x:v>0</x:v>
      </x:c>
      <x:c r="AG266" s="8" t="n">
        <x:v>275.901</x:v>
      </x:c>
      <x:c r="AH266" s="8" t="n">
        <x:v>0</x:v>
      </x:c>
      <x:c r="AI266" s="8" t="n">
        <x:v>275.901</x:v>
      </x:c>
      <x:c r="AJ266" s="8" t="n">
        <x:v>0</x:v>
      </x:c>
      <x:c r="AK266" s="8" t="n">
        <x:v>228.137</x:v>
      </x:c>
      <x:c r="AL266" s="8" t="n">
        <x:v>0</x:v>
      </x:c>
      <x:c r="AM266" s="8" t="n">
        <x:v>228.137</x:v>
      </x:c>
      <x:c r="AN266" s="8" t="n">
        <x:v>0</x:v>
      </x:c>
      <x:c r="AO266" s="8" t="n">
        <x:v>189.509</x:v>
      </x:c>
      <x:c r="AP266" s="8" t="n">
        <x:v>0</x:v>
      </x:c>
      <x:c r="AQ266" s="8" t="n">
        <x:v>189.509</x:v>
      </x:c>
      <x:c r="AR266" s="8" t="n">
        <x:v>0.001</x:v>
      </x:c>
      <x:c r="AS266" s="8" t="n">
        <x:v>293.29</x:v>
      </x:c>
      <x:c r="AT266" s="8" t="n">
        <x:v>0</x:v>
      </x:c>
      <x:c r="AU266" s="8" t="n">
        <x:v>206.712</x:v>
      </x:c>
      <x:c r="AV266" s="8" t="n">
        <x:v>0</x:v>
      </x:c>
      <x:c r="AW266" s="8" t="n">
        <x:v>252.24</x:v>
      </x:c>
      <x:c r="AX266" s="8" t="n">
        <x:v>0</x:v>
      </x:c>
      <x:c r="AY266" s="8" t="n">
        <x:v>250.995</x:v>
      </x:c>
      <x:c r="AZ266" s="8" t="n">
        <x:v>0</x:v>
      </x:c>
      <x:c r="BA266" s="8" t="n">
        <x:v>250.995</x:v>
      </x:c>
      <x:c r="BB266" s="8" t="n">
        <x:f>LET(m,MIN(IF(D266&gt;0,D266,1E+99),IF(F266&gt;0,F266,1E+99),IF(H266&gt;0,H266,1E+99),IF(J266&gt;0,J266,1E+99),IF(L266&gt;0,L266,1E+99),IF(N266&gt;0,N266,1E+99),IF(P266&gt;0,P266,1E+99),IF(R266&gt;0,R266,1E+99),IF(T266&gt;0,T266,1E+99),IF(V266&gt;0,V266,1E+99),IF(X266&gt;0,X266,1E+99),IF(Z266&gt;0,Z266,1E+99),IF(AB266&gt;0,AB266,1E+99),IF(AD266&gt;0,AD266,1E+99),IF(AF266&gt;0,AF266,1E+99),IF(AH266&gt;0,AH266,1E+99),IF(AJ266&gt;0,AJ266,1E+99),IF(AL266&gt;0,AL266,1E+99),IF(AN266&gt;0,AN266,1E+99),IF(AP266&gt;0,AP266,1E+99),IF(AR266&gt;0,AR266,1E+99),IF(AT266&gt;0,AT266,1E+99),IF(AV266&gt;0,AV266,1E+99),IF(AX266&gt;0,AX266,1E+99),IF(AZ266&gt;0,AZ266,1E+99)),IF(m=1E+99,"",m))</x:f>
        <x:v>0.001</x:v>
      </x:c>
      <x:c r="BC266" s="12" t="e">
        <x:f>IF(BB266="","",INDEX({"v1.4.20","v1.4.20","v1.4.21","v1.4.21","v1.4.23","v1.4.23","v1.4.26","v1.4.26","v1.4.26.1","v1.4.26.1","v1.4.27","v1.4.27","v1.4.29","v1.4.29","v1.4.30","v1.4.30","v1.4.31","v1.4.31","v1.4.33","v1.4.33","v1.4.35","v1.4.35.2","v1.5","v1.5.1","v1.5.1"},MATCH(BB266,CHOOSE({1,2,3,4,5,6,7,8,9,10,11,12,13,14,15,16,17,18,19,20,21,22,23,24,25},D266,F266,H266,J266,L266,N266,P266,R266,T266,V266,X266,Z266,AB266,AD266,AF266,AH266,AJ266,AL266,AN266,AP266,AR266,AT266,AV266,AX266,AZ266),0)))</x:f>
      </x:c>
      <x:c r="BD266" s="14" t="n">
        <x:f>LET(m,MIN(IF(E266&gt;0,E266,1E+99),IF(G266&gt;0,G266,1E+99),IF(I266&gt;0,I266,1E+99),IF(K266&gt;0,K266,1E+99),IF(M266&gt;0,M266,1E+99),IF(O266&gt;0,O266,1E+99),IF(Q266&gt;0,Q266,1E+99),IF(S266&gt;0,S266,1E+99),IF(U266&gt;0,U266,1E+99),IF(W266&gt;0,W266,1E+99),IF(Y266&gt;0,Y266,1E+99),IF(AA266&gt;0,AA266,1E+99),IF(AC266&gt;0,AC266,1E+99),IF(AE266&gt;0,AE266,1E+99),IF(AG266&gt;0,AG266,1E+99),IF(AI266&gt;0,AI266,1E+99),IF(AK266&gt;0,AK266,1E+99),IF(AM266&gt;0,AM266,1E+99),IF(AO266&gt;0,AO266,1E+99),IF(AQ266&gt;0,AQ266,1E+99),IF(AS266&gt;0,AS266,1E+99),IF(AU266&gt;0,AU266,1E+99),IF(AW266&gt;0,AW266,1E+99),IF(AY266&gt;0,AY266,1E+99),IF(BA266&gt;0,BA266,1E+99)),IF(m=1E+99,"",m))</x:f>
        <x:v>157.359</x:v>
      </x:c>
      <x:c r="BE266" s="16" t="e">
        <x:f>IF(BD266="","",INDEX({"v1.4.20","v1.4.20","v1.4.21","v1.4.21","v1.4.23","v1.4.23","v1.4.26","v1.4.26","v1.4.26.1","v1.4.26.1","v1.4.27","v1.4.27","v1.4.29","v1.4.29","v1.4.30","v1.4.30","v1.4.31","v1.4.31","v1.4.33","v1.4.33","v1.4.35","v1.4.35.2","v1.5","v1.5.1","v1.5.1"},MATCH(BD266,CHOOSE({1,2,3,4,5,6,7,8,9,10,11,12,13,14,15,16,17,18,19,20,21,22,23,24,25},E266,G266,I266,K266,M266,O266,Q266,S266,U266,W266,Y266,AA266,AC266,AE266,AG266,AI266,AK266,AM266,AO266,AQ266,AS266,AU266,AW266,AY266,BA266),0)))</x:f>
      </x:c>
      <x:c r="BF266" s="10" t="n">
        <x:f>IFERROR((AX266-BB266)/BB266,"")</x:f>
        <x:v>-1</x:v>
      </x:c>
      <x:c r="BG266" s="10" t="n">
        <x:f>IFERROR((AY266-BD266)/BD266,"")</x:f>
        <x:v>0.5950469944521761</x:v>
      </x:c>
    </x:row>
    <x:row r="267">
      <x:c r="A267" t="str">
        <x:v>Master List Change Log</x:v>
      </x:c>
      <x:c r="B267" t="str">
        <x:v>Create / Refresh All Templates</x:v>
      </x:c>
      <x:c r="C267" t="str">
        <x:v>Apply column widths: Template - Master List Change Log</x:v>
      </x:c>
      <x:c r="D267" s="8" t="n">
        <x:v>0.488</x:v>
      </x:c>
      <x:c r="E267" s="8" t="n">
        <x:v>189.416</x:v>
      </x:c>
      <x:c r="F267" s="8" t="n">
        <x:v>0.488</x:v>
      </x:c>
      <x:c r="G267" s="8" t="n">
        <x:v>189.416</x:v>
      </x:c>
      <x:c r="H267" s="8" t="n">
        <x:v>0.655</x:v>
      </x:c>
      <x:c r="I267" s="8" t="n">
        <x:v>241.377</x:v>
      </x:c>
      <x:c r="J267" s="8" t="n">
        <x:v>0.655</x:v>
      </x:c>
      <x:c r="K267" s="8" t="n">
        <x:v>241.377</x:v>
      </x:c>
      <x:c r="L267" s="8" t="n">
        <x:v>0.735</x:v>
      </x:c>
      <x:c r="M267" s="8" t="n">
        <x:v>242.115</x:v>
      </x:c>
      <x:c r="N267" s="8" t="n">
        <x:v>0.735</x:v>
      </x:c>
      <x:c r="O267" s="8" t="n">
        <x:v>242.115</x:v>
      </x:c>
      <x:c r="P267" s="8" t="n">
        <x:v>0.456</x:v>
      </x:c>
      <x:c r="Q267" s="8" t="n">
        <x:v>157.815</x:v>
      </x:c>
      <x:c r="R267" s="8" t="n">
        <x:v>0.456</x:v>
      </x:c>
      <x:c r="S267" s="8" t="n">
        <x:v>157.815</x:v>
      </x:c>
      <x:c r="T267" s="8" t="n">
        <x:v>0.345</x:v>
      </x:c>
      <x:c r="U267" s="8" t="n">
        <x:v>190.26</x:v>
      </x:c>
      <x:c r="V267" s="8" t="n">
        <x:v>0.345</x:v>
      </x:c>
      <x:c r="W267" s="8" t="n">
        <x:v>190.26</x:v>
      </x:c>
      <x:c r="X267" s="8" t="n">
        <x:v>1.082</x:v>
      </x:c>
      <x:c r="Y267" s="8" t="n">
        <x:v>294.669</x:v>
      </x:c>
      <x:c r="Z267" s="8" t="n">
        <x:v>1.082</x:v>
      </x:c>
      <x:c r="AA267" s="8" t="n">
        <x:v>294.669</x:v>
      </x:c>
      <x:c r="AB267" s="8" t="n">
        <x:v>0.867</x:v>
      </x:c>
      <x:c r="AC267" s="8" t="n">
        <x:v>269.862</x:v>
      </x:c>
      <x:c r="AD267" s="8" t="n">
        <x:v>0.867</x:v>
      </x:c>
      <x:c r="AE267" s="8" t="n">
        <x:v>269.862</x:v>
      </x:c>
      <x:c r="AF267" s="8" t="n">
        <x:v>0.87</x:v>
      </x:c>
      <x:c r="AG267" s="8" t="n">
        <x:v>276.771</x:v>
      </x:c>
      <x:c r="AH267" s="8" t="n">
        <x:v>0.87</x:v>
      </x:c>
      <x:c r="AI267" s="8" t="n">
        <x:v>276.771</x:v>
      </x:c>
      <x:c r="AJ267" s="8" t="n">
        <x:v>0.797</x:v>
      </x:c>
      <x:c r="AK267" s="8" t="n">
        <x:v>228.934</x:v>
      </x:c>
      <x:c r="AL267" s="8" t="n">
        <x:v>0.797</x:v>
      </x:c>
      <x:c r="AM267" s="8" t="n">
        <x:v>228.934</x:v>
      </x:c>
      <x:c r="AN267" s="8" t="n">
        <x:v>0.563</x:v>
      </x:c>
      <x:c r="AO267" s="8" t="n">
        <x:v>190.072</x:v>
      </x:c>
      <x:c r="AP267" s="8" t="n">
        <x:v>0.563</x:v>
      </x:c>
      <x:c r="AQ267" s="8" t="n">
        <x:v>190.072</x:v>
      </x:c>
      <x:c r="AR267" s="8" t="n">
        <x:v>0.882</x:v>
      </x:c>
      <x:c r="AS267" s="8" t="n">
        <x:v>294.172</x:v>
      </x:c>
      <x:c r="AT267" s="8" t="n">
        <x:v>0.563</x:v>
      </x:c>
      <x:c r="AU267" s="8" t="n">
        <x:v>207.275</x:v>
      </x:c>
      <x:c r="AV267" s="8" t="n">
        <x:v>0.809</x:v>
      </x:c>
      <x:c r="AW267" s="8" t="n">
        <x:v>253.049</x:v>
      </x:c>
      <x:c r="AX267" s="8" t="n">
        <x:v>0.742</x:v>
      </x:c>
      <x:c r="AY267" s="8" t="n">
        <x:v>251.737</x:v>
      </x:c>
      <x:c r="AZ267" s="8" t="n">
        <x:v>0.742</x:v>
      </x:c>
      <x:c r="BA267" s="8" t="n">
        <x:v>251.737</x:v>
      </x:c>
      <x:c r="BB267" s="8" t="n">
        <x:f>LET(m,MIN(IF(D267&gt;0,D267,1E+99),IF(F267&gt;0,F267,1E+99),IF(H267&gt;0,H267,1E+99),IF(J267&gt;0,J267,1E+99),IF(L267&gt;0,L267,1E+99),IF(N267&gt;0,N267,1E+99),IF(P267&gt;0,P267,1E+99),IF(R267&gt;0,R267,1E+99),IF(T267&gt;0,T267,1E+99),IF(V267&gt;0,V267,1E+99),IF(X267&gt;0,X267,1E+99),IF(Z267&gt;0,Z267,1E+99),IF(AB267&gt;0,AB267,1E+99),IF(AD267&gt;0,AD267,1E+99),IF(AF267&gt;0,AF267,1E+99),IF(AH267&gt;0,AH267,1E+99),IF(AJ267&gt;0,AJ267,1E+99),IF(AL267&gt;0,AL267,1E+99),IF(AN267&gt;0,AN267,1E+99),IF(AP267&gt;0,AP267,1E+99),IF(AR267&gt;0,AR267,1E+99),IF(AT267&gt;0,AT267,1E+99),IF(AV267&gt;0,AV267,1E+99),IF(AX267&gt;0,AX267,1E+99),IF(AZ267&gt;0,AZ267,1E+99)),IF(m=1E+99,"",m))</x:f>
        <x:v>0.345</x:v>
      </x:c>
      <x:c r="BC267" s="12" t="e">
        <x:f>IF(BB267="","",INDEX({"v1.4.20","v1.4.20","v1.4.21","v1.4.21","v1.4.23","v1.4.23","v1.4.26","v1.4.26","v1.4.26.1","v1.4.26.1","v1.4.27","v1.4.27","v1.4.29","v1.4.29","v1.4.30","v1.4.30","v1.4.31","v1.4.31","v1.4.33","v1.4.33","v1.4.35","v1.4.35.2","v1.5","v1.5.1","v1.5.1"},MATCH(BB267,CHOOSE({1,2,3,4,5,6,7,8,9,10,11,12,13,14,15,16,17,18,19,20,21,22,23,24,25},D267,F267,H267,J267,L267,N267,P267,R267,T267,V267,X267,Z267,AB267,AD267,AF267,AH267,AJ267,AL267,AN267,AP267,AR267,AT267,AV267,AX267,AZ267),0)))</x:f>
      </x:c>
      <x:c r="BD267" s="14" t="n">
        <x:f>LET(m,MIN(IF(E267&gt;0,E267,1E+99),IF(G267&gt;0,G267,1E+99),IF(I267&gt;0,I267,1E+99),IF(K267&gt;0,K267,1E+99),IF(M267&gt;0,M267,1E+99),IF(O267&gt;0,O267,1E+99),IF(Q267&gt;0,Q267,1E+99),IF(S267&gt;0,S267,1E+99),IF(U267&gt;0,U267,1E+99),IF(W267&gt;0,W267,1E+99),IF(Y267&gt;0,Y267,1E+99),IF(AA267&gt;0,AA267,1E+99),IF(AC267&gt;0,AC267,1E+99),IF(AE267&gt;0,AE267,1E+99),IF(AG267&gt;0,AG267,1E+99),IF(AI267&gt;0,AI267,1E+99),IF(AK267&gt;0,AK267,1E+99),IF(AM267&gt;0,AM267,1E+99),IF(AO267&gt;0,AO267,1E+99),IF(AQ267&gt;0,AQ267,1E+99),IF(AS267&gt;0,AS267,1E+99),IF(AU267&gt;0,AU267,1E+99),IF(AW267&gt;0,AW267,1E+99),IF(AY267&gt;0,AY267,1E+99),IF(BA267&gt;0,BA267,1E+99)),IF(m=1E+99,"",m))</x:f>
        <x:v>157.815</x:v>
      </x:c>
      <x:c r="BE267" s="16" t="e">
        <x:f>IF(BD267="","",INDEX({"v1.4.20","v1.4.20","v1.4.21","v1.4.21","v1.4.23","v1.4.23","v1.4.26","v1.4.26","v1.4.26.1","v1.4.26.1","v1.4.27","v1.4.27","v1.4.29","v1.4.29","v1.4.30","v1.4.30","v1.4.31","v1.4.31","v1.4.33","v1.4.33","v1.4.35","v1.4.35.2","v1.5","v1.5.1","v1.5.1"},MATCH(BD267,CHOOSE({1,2,3,4,5,6,7,8,9,10,11,12,13,14,15,16,17,18,19,20,21,22,23,24,25},E267,G267,I267,K267,M267,O267,Q267,S267,U267,W267,Y267,AA267,AC267,AE267,AG267,AI267,AK267,AM267,AO267,AQ267,AS267,AU267,AW267,AY267,BA267),0)))</x:f>
      </x:c>
      <x:c r="BF267" s="10" t="n">
        <x:f>IFERROR((AX267-BB267)/BB267,"")</x:f>
        <x:v>1.1507246376811595</x:v>
      </x:c>
      <x:c r="BG267" s="10" t="n">
        <x:f>IFERROR((AY267-BD267)/BD267,"")</x:f>
        <x:v>0.5951398789722143</x:v>
      </x:c>
    </x:row>
    <x:row r="268">
      <x:c r="A268" t="str">
        <x:v>Master List Change Log</x:v>
      </x:c>
      <x:c r="B268" t="str">
        <x:v>Create / Refresh All Templates</x:v>
      </x:c>
      <x:c r="C268" t="str">
        <x:v>Apply date/number formats: Template - Master List Change Log</x:v>
      </x:c>
      <x:c r="D268" s="8" t="n">
        <x:v>0.012</x:v>
      </x:c>
      <x:c r="E268" s="8" t="n">
        <x:v>189.428</x:v>
      </x:c>
      <x:c r="F268" s="8" t="n">
        <x:v>0.012</x:v>
      </x:c>
      <x:c r="G268" s="8" t="n">
        <x:v>189.428</x:v>
      </x:c>
      <x:c r="H268" s="8" t="n">
        <x:v>0.017</x:v>
      </x:c>
      <x:c r="I268" s="8" t="n">
        <x:v>241.394</x:v>
      </x:c>
      <x:c r="J268" s="8" t="n">
        <x:v>0.017</x:v>
      </x:c>
      <x:c r="K268" s="8" t="n">
        <x:v>241.394</x:v>
      </x:c>
      <x:c r="L268" s="8" t="n">
        <x:v>0.016</x:v>
      </x:c>
      <x:c r="M268" s="8" t="n">
        <x:v>242.131</x:v>
      </x:c>
      <x:c r="N268" s="8" t="n">
        <x:v>0.016</x:v>
      </x:c>
      <x:c r="O268" s="8" t="n">
        <x:v>242.131</x:v>
      </x:c>
      <x:c r="P268" s="8" t="n">
        <x:v>0.01</x:v>
      </x:c>
      <x:c r="Q268" s="8" t="n">
        <x:v>157.825</x:v>
      </x:c>
      <x:c r="R268" s="8" t="n">
        <x:v>0.01</x:v>
      </x:c>
      <x:c r="S268" s="8" t="n">
        <x:v>157.825</x:v>
      </x:c>
      <x:c r="T268" s="8" t="n">
        <x:v>0.019</x:v>
      </x:c>
      <x:c r="U268" s="8" t="n">
        <x:v>190.279</x:v>
      </x:c>
      <x:c r="V268" s="8" t="n">
        <x:v>0.019</x:v>
      </x:c>
      <x:c r="W268" s="8" t="n">
        <x:v>190.279</x:v>
      </x:c>
      <x:c r="X268" s="8" t="n">
        <x:v>0.017</x:v>
      </x:c>
      <x:c r="Y268" s="8" t="n">
        <x:v>294.686</x:v>
      </x:c>
      <x:c r="Z268" s="8" t="n">
        <x:v>0.017</x:v>
      </x:c>
      <x:c r="AA268" s="8" t="n">
        <x:v>294.686</x:v>
      </x:c>
      <x:c r="AB268" s="8" t="n">
        <x:v>0.015</x:v>
      </x:c>
      <x:c r="AC268" s="8" t="n">
        <x:v>269.877</x:v>
      </x:c>
      <x:c r="AD268" s="8" t="n">
        <x:v>0.015</x:v>
      </x:c>
      <x:c r="AE268" s="8" t="n">
        <x:v>269.877</x:v>
      </x:c>
      <x:c r="AF268" s="8" t="n">
        <x:v>0.022</x:v>
      </x:c>
      <x:c r="AG268" s="8" t="n">
        <x:v>276.793</x:v>
      </x:c>
      <x:c r="AH268" s="8" t="n">
        <x:v>0.022</x:v>
      </x:c>
      <x:c r="AI268" s="8" t="n">
        <x:v>276.793</x:v>
      </x:c>
      <x:c r="AJ268" s="8" t="n">
        <x:v>0.044</x:v>
      </x:c>
      <x:c r="AK268" s="8" t="n">
        <x:v>228.978</x:v>
      </x:c>
      <x:c r="AL268" s="8" t="n">
        <x:v>0.044</x:v>
      </x:c>
      <x:c r="AM268" s="8" t="n">
        <x:v>228.978</x:v>
      </x:c>
      <x:c r="AN268" s="8" t="n">
        <x:v>0.013</x:v>
      </x:c>
      <x:c r="AO268" s="8" t="n">
        <x:v>190.085</x:v>
      </x:c>
      <x:c r="AP268" s="8" t="n">
        <x:v>0.013</x:v>
      </x:c>
      <x:c r="AQ268" s="8" t="n">
        <x:v>190.085</x:v>
      </x:c>
      <x:c r="AR268" s="8" t="n">
        <x:v>0.032</x:v>
      </x:c>
      <x:c r="AS268" s="8" t="n">
        <x:v>294.204</x:v>
      </x:c>
      <x:c r="AT268" s="8" t="n">
        <x:v>0.028</x:v>
      </x:c>
      <x:c r="AU268" s="8" t="n">
        <x:v>207.303</x:v>
      </x:c>
      <x:c r="AV268" s="8" t="n">
        <x:v>0.008</x:v>
      </x:c>
      <x:c r="AW268" s="8" t="n">
        <x:v>253.057</x:v>
      </x:c>
      <x:c r="AX268" s="8" t="n">
        <x:v>0.015</x:v>
      </x:c>
      <x:c r="AY268" s="8" t="n">
        <x:v>251.752</x:v>
      </x:c>
      <x:c r="AZ268" s="8" t="n">
        <x:v>0.015</x:v>
      </x:c>
      <x:c r="BA268" s="8" t="n">
        <x:v>251.752</x:v>
      </x:c>
      <x:c r="BB268" s="8" t="n">
        <x:f>LET(m,MIN(IF(D268&gt;0,D268,1E+99),IF(F268&gt;0,F268,1E+99),IF(H268&gt;0,H268,1E+99),IF(J268&gt;0,J268,1E+99),IF(L268&gt;0,L268,1E+99),IF(N268&gt;0,N268,1E+99),IF(P268&gt;0,P268,1E+99),IF(R268&gt;0,R268,1E+99),IF(T268&gt;0,T268,1E+99),IF(V268&gt;0,V268,1E+99),IF(X268&gt;0,X268,1E+99),IF(Z268&gt;0,Z268,1E+99),IF(AB268&gt;0,AB268,1E+99),IF(AD268&gt;0,AD268,1E+99),IF(AF268&gt;0,AF268,1E+99),IF(AH268&gt;0,AH268,1E+99),IF(AJ268&gt;0,AJ268,1E+99),IF(AL268&gt;0,AL268,1E+99),IF(AN268&gt;0,AN268,1E+99),IF(AP268&gt;0,AP268,1E+99),IF(AR268&gt;0,AR268,1E+99),IF(AT268&gt;0,AT268,1E+99),IF(AV268&gt;0,AV268,1E+99),IF(AX268&gt;0,AX268,1E+99),IF(AZ268&gt;0,AZ268,1E+99)),IF(m=1E+99,"",m))</x:f>
        <x:v>0.008</x:v>
      </x:c>
      <x:c r="BC268" s="12" t="e">
        <x:f>IF(BB268="","",INDEX({"v1.4.20","v1.4.20","v1.4.21","v1.4.21","v1.4.23","v1.4.23","v1.4.26","v1.4.26","v1.4.26.1","v1.4.26.1","v1.4.27","v1.4.27","v1.4.29","v1.4.29","v1.4.30","v1.4.30","v1.4.31","v1.4.31","v1.4.33","v1.4.33","v1.4.35","v1.4.35.2","v1.5","v1.5.1","v1.5.1"},MATCH(BB268,CHOOSE({1,2,3,4,5,6,7,8,9,10,11,12,13,14,15,16,17,18,19,20,21,22,23,24,25},D268,F268,H268,J268,L268,N268,P268,R268,T268,V268,X268,Z268,AB268,AD268,AF268,AH268,AJ268,AL268,AN268,AP268,AR268,AT268,AV268,AX268,AZ268),0)))</x:f>
      </x:c>
      <x:c r="BD268" s="14" t="n">
        <x:f>LET(m,MIN(IF(E268&gt;0,E268,1E+99),IF(G268&gt;0,G268,1E+99),IF(I268&gt;0,I268,1E+99),IF(K268&gt;0,K268,1E+99),IF(M268&gt;0,M268,1E+99),IF(O268&gt;0,O268,1E+99),IF(Q268&gt;0,Q268,1E+99),IF(S268&gt;0,S268,1E+99),IF(U268&gt;0,U268,1E+99),IF(W268&gt;0,W268,1E+99),IF(Y268&gt;0,Y268,1E+99),IF(AA268&gt;0,AA268,1E+99),IF(AC268&gt;0,AC268,1E+99),IF(AE268&gt;0,AE268,1E+99),IF(AG268&gt;0,AG268,1E+99),IF(AI268&gt;0,AI268,1E+99),IF(AK268&gt;0,AK268,1E+99),IF(AM268&gt;0,AM268,1E+99),IF(AO268&gt;0,AO268,1E+99),IF(AQ268&gt;0,AQ268,1E+99),IF(AS268&gt;0,AS268,1E+99),IF(AU268&gt;0,AU268,1E+99),IF(AW268&gt;0,AW268,1E+99),IF(AY268&gt;0,AY268,1E+99),IF(BA268&gt;0,BA268,1E+99)),IF(m=1E+99,"",m))</x:f>
        <x:v>157.825</x:v>
      </x:c>
      <x:c r="BE268" s="16" t="e">
        <x:f>IF(BD268="","",INDEX({"v1.4.20","v1.4.20","v1.4.21","v1.4.21","v1.4.23","v1.4.23","v1.4.26","v1.4.26","v1.4.26.1","v1.4.26.1","v1.4.27","v1.4.27","v1.4.29","v1.4.29","v1.4.30","v1.4.30","v1.4.31","v1.4.31","v1.4.33","v1.4.33","v1.4.35","v1.4.35.2","v1.5","v1.5.1","v1.5.1"},MATCH(BD268,CHOOSE({1,2,3,4,5,6,7,8,9,10,11,12,13,14,15,16,17,18,19,20,21,22,23,24,25},E268,G268,I268,K268,M268,O268,Q268,S268,U268,W268,Y268,AA268,AC268,AE268,AG268,AI268,AK268,AM268,AO268,AQ268,AS268,AU268,AW268,AY268,BA268),0)))</x:f>
      </x:c>
      <x:c r="BF268" s="10" t="n">
        <x:f>IFERROR((AX268-BB268)/BB268,"")</x:f>
        <x:v>0.8749999999999999</x:v>
      </x:c>
      <x:c r="BG268" s="10" t="n">
        <x:f>IFERROR((AY268-BD268)/BD268,"")</x:f>
        <x:v>0.5951338507840965</x:v>
      </x:c>
    </x:row>
    <x:row r="269">
      <x:c r="A269" t="str">
        <x:v>Master List Change Log</x:v>
      </x:c>
      <x:c r="B269" t="str">
        <x:v>Create / Refresh All Templates</x:v>
      </x:c>
      <x:c r="C269" t="str">
        <x:v>Apply hidden/show column settings: Template - Master List Change Log</x:v>
      </x:c>
      <x:c r="D269" s="8" t="n">
        <x:v>0.001</x:v>
      </x:c>
      <x:c r="E269" s="8" t="n">
        <x:v>189.429</x:v>
      </x:c>
      <x:c r="F269" s="8" t="n">
        <x:v>0.001</x:v>
      </x:c>
      <x:c r="G269" s="8" t="n">
        <x:v>189.429</x:v>
      </x:c>
      <x:c r="H269" s="8" t="n">
        <x:v>0.003</x:v>
      </x:c>
      <x:c r="I269" s="8" t="n">
        <x:v>241.397</x:v>
      </x:c>
      <x:c r="J269" s="8" t="n">
        <x:v>0.003</x:v>
      </x:c>
      <x:c r="K269" s="8" t="n">
        <x:v>241.397</x:v>
      </x:c>
      <x:c r="L269" s="8" t="n">
        <x:v>0.001</x:v>
      </x:c>
      <x:c r="M269" s="8" t="n">
        <x:v>242.132</x:v>
      </x:c>
      <x:c r="N269" s="8" t="n">
        <x:v>0.001</x:v>
      </x:c>
      <x:c r="O269" s="8" t="n">
        <x:v>242.132</x:v>
      </x:c>
      <x:c r="P269" s="8" t="n">
        <x:v>0.001</x:v>
      </x:c>
      <x:c r="Q269" s="8" t="n">
        <x:v>157.826</x:v>
      </x:c>
      <x:c r="R269" s="8" t="n">
        <x:v>0.001</x:v>
      </x:c>
      <x:c r="S269" s="8" t="n">
        <x:v>157.826</x:v>
      </x:c>
      <x:c r="T269" s="8" t="n">
        <x:v>0</x:v>
      </x:c>
      <x:c r="U269" s="8" t="n">
        <x:v>190.279</x:v>
      </x:c>
      <x:c r="V269" s="8" t="n">
        <x:v>0</x:v>
      </x:c>
      <x:c r="W269" s="8" t="n">
        <x:v>190.279</x:v>
      </x:c>
      <x:c r="X269" s="8" t="n">
        <x:v>0</x:v>
      </x:c>
      <x:c r="Y269" s="8" t="n">
        <x:v>294.686</x:v>
      </x:c>
      <x:c r="Z269" s="8" t="n">
        <x:v>0</x:v>
      </x:c>
      <x:c r="AA269" s="8" t="n">
        <x:v>294.686</x:v>
      </x:c>
      <x:c r="AB269" s="8" t="n">
        <x:v>0.001</x:v>
      </x:c>
      <x:c r="AC269" s="8" t="n">
        <x:v>269.878</x:v>
      </x:c>
      <x:c r="AD269" s="8" t="n">
        <x:v>0.001</x:v>
      </x:c>
      <x:c r="AE269" s="8" t="n">
        <x:v>269.878</x:v>
      </x:c>
      <x:c r="AF269" s="8" t="n">
        <x:v>0.002</x:v>
      </x:c>
      <x:c r="AG269" s="8" t="n">
        <x:v>276.795</x:v>
      </x:c>
      <x:c r="AH269" s="8" t="n">
        <x:v>0.002</x:v>
      </x:c>
      <x:c r="AI269" s="8" t="n">
        <x:v>276.795</x:v>
      </x:c>
      <x:c r="AJ269" s="8" t="n">
        <x:v>0.003</x:v>
      </x:c>
      <x:c r="AK269" s="8" t="n">
        <x:v>228.981</x:v>
      </x:c>
      <x:c r="AL269" s="8" t="n">
        <x:v>0.003</x:v>
      </x:c>
      <x:c r="AM269" s="8" t="n">
        <x:v>228.981</x:v>
      </x:c>
      <x:c r="AN269" s="8" t="n">
        <x:v>0.001</x:v>
      </x:c>
      <x:c r="AO269" s="8" t="n">
        <x:v>190.086</x:v>
      </x:c>
      <x:c r="AP269" s="8" t="n">
        <x:v>0.001</x:v>
      </x:c>
      <x:c r="AQ269" s="8" t="n">
        <x:v>190.086</x:v>
      </x:c>
      <x:c r="AR269" s="8" t="n">
        <x:v>0.002</x:v>
      </x:c>
      <x:c r="AS269" s="8" t="n">
        <x:v>294.206</x:v>
      </x:c>
      <x:c r="AT269" s="8" t="n">
        <x:v>0.001</x:v>
      </x:c>
      <x:c r="AU269" s="8" t="n">
        <x:v>207.304</x:v>
      </x:c>
      <x:c r="AV269" s="8" t="n">
        <x:v>0</x:v>
      </x:c>
      <x:c r="AW269" s="8" t="n">
        <x:v>253.057</x:v>
      </x:c>
      <x:c r="AX269" s="8" t="n">
        <x:v>0.001</x:v>
      </x:c>
      <x:c r="AY269" s="8" t="n">
        <x:v>251.753</x:v>
      </x:c>
      <x:c r="AZ269" s="8" t="n">
        <x:v>0.001</x:v>
      </x:c>
      <x:c r="BA269" s="8" t="n">
        <x:v>251.753</x:v>
      </x:c>
      <x:c r="BB269" s="8" t="n">
        <x:f>LET(m,MIN(IF(D269&gt;0,D269,1E+99),IF(F269&gt;0,F269,1E+99),IF(H269&gt;0,H269,1E+99),IF(J269&gt;0,J269,1E+99),IF(L269&gt;0,L269,1E+99),IF(N269&gt;0,N269,1E+99),IF(P269&gt;0,P269,1E+99),IF(R269&gt;0,R269,1E+99),IF(T269&gt;0,T269,1E+99),IF(V269&gt;0,V269,1E+99),IF(X269&gt;0,X269,1E+99),IF(Z269&gt;0,Z269,1E+99),IF(AB269&gt;0,AB269,1E+99),IF(AD269&gt;0,AD269,1E+99),IF(AF269&gt;0,AF269,1E+99),IF(AH269&gt;0,AH269,1E+99),IF(AJ269&gt;0,AJ269,1E+99),IF(AL269&gt;0,AL269,1E+99),IF(AN269&gt;0,AN269,1E+99),IF(AP269&gt;0,AP269,1E+99),IF(AR269&gt;0,AR269,1E+99),IF(AT269&gt;0,AT269,1E+99),IF(AV269&gt;0,AV269,1E+99),IF(AX269&gt;0,AX269,1E+99),IF(AZ269&gt;0,AZ269,1E+99)),IF(m=1E+99,"",m))</x:f>
        <x:v>0.001</x:v>
      </x:c>
      <x:c r="BC269" s="12" t="str">
        <x:f>IF(BB269="","",INDEX({"v1.4.20","v1.4.20","v1.4.21","v1.4.21","v1.4.23","v1.4.23","v1.4.26","v1.4.26","v1.4.26.1","v1.4.26.1","v1.4.27","v1.4.27","v1.4.29","v1.4.29","v1.4.30","v1.4.30","v1.4.31","v1.4.31","v1.4.33","v1.4.33","v1.4.35","v1.4.35.2","v1.5","v1.5.1","v1.5.1"},MATCH(BB269,CHOOSE({1,2,3,4,5,6,7,8,9,10,11,12,13,14,15,16,17,18,19,20,21,22,23,24,25},D269,F269,H269,J269,L269,N269,P269,R269,T269,V269,X269,Z269,AB269,AD269,AF269,AH269,AJ269,AL269,AN269,AP269,AR269,AT269,AV269,AX269,AZ269),0)))</x:f>
        <x:v>v1.4.20</x:v>
      </x:c>
      <x:c r="BD269" s="14" t="n">
        <x:f>LET(m,MIN(IF(E269&gt;0,E269,1E+99),IF(G269&gt;0,G269,1E+99),IF(I269&gt;0,I269,1E+99),IF(K269&gt;0,K269,1E+99),IF(M269&gt;0,M269,1E+99),IF(O269&gt;0,O269,1E+99),IF(Q269&gt;0,Q269,1E+99),IF(S269&gt;0,S269,1E+99),IF(U269&gt;0,U269,1E+99),IF(W269&gt;0,W269,1E+99),IF(Y269&gt;0,Y269,1E+99),IF(AA269&gt;0,AA269,1E+99),IF(AC269&gt;0,AC269,1E+99),IF(AE269&gt;0,AE269,1E+99),IF(AG269&gt;0,AG269,1E+99),IF(AI269&gt;0,AI269,1E+99),IF(AK269&gt;0,AK269,1E+99),IF(AM269&gt;0,AM269,1E+99),IF(AO269&gt;0,AO269,1E+99),IF(AQ269&gt;0,AQ269,1E+99),IF(AS269&gt;0,AS269,1E+99),IF(AU269&gt;0,AU269,1E+99),IF(AW269&gt;0,AW269,1E+99),IF(AY269&gt;0,AY269,1E+99),IF(BA269&gt;0,BA269,1E+99)),IF(m=1E+99,"",m))</x:f>
        <x:v>157.826</x:v>
      </x:c>
      <x:c r="BE269" s="16" t="e">
        <x:f>IF(BD269="","",INDEX({"v1.4.20","v1.4.20","v1.4.21","v1.4.21","v1.4.23","v1.4.23","v1.4.26","v1.4.26","v1.4.26.1","v1.4.26.1","v1.4.27","v1.4.27","v1.4.29","v1.4.29","v1.4.30","v1.4.30","v1.4.31","v1.4.31","v1.4.33","v1.4.33","v1.4.35","v1.4.35.2","v1.5","v1.5.1","v1.5.1"},MATCH(BD269,CHOOSE({1,2,3,4,5,6,7,8,9,10,11,12,13,14,15,16,17,18,19,20,21,22,23,24,25},E269,G269,I269,K269,M269,O269,Q269,S269,U269,W269,Y269,AA269,AC269,AE269,AG269,AI269,AK269,AM269,AO269,AQ269,AS269,AU269,AW269,AY269,BA269),0)))</x:f>
      </x:c>
      <x:c r="BF269" s="10" t="n">
        <x:f>IFERROR((AX269-BB269)/BB269,"")</x:f>
        <x:v>0</x:v>
      </x:c>
      <x:c r="BG269" s="10" t="n">
        <x:f>IFERROR((AY269-BD269)/BD269,"")</x:f>
        <x:v>0.5951300799614765</x:v>
      </x:c>
    </x:row>
    <x:row r="270">
      <x:c r="A270" t="str">
        <x:v>Master List Change Log</x:v>
      </x:c>
      <x:c r="B270" t="str">
        <x:v>Create / Refresh All Templates</x:v>
      </x:c>
      <x:c r="C270" t="str">
        <x:v>No existing filter to remove: Template - Master List Change Log</x:v>
      </x:c>
      <x:c r="D270" s="8" t="n">
        <x:v>0.25</x:v>
      </x:c>
      <x:c r="E270" s="8" t="n">
        <x:v>189.679</x:v>
      </x:c>
      <x:c r="F270" s="8" t="n">
        <x:v>0.25</x:v>
      </x:c>
      <x:c r="G270" s="8" t="n">
        <x:v>189.679</x:v>
      </x:c>
      <x:c r="H270" s="8" t="n">
        <x:v>0.15</x:v>
      </x:c>
      <x:c r="I270" s="8" t="n">
        <x:v>241.547</x:v>
      </x:c>
      <x:c r="J270" s="8" t="n">
        <x:v>0.15</x:v>
      </x:c>
      <x:c r="K270" s="8" t="n">
        <x:v>241.547</x:v>
      </x:c>
      <x:c r="L270" s="8" t="n">
        <x:v>0.241</x:v>
      </x:c>
      <x:c r="M270" s="8" t="n">
        <x:v>242.373</x:v>
      </x:c>
      <x:c r="N270" s="8" t="n">
        <x:v>0.241</x:v>
      </x:c>
      <x:c r="O270" s="8" t="n">
        <x:v>242.373</x:v>
      </x:c>
      <x:c r="P270" s="8" t="n">
        <x:v>0.18</x:v>
      </x:c>
      <x:c r="Q270" s="8" t="n">
        <x:v>158.006</x:v>
      </x:c>
      <x:c r="R270" s="8" t="n">
        <x:v>0.18</x:v>
      </x:c>
      <x:c r="S270" s="8" t="n">
        <x:v>158.006</x:v>
      </x:c>
      <x:c r="T270" s="8" t="n">
        <x:v>0.781</x:v>
      </x:c>
      <x:c r="U270" s="8" t="n">
        <x:v>191.06</x:v>
      </x:c>
      <x:c r="V270" s="8" t="n">
        <x:v>0.781</x:v>
      </x:c>
      <x:c r="W270" s="8" t="n">
        <x:v>191.06</x:v>
      </x:c>
      <x:c r="X270" s="8" t="n">
        <x:v>0.2</x:v>
      </x:c>
      <x:c r="Y270" s="8" t="n">
        <x:v>294.886</x:v>
      </x:c>
      <x:c r="Z270" s="8" t="n">
        <x:v>0.2</x:v>
      </x:c>
      <x:c r="AA270" s="8" t="n">
        <x:v>294.886</x:v>
      </x:c>
      <x:c r="AB270" s="8" t="n">
        <x:v>0.182</x:v>
      </x:c>
      <x:c r="AC270" s="8" t="n">
        <x:v>270.06</x:v>
      </x:c>
      <x:c r="AD270" s="8" t="n">
        <x:v>0.182</x:v>
      </x:c>
      <x:c r="AE270" s="8" t="n">
        <x:v>270.06</x:v>
      </x:c>
      <x:c r="AF270" s="8" t="n">
        <x:v>0.119</x:v>
      </x:c>
      <x:c r="AG270" s="8" t="n">
        <x:v>276.914</x:v>
      </x:c>
      <x:c r="AH270" s="8" t="n">
        <x:v>0.119</x:v>
      </x:c>
      <x:c r="AI270" s="8" t="n">
        <x:v>276.914</x:v>
      </x:c>
      <x:c r="AJ270" s="8" t="n">
        <x:v>0.188</x:v>
      </x:c>
      <x:c r="AK270" s="8" t="n">
        <x:v>229.169</x:v>
      </x:c>
      <x:c r="AL270" s="8" t="n">
        <x:v>0.188</x:v>
      </x:c>
      <x:c r="AM270" s="8" t="n">
        <x:v>229.169</x:v>
      </x:c>
      <x:c r="AN270" s="8" t="n">
        <x:v>0.272</x:v>
      </x:c>
      <x:c r="AO270" s="8" t="n">
        <x:v>190.358</x:v>
      </x:c>
      <x:c r="AP270" s="8" t="n">
        <x:v>0.272</x:v>
      </x:c>
      <x:c r="AQ270" s="8" t="n">
        <x:v>190.358</x:v>
      </x:c>
      <x:c r="AR270" s="8" t="n">
        <x:v>0.244</x:v>
      </x:c>
      <x:c r="AS270" s="8" t="n">
        <x:v>294.45</x:v>
      </x:c>
      <x:c r="AT270" s="8" t="n">
        <x:v>0.173</x:v>
      </x:c>
      <x:c r="AU270" s="8" t="n">
        <x:v>207.477</x:v>
      </x:c>
      <x:c r="AV270" s="8" t="n">
        <x:v>1.275</x:v>
      </x:c>
      <x:c r="AW270" s="8" t="n">
        <x:v>254.332</x:v>
      </x:c>
      <x:c r="AX270" s="8" t="n">
        <x:v>0.226</x:v>
      </x:c>
      <x:c r="AY270" s="8" t="n">
        <x:v>251.979</x:v>
      </x:c>
      <x:c r="AZ270" s="8" t="n">
        <x:v>0.226</x:v>
      </x:c>
      <x:c r="BA270" s="8" t="n">
        <x:v>251.979</x:v>
      </x:c>
      <x:c r="BB270" s="8" t="n">
        <x:f>LET(m,MIN(IF(D270&gt;0,D270,1E+99),IF(F270&gt;0,F270,1E+99),IF(H270&gt;0,H270,1E+99),IF(J270&gt;0,J270,1E+99),IF(L270&gt;0,L270,1E+99),IF(N270&gt;0,N270,1E+99),IF(P270&gt;0,P270,1E+99),IF(R270&gt;0,R270,1E+99),IF(T270&gt;0,T270,1E+99),IF(V270&gt;0,V270,1E+99),IF(X270&gt;0,X270,1E+99),IF(Z270&gt;0,Z270,1E+99),IF(AB270&gt;0,AB270,1E+99),IF(AD270&gt;0,AD270,1E+99),IF(AF270&gt;0,AF270,1E+99),IF(AH270&gt;0,AH270,1E+99),IF(AJ270&gt;0,AJ270,1E+99),IF(AL270&gt;0,AL270,1E+99),IF(AN270&gt;0,AN270,1E+99),IF(AP270&gt;0,AP270,1E+99),IF(AR270&gt;0,AR270,1E+99),IF(AT270&gt;0,AT270,1E+99),IF(AV270&gt;0,AV270,1E+99),IF(AX270&gt;0,AX270,1E+99),IF(AZ270&gt;0,AZ270,1E+99)),IF(m=1E+99,"",m))</x:f>
        <x:v>0.119</x:v>
      </x:c>
      <x:c r="BC270" s="12" t="e">
        <x:f>IF(BB270="","",INDEX({"v1.4.20","v1.4.20","v1.4.21","v1.4.21","v1.4.23","v1.4.23","v1.4.26","v1.4.26","v1.4.26.1","v1.4.26.1","v1.4.27","v1.4.27","v1.4.29","v1.4.29","v1.4.30","v1.4.30","v1.4.31","v1.4.31","v1.4.33","v1.4.33","v1.4.35","v1.4.35.2","v1.5","v1.5.1","v1.5.1"},MATCH(BB270,CHOOSE({1,2,3,4,5,6,7,8,9,10,11,12,13,14,15,16,17,18,19,20,21,22,23,24,25},D270,F270,H270,J270,L270,N270,P270,R270,T270,V270,X270,Z270,AB270,AD270,AF270,AH270,AJ270,AL270,AN270,AP270,AR270,AT270,AV270,AX270,AZ270),0)))</x:f>
      </x:c>
      <x:c r="BD270" s="14" t="n">
        <x:f>LET(m,MIN(IF(E270&gt;0,E270,1E+99),IF(G270&gt;0,G270,1E+99),IF(I270&gt;0,I270,1E+99),IF(K270&gt;0,K270,1E+99),IF(M270&gt;0,M270,1E+99),IF(O270&gt;0,O270,1E+99),IF(Q270&gt;0,Q270,1E+99),IF(S270&gt;0,S270,1E+99),IF(U270&gt;0,U270,1E+99),IF(W270&gt;0,W270,1E+99),IF(Y270&gt;0,Y270,1E+99),IF(AA270&gt;0,AA270,1E+99),IF(AC270&gt;0,AC270,1E+99),IF(AE270&gt;0,AE270,1E+99),IF(AG270&gt;0,AG270,1E+99),IF(AI270&gt;0,AI270,1E+99),IF(AK270&gt;0,AK270,1E+99),IF(AM270&gt;0,AM270,1E+99),IF(AO270&gt;0,AO270,1E+99),IF(AQ270&gt;0,AQ270,1E+99),IF(AS270&gt;0,AS270,1E+99),IF(AU270&gt;0,AU270,1E+99),IF(AW270&gt;0,AW270,1E+99),IF(AY270&gt;0,AY270,1E+99),IF(BA270&gt;0,BA270,1E+99)),IF(m=1E+99,"",m))</x:f>
        <x:v>158.006</x:v>
      </x:c>
      <x:c r="BE270" s="16" t="e">
        <x:f>IF(BD270="","",INDEX({"v1.4.20","v1.4.20","v1.4.21","v1.4.21","v1.4.23","v1.4.23","v1.4.26","v1.4.26","v1.4.26.1","v1.4.26.1","v1.4.27","v1.4.27","v1.4.29","v1.4.29","v1.4.30","v1.4.30","v1.4.31","v1.4.31","v1.4.33","v1.4.33","v1.4.35","v1.4.35.2","v1.5","v1.5.1","v1.5.1"},MATCH(BD270,CHOOSE({1,2,3,4,5,6,7,8,9,10,11,12,13,14,15,16,17,18,19,20,21,22,23,24,25},E270,G270,I270,K270,M270,O270,Q270,S270,U270,W270,Y270,AA270,AC270,AE270,AG270,AI270,AK270,AM270,AO270,AQ270,AS270,AU270,AW270,AY270,BA270),0)))</x:f>
      </x:c>
      <x:c r="BF270" s="10" t="n">
        <x:f>IFERROR((AX270-BB270)/BB270,"")</x:f>
        <x:v>0.8991596638655464</x:v>
      </x:c>
      <x:c r="BG270" s="10" t="n">
        <x:f>IFERROR((AY270-BD270)/BD270,"")</x:f>
        <x:v>0.5947432375985723</x:v>
      </x:c>
    </x:row>
    <x:row r="271">
      <x:c r="A271" t="str">
        <x:v>Master List Change Log</x:v>
      </x:c>
      <x:c r="B271" t="str">
        <x:v>Create / Refresh All Templates</x:v>
      </x:c>
      <x:c r="C271" t="str">
        <x:v>Create filter: Template - Master List Change Log</x:v>
      </x:c>
      <x:c r="D271" s="8" t="n">
        <x:v>2.691</x:v>
      </x:c>
      <x:c r="E271" s="8" t="n">
        <x:v>192.37</x:v>
      </x:c>
      <x:c r="F271" s="8" t="n">
        <x:v>2.691</x:v>
      </x:c>
      <x:c r="G271" s="8" t="n">
        <x:v>192.37</x:v>
      </x:c>
      <x:c r="H271" s="8" t="n">
        <x:v>2.205</x:v>
      </x:c>
      <x:c r="I271" s="8" t="n">
        <x:v>243.752</x:v>
      </x:c>
      <x:c r="J271" s="8" t="n">
        <x:v>2.205</x:v>
      </x:c>
      <x:c r="K271" s="8" t="n">
        <x:v>243.752</x:v>
      </x:c>
      <x:c r="L271" s="8" t="n">
        <x:v>3.068</x:v>
      </x:c>
      <x:c r="M271" s="8" t="n">
        <x:v>245.441</x:v>
      </x:c>
      <x:c r="N271" s="8" t="n">
        <x:v>3.068</x:v>
      </x:c>
      <x:c r="O271" s="8" t="n">
        <x:v>245.441</x:v>
      </x:c>
      <x:c r="P271" s="8" t="n">
        <x:v>1.804</x:v>
      </x:c>
      <x:c r="Q271" s="8" t="n">
        <x:v>159.81</x:v>
      </x:c>
      <x:c r="R271" s="8" t="n">
        <x:v>1.804</x:v>
      </x:c>
      <x:c r="S271" s="8" t="n">
        <x:v>159.81</x:v>
      </x:c>
      <x:c r="T271" s="8" t="n">
        <x:v>1.746</x:v>
      </x:c>
      <x:c r="U271" s="8" t="n">
        <x:v>192.806</x:v>
      </x:c>
      <x:c r="V271" s="8" t="n">
        <x:v>1.746</x:v>
      </x:c>
      <x:c r="W271" s="8" t="n">
        <x:v>192.806</x:v>
      </x:c>
      <x:c r="X271" s="8" t="n">
        <x:v>3.014</x:v>
      </x:c>
      <x:c r="Y271" s="8" t="n">
        <x:v>297.9</x:v>
      </x:c>
      <x:c r="Z271" s="8" t="n">
        <x:v>3.014</x:v>
      </x:c>
      <x:c r="AA271" s="8" t="n">
        <x:v>297.9</x:v>
      </x:c>
      <x:c r="AB271" s="8" t="n">
        <x:v>3.432</x:v>
      </x:c>
      <x:c r="AC271" s="8" t="n">
        <x:v>273.492</x:v>
      </x:c>
      <x:c r="AD271" s="8" t="n">
        <x:v>3.432</x:v>
      </x:c>
      <x:c r="AE271" s="8" t="n">
        <x:v>273.492</x:v>
      </x:c>
      <x:c r="AF271" s="8" t="n">
        <x:v>2.773</x:v>
      </x:c>
      <x:c r="AG271" s="8" t="n">
        <x:v>279.687</x:v>
      </x:c>
      <x:c r="AH271" s="8" t="n">
        <x:v>2.773</x:v>
      </x:c>
      <x:c r="AI271" s="8" t="n">
        <x:v>279.687</x:v>
      </x:c>
      <x:c r="AJ271" s="8" t="n">
        <x:v>3.531</x:v>
      </x:c>
      <x:c r="AK271" s="8" t="n">
        <x:v>232.7</x:v>
      </x:c>
      <x:c r="AL271" s="8" t="n">
        <x:v>3.531</x:v>
      </x:c>
      <x:c r="AM271" s="8" t="n">
        <x:v>232.7</x:v>
      </x:c>
      <x:c r="AN271" s="8" t="n">
        <x:v>2.167</x:v>
      </x:c>
      <x:c r="AO271" s="8" t="n">
        <x:v>192.525</x:v>
      </x:c>
      <x:c r="AP271" s="8" t="n">
        <x:v>2.167</x:v>
      </x:c>
      <x:c r="AQ271" s="8" t="n">
        <x:v>192.525</x:v>
      </x:c>
      <x:c r="AR271" s="8" t="n">
        <x:v>4.107</x:v>
      </x:c>
      <x:c r="AS271" s="8" t="n">
        <x:v>298.557</x:v>
      </x:c>
      <x:c r="AT271" s="8" t="n">
        <x:v>2.304</x:v>
      </x:c>
      <x:c r="AU271" s="8" t="n">
        <x:v>209.781</x:v>
      </x:c>
      <x:c r="AV271" s="8" t="n">
        <x:v>2.608</x:v>
      </x:c>
      <x:c r="AW271" s="8" t="n">
        <x:v>256.94</x:v>
      </x:c>
      <x:c r="AX271" s="8" t="n">
        <x:v>3.29</x:v>
      </x:c>
      <x:c r="AY271" s="8" t="n">
        <x:v>255.269</x:v>
      </x:c>
      <x:c r="AZ271" s="8" t="n">
        <x:v>3.29</x:v>
      </x:c>
      <x:c r="BA271" s="8" t="n">
        <x:v>255.269</x:v>
      </x:c>
      <x:c r="BB271" s="8" t="n">
        <x:f>LET(m,MIN(IF(D271&gt;0,D271,1E+99),IF(F271&gt;0,F271,1E+99),IF(H271&gt;0,H271,1E+99),IF(J271&gt;0,J271,1E+99),IF(L271&gt;0,L271,1E+99),IF(N271&gt;0,N271,1E+99),IF(P271&gt;0,P271,1E+99),IF(R271&gt;0,R271,1E+99),IF(T271&gt;0,T271,1E+99),IF(V271&gt;0,V271,1E+99),IF(X271&gt;0,X271,1E+99),IF(Z271&gt;0,Z271,1E+99),IF(AB271&gt;0,AB271,1E+99),IF(AD271&gt;0,AD271,1E+99),IF(AF271&gt;0,AF271,1E+99),IF(AH271&gt;0,AH271,1E+99),IF(AJ271&gt;0,AJ271,1E+99),IF(AL271&gt;0,AL271,1E+99),IF(AN271&gt;0,AN271,1E+99),IF(AP271&gt;0,AP271,1E+99),IF(AR271&gt;0,AR271,1E+99),IF(AT271&gt;0,AT271,1E+99),IF(AV271&gt;0,AV271,1E+99),IF(AX271&gt;0,AX271,1E+99),IF(AZ271&gt;0,AZ271,1E+99)),IF(m=1E+99,"",m))</x:f>
        <x:v>1.746</x:v>
      </x:c>
      <x:c r="BC271" s="12" t="e">
        <x:f>IF(BB271="","",INDEX({"v1.4.20","v1.4.20","v1.4.21","v1.4.21","v1.4.23","v1.4.23","v1.4.26","v1.4.26","v1.4.26.1","v1.4.26.1","v1.4.27","v1.4.27","v1.4.29","v1.4.29","v1.4.30","v1.4.30","v1.4.31","v1.4.31","v1.4.33","v1.4.33","v1.4.35","v1.4.35.2","v1.5","v1.5.1","v1.5.1"},MATCH(BB271,CHOOSE({1,2,3,4,5,6,7,8,9,10,11,12,13,14,15,16,17,18,19,20,21,22,23,24,25},D271,F271,H271,J271,L271,N271,P271,R271,T271,V271,X271,Z271,AB271,AD271,AF271,AH271,AJ271,AL271,AN271,AP271,AR271,AT271,AV271,AX271,AZ271),0)))</x:f>
      </x:c>
      <x:c r="BD271" s="14" t="n">
        <x:f>LET(m,MIN(IF(E271&gt;0,E271,1E+99),IF(G271&gt;0,G271,1E+99),IF(I271&gt;0,I271,1E+99),IF(K271&gt;0,K271,1E+99),IF(M271&gt;0,M271,1E+99),IF(O271&gt;0,O271,1E+99),IF(Q271&gt;0,Q271,1E+99),IF(S271&gt;0,S271,1E+99),IF(U271&gt;0,U271,1E+99),IF(W271&gt;0,W271,1E+99),IF(Y271&gt;0,Y271,1E+99),IF(AA271&gt;0,AA271,1E+99),IF(AC271&gt;0,AC271,1E+99),IF(AE271&gt;0,AE271,1E+99),IF(AG271&gt;0,AG271,1E+99),IF(AI271&gt;0,AI271,1E+99),IF(AK271&gt;0,AK271,1E+99),IF(AM271&gt;0,AM271,1E+99),IF(AO271&gt;0,AO271,1E+99),IF(AQ271&gt;0,AQ271,1E+99),IF(AS271&gt;0,AS271,1E+99),IF(AU271&gt;0,AU271,1E+99),IF(AW271&gt;0,AW271,1E+99),IF(AY271&gt;0,AY271,1E+99),IF(BA271&gt;0,BA271,1E+99)),IF(m=1E+99,"",m))</x:f>
        <x:v>159.81</x:v>
      </x:c>
      <x:c r="BE271" s="16" t="e">
        <x:f>IF(BD271="","",INDEX({"v1.4.20","v1.4.20","v1.4.21","v1.4.21","v1.4.23","v1.4.23","v1.4.26","v1.4.26","v1.4.26.1","v1.4.26.1","v1.4.27","v1.4.27","v1.4.29","v1.4.29","v1.4.30","v1.4.30","v1.4.31","v1.4.31","v1.4.33","v1.4.33","v1.4.35","v1.4.35.2","v1.5","v1.5.1","v1.5.1"},MATCH(BD271,CHOOSE({1,2,3,4,5,6,7,8,9,10,11,12,13,14,15,16,17,18,19,20,21,22,23,24,25},E271,G271,I271,K271,M271,O271,Q271,S271,U271,W271,Y271,AA271,AC271,AE271,AG271,AI271,AK271,AM271,AO271,AQ271,AS271,AU271,AW271,AY271,BA271),0)))</x:f>
      </x:c>
      <x:c r="BF271" s="10" t="n">
        <x:f>IFERROR((AX271-BB271)/BB271,"")</x:f>
        <x:v>0.884306987399771</x:v>
      </x:c>
      <x:c r="BG271" s="10" t="n">
        <x:f>IFERROR((AY271-BD271)/BD271,"")</x:f>
        <x:v>0.5973280770915462</x:v>
      </x:c>
    </x:row>
    <x:row r="272">
      <x:c r="A272" t="str">
        <x:v>Master List Change Log</x:v>
      </x:c>
      <x:c r="B272" t="str">
        <x:v>Create / Refresh All Templates</x:v>
      </x:c>
      <x:c r="C272" t="str">
        <x:v>Apply row heights skipped for template: Template - Master List Change Log</x:v>
      </x:c>
      <x:c r="D272" s="8"/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  <x:c r="P272" s="8"/>
      <x:c r="Q272" s="8"/>
      <x:c r="R272" s="8"/>
      <x:c r="S272" s="8"/>
      <x:c r="T272" s="8"/>
      <x:c r="U272" s="8"/>
      <x:c r="V272" s="8"/>
      <x:c r="W272" s="8"/>
      <x:c r="X272" s="8"/>
      <x:c r="Y272" s="8"/>
      <x:c r="Z272" s="8"/>
      <x:c r="AA272" s="8"/>
      <x:c r="AB272" s="8"/>
      <x:c r="AC272" s="8"/>
      <x:c r="AD272" s="8"/>
      <x:c r="AE272" s="8"/>
      <x:c r="AF272" s="8"/>
      <x:c r="AG272" s="8"/>
      <x:c r="AH272" s="8"/>
      <x:c r="AI272" s="8"/>
      <x:c r="AJ272" s="8"/>
      <x:c r="AK272" s="8"/>
      <x:c r="AL272" s="8"/>
      <x:c r="AM272" s="8"/>
      <x:c r="AN272" s="8"/>
      <x:c r="AO272" s="8"/>
      <x:c r="AP272" s="8"/>
      <x:c r="AQ272" s="8"/>
      <x:c r="AR272" s="8"/>
      <x:c r="AS272" s="8"/>
      <x:c r="AT272" s="8"/>
      <x:c r="AU272" s="8"/>
      <x:c r="AV272" s="8" t="n">
        <x:v>0</x:v>
      </x:c>
      <x:c r="AW272" s="8" t="n">
        <x:v>256.94</x:v>
      </x:c>
      <x:c r="AX272" s="8" t="n">
        <x:v>0</x:v>
      </x:c>
      <x:c r="AY272" s="8" t="n">
        <x:v>255.269</x:v>
      </x:c>
      <x:c r="AZ272" s="8" t="n">
        <x:v>0</x:v>
      </x:c>
      <x:c r="BA272" s="8" t="n">
        <x:v>255.269</x:v>
      </x:c>
      <x:c r="BB272" s="8" t="str">
        <x:f>LET(m,MIN(IF(D272&gt;0,D272,1E+99),IF(F272&gt;0,F272,1E+99),IF(H272&gt;0,H272,1E+99),IF(J272&gt;0,J272,1E+99),IF(L272&gt;0,L272,1E+99),IF(N272&gt;0,N272,1E+99),IF(P272&gt;0,P272,1E+99),IF(R272&gt;0,R272,1E+99),IF(T272&gt;0,T272,1E+99),IF(V272&gt;0,V272,1E+99),IF(X272&gt;0,X272,1E+99),IF(Z272&gt;0,Z272,1E+99),IF(AB272&gt;0,AB272,1E+99),IF(AD272&gt;0,AD272,1E+99),IF(AF272&gt;0,AF272,1E+99),IF(AH272&gt;0,AH272,1E+99),IF(AJ272&gt;0,AJ272,1E+99),IF(AL272&gt;0,AL272,1E+99),IF(AN272&gt;0,AN272,1E+99),IF(AP272&gt;0,AP272,1E+99),IF(AR272&gt;0,AR272,1E+99),IF(AT272&gt;0,AT272,1E+99),IF(AV272&gt;0,AV272,1E+99),IF(AX272&gt;0,AX272,1E+99),IF(AZ272&gt;0,AZ272,1E+99)),IF(m=1E+99,"",m))</x:f>
      </x:c>
      <x:c r="BC272" s="12" t="str">
        <x:f>IF(BB272="","",INDEX({"v1.4.20","v1.4.20","v1.4.21","v1.4.21","v1.4.23","v1.4.23","v1.4.26","v1.4.26","v1.4.26.1","v1.4.26.1","v1.4.27","v1.4.27","v1.4.29","v1.4.29","v1.4.30","v1.4.30","v1.4.31","v1.4.31","v1.4.33","v1.4.33","v1.4.35","v1.4.35.2","v1.5","v1.5.1","v1.5.1"},MATCH(BB272,CHOOSE({1,2,3,4,5,6,7,8,9,10,11,12,13,14,15,16,17,18,19,20,21,22,23,24,25},D272,F272,H272,J272,L272,N272,P272,R272,T272,V272,X272,Z272,AB272,AD272,AF272,AH272,AJ272,AL272,AN272,AP272,AR272,AT272,AV272,AX272,AZ272),0)))</x:f>
      </x:c>
      <x:c r="BD272" s="14" t="n">
        <x:f>LET(m,MIN(IF(E272&gt;0,E272,1E+99),IF(G272&gt;0,G272,1E+99),IF(I272&gt;0,I272,1E+99),IF(K272&gt;0,K272,1E+99),IF(M272&gt;0,M272,1E+99),IF(O272&gt;0,O272,1E+99),IF(Q272&gt;0,Q272,1E+99),IF(S272&gt;0,S272,1E+99),IF(U272&gt;0,U272,1E+99),IF(W272&gt;0,W272,1E+99),IF(Y272&gt;0,Y272,1E+99),IF(AA272&gt;0,AA272,1E+99),IF(AC272&gt;0,AC272,1E+99),IF(AE272&gt;0,AE272,1E+99),IF(AG272&gt;0,AG272,1E+99),IF(AI272&gt;0,AI272,1E+99),IF(AK272&gt;0,AK272,1E+99),IF(AM272&gt;0,AM272,1E+99),IF(AO272&gt;0,AO272,1E+99),IF(AQ272&gt;0,AQ272,1E+99),IF(AS272&gt;0,AS272,1E+99),IF(AU272&gt;0,AU272,1E+99),IF(AW272&gt;0,AW272,1E+99),IF(AY272&gt;0,AY272,1E+99),IF(BA272&gt;0,BA272,1E+99)),IF(m=1E+99,"",m))</x:f>
        <x:v>255.269</x:v>
      </x:c>
      <x:c r="BE272" s="16" t="e">
        <x:f>IF(BD272="","",INDEX({"v1.4.20","v1.4.20","v1.4.21","v1.4.21","v1.4.23","v1.4.23","v1.4.26","v1.4.26","v1.4.26.1","v1.4.26.1","v1.4.27","v1.4.27","v1.4.29","v1.4.29","v1.4.30","v1.4.30","v1.4.31","v1.4.31","v1.4.33","v1.4.33","v1.4.35","v1.4.35.2","v1.5","v1.5.1","v1.5.1"},MATCH(BD272,CHOOSE({1,2,3,4,5,6,7,8,9,10,11,12,13,14,15,16,17,18,19,20,21,22,23,24,25},E272,G272,I272,K272,M272,O272,Q272,S272,U272,W272,Y272,AA272,AC272,AE272,AG272,AI272,AK272,AM272,AO272,AQ272,AS272,AU272,AW272,AY272,BA272),0)))</x:f>
      </x:c>
      <x:c r="BF272" s="10" t="str">
        <x:f>IFERROR((AX272-BB272)/BB272,"")</x:f>
      </x:c>
      <x:c r="BG272" s="10" t="n">
        <x:f>IFERROR((AY272-BD272)/BD272,"")</x:f>
        <x:v>0</x:v>
      </x:c>
    </x:row>
    <x:row r="273">
      <x:c r="A273" t="str">
        <x:v>Master List Change Log</x:v>
      </x:c>
      <x:c r="B273" t="str">
        <x:v>Create / Refresh All Templates</x:v>
      </x:c>
      <x:c r="C273" t="str">
        <x:v>Apply full template formatting: Template - Master List Change Log</x:v>
      </x:c>
      <x:c r="D273" s="8" t="n">
        <x:v>0</x:v>
      </x:c>
      <x:c r="E273" s="8" t="n">
        <x:v>192.377</x:v>
      </x:c>
      <x:c r="F273" s="8" t="n">
        <x:v>0</x:v>
      </x:c>
      <x:c r="G273" s="8" t="n">
        <x:v>192.377</x:v>
      </x:c>
      <x:c r="H273" s="8" t="n">
        <x:v>0.001</x:v>
      </x:c>
      <x:c r="I273" s="8" t="n">
        <x:v>243.759</x:v>
      </x:c>
      <x:c r="J273" s="8" t="n">
        <x:v>0.001</x:v>
      </x:c>
      <x:c r="K273" s="8" t="n">
        <x:v>243.759</x:v>
      </x:c>
      <x:c r="L273" s="8" t="n">
        <x:v>0</x:v>
      </x:c>
      <x:c r="M273" s="8" t="n">
        <x:v>245.451</x:v>
      </x:c>
      <x:c r="N273" s="8" t="n">
        <x:v>0</x:v>
      </x:c>
      <x:c r="O273" s="8" t="n">
        <x:v>245.451</x:v>
      </x:c>
      <x:c r="P273" s="8" t="n">
        <x:v>0</x:v>
      </x:c>
      <x:c r="Q273" s="8" t="n">
        <x:v>159.817</x:v>
      </x:c>
      <x:c r="R273" s="8" t="n">
        <x:v>0</x:v>
      </x:c>
      <x:c r="S273" s="8" t="n">
        <x:v>159.817</x:v>
      </x:c>
      <x:c r="T273" s="8" t="n">
        <x:v>0</x:v>
      </x:c>
      <x:c r="U273" s="8" t="n">
        <x:v>193.479</x:v>
      </x:c>
      <x:c r="V273" s="8" t="n">
        <x:v>0</x:v>
      </x:c>
      <x:c r="W273" s="8" t="n">
        <x:v>193.479</x:v>
      </x:c>
      <x:c r="X273" s="8" t="n">
        <x:v>0</x:v>
      </x:c>
      <x:c r="Y273" s="8" t="n">
        <x:v>297.911</x:v>
      </x:c>
      <x:c r="Z273" s="8" t="n">
        <x:v>0</x:v>
      </x:c>
      <x:c r="AA273" s="8" t="n">
        <x:v>297.911</x:v>
      </x:c>
      <x:c r="AB273" s="8" t="n">
        <x:v>0</x:v>
      </x:c>
      <x:c r="AC273" s="8" t="n">
        <x:v>274.465</x:v>
      </x:c>
      <x:c r="AD273" s="8" t="n">
        <x:v>0</x:v>
      </x:c>
      <x:c r="AE273" s="8" t="n">
        <x:v>274.465</x:v>
      </x:c>
      <x:c r="AF273" s="8" t="n">
        <x:v>0</x:v>
      </x:c>
      <x:c r="AG273" s="8" t="n">
        <x:v>281.378</x:v>
      </x:c>
      <x:c r="AH273" s="8" t="n">
        <x:v>0</x:v>
      </x:c>
      <x:c r="AI273" s="8" t="n">
        <x:v>281.378</x:v>
      </x:c>
      <x:c r="AJ273" s="8" t="n">
        <x:v>0</x:v>
      </x:c>
      <x:c r="AK273" s="8" t="n">
        <x:v>233.741</x:v>
      </x:c>
      <x:c r="AL273" s="8" t="n">
        <x:v>0</x:v>
      </x:c>
      <x:c r="AM273" s="8" t="n">
        <x:v>233.741</x:v>
      </x:c>
      <x:c r="AN273" s="8" t="n">
        <x:v>0</x:v>
      </x:c>
      <x:c r="AO273" s="8" t="n">
        <x:v>193.688</x:v>
      </x:c>
      <x:c r="AP273" s="8" t="n">
        <x:v>0</x:v>
      </x:c>
      <x:c r="AQ273" s="8" t="n">
        <x:v>193.688</x:v>
      </x:c>
      <x:c r="AR273" s="8" t="n">
        <x:v>0.001</x:v>
      </x:c>
      <x:c r="AS273" s="8" t="n">
        <x:v>298.579</x:v>
      </x:c>
      <x:c r="AT273" s="8" t="n">
        <x:v>0</x:v>
      </x:c>
      <x:c r="AU273" s="8" t="n">
        <x:v>209.799</x:v>
      </x:c>
      <x:c r="AV273" s="8" t="n">
        <x:v>0</x:v>
      </x:c>
      <x:c r="AW273" s="8" t="n">
        <x:v>256.94</x:v>
      </x:c>
      <x:c r="AX273" s="8" t="n">
        <x:v>0</x:v>
      </x:c>
      <x:c r="AY273" s="8" t="n">
        <x:v>255.269</x:v>
      </x:c>
      <x:c r="AZ273" s="8" t="n">
        <x:v>0</x:v>
      </x:c>
      <x:c r="BA273" s="8" t="n">
        <x:v>255.269</x:v>
      </x:c>
      <x:c r="BB273" s="8" t="n">
        <x:f>LET(m,MIN(IF(D273&gt;0,D273,1E+99),IF(F273&gt;0,F273,1E+99),IF(H273&gt;0,H273,1E+99),IF(J273&gt;0,J273,1E+99),IF(L273&gt;0,L273,1E+99),IF(N273&gt;0,N273,1E+99),IF(P273&gt;0,P273,1E+99),IF(R273&gt;0,R273,1E+99),IF(T273&gt;0,T273,1E+99),IF(V273&gt;0,V273,1E+99),IF(X273&gt;0,X273,1E+99),IF(Z273&gt;0,Z273,1E+99),IF(AB273&gt;0,AB273,1E+99),IF(AD273&gt;0,AD273,1E+99),IF(AF273&gt;0,AF273,1E+99),IF(AH273&gt;0,AH273,1E+99),IF(AJ273&gt;0,AJ273,1E+99),IF(AL273&gt;0,AL273,1E+99),IF(AN273&gt;0,AN273,1E+99),IF(AP273&gt;0,AP273,1E+99),IF(AR273&gt;0,AR273,1E+99),IF(AT273&gt;0,AT273,1E+99),IF(AV273&gt;0,AV273,1E+99),IF(AX273&gt;0,AX273,1E+99),IF(AZ273&gt;0,AZ273,1E+99)),IF(m=1E+99,"",m))</x:f>
        <x:v>0.001</x:v>
      </x:c>
      <x:c r="BC273" s="12" t="e">
        <x:f>IF(BB273="","",INDEX({"v1.4.20","v1.4.20","v1.4.21","v1.4.21","v1.4.23","v1.4.23","v1.4.26","v1.4.26","v1.4.26.1","v1.4.26.1","v1.4.27","v1.4.27","v1.4.29","v1.4.29","v1.4.30","v1.4.30","v1.4.31","v1.4.31","v1.4.33","v1.4.33","v1.4.35","v1.4.35.2","v1.5","v1.5.1","v1.5.1"},MATCH(BB273,CHOOSE({1,2,3,4,5,6,7,8,9,10,11,12,13,14,15,16,17,18,19,20,21,22,23,24,25},D273,F273,H273,J273,L273,N273,P273,R273,T273,V273,X273,Z273,AB273,AD273,AF273,AH273,AJ273,AL273,AN273,AP273,AR273,AT273,AV273,AX273,AZ273),0)))</x:f>
      </x:c>
      <x:c r="BD273" s="14" t="n">
        <x:f>LET(m,MIN(IF(E273&gt;0,E273,1E+99),IF(G273&gt;0,G273,1E+99),IF(I273&gt;0,I273,1E+99),IF(K273&gt;0,K273,1E+99),IF(M273&gt;0,M273,1E+99),IF(O273&gt;0,O273,1E+99),IF(Q273&gt;0,Q273,1E+99),IF(S273&gt;0,S273,1E+99),IF(U273&gt;0,U273,1E+99),IF(W273&gt;0,W273,1E+99),IF(Y273&gt;0,Y273,1E+99),IF(AA273&gt;0,AA273,1E+99),IF(AC273&gt;0,AC273,1E+99),IF(AE273&gt;0,AE273,1E+99),IF(AG273&gt;0,AG273,1E+99),IF(AI273&gt;0,AI273,1E+99),IF(AK273&gt;0,AK273,1E+99),IF(AM273&gt;0,AM273,1E+99),IF(AO273&gt;0,AO273,1E+99),IF(AQ273&gt;0,AQ273,1E+99),IF(AS273&gt;0,AS273,1E+99),IF(AU273&gt;0,AU273,1E+99),IF(AW273&gt;0,AW273,1E+99),IF(AY273&gt;0,AY273,1E+99),IF(BA273&gt;0,BA273,1E+99)),IF(m=1E+99,"",m))</x:f>
        <x:v>159.817</x:v>
      </x:c>
      <x:c r="BE273" s="16" t="e">
        <x:f>IF(BD273="","",INDEX({"v1.4.20","v1.4.20","v1.4.21","v1.4.21","v1.4.23","v1.4.23","v1.4.26","v1.4.26","v1.4.26.1","v1.4.26.1","v1.4.27","v1.4.27","v1.4.29","v1.4.29","v1.4.30","v1.4.30","v1.4.31","v1.4.31","v1.4.33","v1.4.33","v1.4.35","v1.4.35.2","v1.5","v1.5.1","v1.5.1"},MATCH(BD273,CHOOSE({1,2,3,4,5,6,7,8,9,10,11,12,13,14,15,16,17,18,19,20,21,22,23,24,25},E273,G273,I273,K273,M273,O273,Q273,S273,U273,W273,Y273,AA273,AC273,AE273,AG273,AI273,AK273,AM273,AO273,AQ273,AS273,AU273,AW273,AY273,BA273),0)))</x:f>
      </x:c>
      <x:c r="BF273" s="10" t="n">
        <x:f>IFERROR((AX273-BB273)/BB273,"")</x:f>
        <x:v>-1</x:v>
      </x:c>
      <x:c r="BG273" s="10" t="n">
        <x:f>IFERROR((AY273-BD273)/BD273,"")</x:f>
        <x:v>0.5972581139678507</x:v>
      </x:c>
    </x:row>
    <x:row r="274">
      <x:c r="A274" t="str">
        <x:v>Master List Change Log</x:v>
      </x:c>
      <x:c r="B274" t="str">
        <x:v>Create / Refresh All Templates</x:v>
      </x:c>
      <x:c r="C274" t="str">
        <x:v>Write metadata/signature: Template - Master List Change Log</x:v>
      </x:c>
      <x:c r="D274" s="8" t="n">
        <x:v>0.065</x:v>
      </x:c>
      <x:c r="E274" s="8" t="n">
        <x:v>192.442</x:v>
      </x:c>
      <x:c r="F274" s="8" t="n">
        <x:v>0.065</x:v>
      </x:c>
      <x:c r="G274" s="8" t="n">
        <x:v>192.442</x:v>
      </x:c>
      <x:c r="H274" s="8" t="n">
        <x:v>0.054</x:v>
      </x:c>
      <x:c r="I274" s="8" t="n">
        <x:v>243.813</x:v>
      </x:c>
      <x:c r="J274" s="8" t="n">
        <x:v>0.054</x:v>
      </x:c>
      <x:c r="K274" s="8" t="n">
        <x:v>243.813</x:v>
      </x:c>
      <x:c r="L274" s="8" t="n">
        <x:v>0.071</x:v>
      </x:c>
      <x:c r="M274" s="8" t="n">
        <x:v>245.522</x:v>
      </x:c>
      <x:c r="N274" s="8" t="n">
        <x:v>0.071</x:v>
      </x:c>
      <x:c r="O274" s="8" t="n">
        <x:v>245.522</x:v>
      </x:c>
      <x:c r="P274" s="8" t="n">
        <x:v>0.059</x:v>
      </x:c>
      <x:c r="Q274" s="8" t="n">
        <x:v>159.876</x:v>
      </x:c>
      <x:c r="R274" s="8" t="n">
        <x:v>0.059</x:v>
      </x:c>
      <x:c r="S274" s="8" t="n">
        <x:v>159.876</x:v>
      </x:c>
      <x:c r="T274" s="8" t="n">
        <x:v>0.106</x:v>
      </x:c>
      <x:c r="U274" s="8" t="n">
        <x:v>193.585</x:v>
      </x:c>
      <x:c r="V274" s="8" t="n">
        <x:v>0.106</x:v>
      </x:c>
      <x:c r="W274" s="8" t="n">
        <x:v>193.585</x:v>
      </x:c>
      <x:c r="X274" s="8" t="n">
        <x:v>0.159</x:v>
      </x:c>
      <x:c r="Y274" s="8" t="n">
        <x:v>298.07</x:v>
      </x:c>
      <x:c r="Z274" s="8" t="n">
        <x:v>0.159</x:v>
      </x:c>
      <x:c r="AA274" s="8" t="n">
        <x:v>298.07</x:v>
      </x:c>
      <x:c r="AB274" s="8" t="n">
        <x:v>0.065</x:v>
      </x:c>
      <x:c r="AC274" s="8" t="n">
        <x:v>274.53</x:v>
      </x:c>
      <x:c r="AD274" s="8" t="n">
        <x:v>0.065</x:v>
      </x:c>
      <x:c r="AE274" s="8" t="n">
        <x:v>274.53</x:v>
      </x:c>
      <x:c r="AF274" s="8" t="n">
        <x:v>0.051</x:v>
      </x:c>
      <x:c r="AG274" s="8" t="n">
        <x:v>281.429</x:v>
      </x:c>
      <x:c r="AH274" s="8" t="n">
        <x:v>0.051</x:v>
      </x:c>
      <x:c r="AI274" s="8" t="n">
        <x:v>281.429</x:v>
      </x:c>
      <x:c r="AJ274" s="8" t="n">
        <x:v>0.07</x:v>
      </x:c>
      <x:c r="AK274" s="8" t="n">
        <x:v>233.811</x:v>
      </x:c>
      <x:c r="AL274" s="8" t="n">
        <x:v>0.07</x:v>
      </x:c>
      <x:c r="AM274" s="8" t="n">
        <x:v>233.811</x:v>
      </x:c>
      <x:c r="AN274" s="8" t="n">
        <x:v>0.144</x:v>
      </x:c>
      <x:c r="AO274" s="8" t="n">
        <x:v>193.832</x:v>
      </x:c>
      <x:c r="AP274" s="8" t="n">
        <x:v>0.144</x:v>
      </x:c>
      <x:c r="AQ274" s="8" t="n">
        <x:v>193.832</x:v>
      </x:c>
      <x:c r="AR274" s="8" t="n">
        <x:v>0.061</x:v>
      </x:c>
      <x:c r="AS274" s="8" t="n">
        <x:v>298.64</x:v>
      </x:c>
      <x:c r="AT274" s="8" t="n">
        <x:v>0.057</x:v>
      </x:c>
      <x:c r="AU274" s="8" t="n">
        <x:v>209.856</x:v>
      </x:c>
      <x:c r="AV274" s="8" t="n">
        <x:v>0.056</x:v>
      </x:c>
      <x:c r="AW274" s="8" t="n">
        <x:v>256.996</x:v>
      </x:c>
      <x:c r="AX274" s="8" t="n">
        <x:v>0.071</x:v>
      </x:c>
      <x:c r="AY274" s="8" t="n">
        <x:v>255.34</x:v>
      </x:c>
      <x:c r="AZ274" s="8" t="n">
        <x:v>0.071</x:v>
      </x:c>
      <x:c r="BA274" s="8" t="n">
        <x:v>255.34</x:v>
      </x:c>
      <x:c r="BB274" s="8" t="n">
        <x:f>LET(m,MIN(IF(D274&gt;0,D274,1E+99),IF(F274&gt;0,F274,1E+99),IF(H274&gt;0,H274,1E+99),IF(J274&gt;0,J274,1E+99),IF(L274&gt;0,L274,1E+99),IF(N274&gt;0,N274,1E+99),IF(P274&gt;0,P274,1E+99),IF(R274&gt;0,R274,1E+99),IF(T274&gt;0,T274,1E+99),IF(V274&gt;0,V274,1E+99),IF(X274&gt;0,X274,1E+99),IF(Z274&gt;0,Z274,1E+99),IF(AB274&gt;0,AB274,1E+99),IF(AD274&gt;0,AD274,1E+99),IF(AF274&gt;0,AF274,1E+99),IF(AH274&gt;0,AH274,1E+99),IF(AJ274&gt;0,AJ274,1E+99),IF(AL274&gt;0,AL274,1E+99),IF(AN274&gt;0,AN274,1E+99),IF(AP274&gt;0,AP274,1E+99),IF(AR274&gt;0,AR274,1E+99),IF(AT274&gt;0,AT274,1E+99),IF(AV274&gt;0,AV274,1E+99),IF(AX274&gt;0,AX274,1E+99),IF(AZ274&gt;0,AZ274,1E+99)),IF(m=1E+99,"",m))</x:f>
        <x:v>0.051</x:v>
      </x:c>
      <x:c r="BC274" s="12" t="e">
        <x:f>IF(BB274="","",INDEX({"v1.4.20","v1.4.20","v1.4.21","v1.4.21","v1.4.23","v1.4.23","v1.4.26","v1.4.26","v1.4.26.1","v1.4.26.1","v1.4.27","v1.4.27","v1.4.29","v1.4.29","v1.4.30","v1.4.30","v1.4.31","v1.4.31","v1.4.33","v1.4.33","v1.4.35","v1.4.35.2","v1.5","v1.5.1","v1.5.1"},MATCH(BB274,CHOOSE({1,2,3,4,5,6,7,8,9,10,11,12,13,14,15,16,17,18,19,20,21,22,23,24,25},D274,F274,H274,J274,L274,N274,P274,R274,T274,V274,X274,Z274,AB274,AD274,AF274,AH274,AJ274,AL274,AN274,AP274,AR274,AT274,AV274,AX274,AZ274),0)))</x:f>
      </x:c>
      <x:c r="BD274" s="14" t="n">
        <x:f>LET(m,MIN(IF(E274&gt;0,E274,1E+99),IF(G274&gt;0,G274,1E+99),IF(I274&gt;0,I274,1E+99),IF(K274&gt;0,K274,1E+99),IF(M274&gt;0,M274,1E+99),IF(O274&gt;0,O274,1E+99),IF(Q274&gt;0,Q274,1E+99),IF(S274&gt;0,S274,1E+99),IF(U274&gt;0,U274,1E+99),IF(W274&gt;0,W274,1E+99),IF(Y274&gt;0,Y274,1E+99),IF(AA274&gt;0,AA274,1E+99),IF(AC274&gt;0,AC274,1E+99),IF(AE274&gt;0,AE274,1E+99),IF(AG274&gt;0,AG274,1E+99),IF(AI274&gt;0,AI274,1E+99),IF(AK274&gt;0,AK274,1E+99),IF(AM274&gt;0,AM274,1E+99),IF(AO274&gt;0,AO274,1E+99),IF(AQ274&gt;0,AQ274,1E+99),IF(AS274&gt;0,AS274,1E+99),IF(AU274&gt;0,AU274,1E+99),IF(AW274&gt;0,AW274,1E+99),IF(AY274&gt;0,AY274,1E+99),IF(BA274&gt;0,BA274,1E+99)),IF(m=1E+99,"",m))</x:f>
        <x:v>159.876</x:v>
      </x:c>
      <x:c r="BE274" s="16" t="e">
        <x:f>IF(BD274="","",INDEX({"v1.4.20","v1.4.20","v1.4.21","v1.4.21","v1.4.23","v1.4.23","v1.4.26","v1.4.26","v1.4.26.1","v1.4.26.1","v1.4.27","v1.4.27","v1.4.29","v1.4.29","v1.4.30","v1.4.30","v1.4.31","v1.4.31","v1.4.33","v1.4.33","v1.4.35","v1.4.35.2","v1.5","v1.5.1","v1.5.1"},MATCH(BD274,CHOOSE({1,2,3,4,5,6,7,8,9,10,11,12,13,14,15,16,17,18,19,20,21,22,23,24,25},E274,G274,I274,K274,M274,O274,Q274,S274,U274,W274,Y274,AA274,AC274,AE274,AG274,AI274,AK274,AM274,AO274,AQ274,AS274,AU274,AW274,AY274,BA274),0)))</x:f>
      </x:c>
      <x:c r="BF274" s="10" t="n">
        <x:f>IFERROR((AX274-BB274)/BB274,"")</x:f>
        <x:v>0.392156862745098</x:v>
      </x:c>
      <x:c r="BG274" s="10" t="n">
        <x:f>IFERROR((AY274-BD274)/BD274,"")</x:f>
        <x:v>0.5971127623908529</x:v>
      </x:c>
    </x:row>
    <x:row r="275">
      <x:c r="A275" t="str">
        <x:v>Master List Change Log</x:v>
      </x:c>
      <x:c r="B275" t="str">
        <x:v>Create / Refresh All Templates</x:v>
      </x:c>
      <x:c r="C275" t="str">
        <x:v>Ensure frozen rows: Template - Master List Change Log</x:v>
      </x:c>
      <x:c r="D275" s="8" t="n">
        <x:v>1.369</x:v>
      </x:c>
      <x:c r="E275" s="8" t="n">
        <x:v>193.811</x:v>
      </x:c>
      <x:c r="F275" s="8" t="n">
        <x:v>1.369</x:v>
      </x:c>
      <x:c r="G275" s="8" t="n">
        <x:v>193.811</x:v>
      </x:c>
      <x:c r="H275" s="8" t="n">
        <x:v>1.509</x:v>
      </x:c>
      <x:c r="I275" s="8" t="n">
        <x:v>245.322</x:v>
      </x:c>
      <x:c r="J275" s="8" t="n">
        <x:v>1.509</x:v>
      </x:c>
      <x:c r="K275" s="8" t="n">
        <x:v>245.322</x:v>
      </x:c>
      <x:c r="L275" s="8" t="n">
        <x:v>1.848</x:v>
      </x:c>
      <x:c r="M275" s="8" t="n">
        <x:v>247.37</x:v>
      </x:c>
      <x:c r="N275" s="8" t="n">
        <x:v>1.848</x:v>
      </x:c>
      <x:c r="O275" s="8" t="n">
        <x:v>247.37</x:v>
      </x:c>
      <x:c r="P275" s="8" t="n">
        <x:v>0.922</x:v>
      </x:c>
      <x:c r="Q275" s="8" t="n">
        <x:v>160.798</x:v>
      </x:c>
      <x:c r="R275" s="8" t="n">
        <x:v>0.922</x:v>
      </x:c>
      <x:c r="S275" s="8" t="n">
        <x:v>160.798</x:v>
      </x:c>
      <x:c r="T275" s="8" t="n">
        <x:v>0.172</x:v>
      </x:c>
      <x:c r="U275" s="8" t="n">
        <x:v>193.757</x:v>
      </x:c>
      <x:c r="V275" s="8" t="n">
        <x:v>0.172</x:v>
      </x:c>
      <x:c r="W275" s="8" t="n">
        <x:v>193.757</x:v>
      </x:c>
      <x:c r="X275" s="8" t="n">
        <x:v>1.291</x:v>
      </x:c>
      <x:c r="Y275" s="8" t="n">
        <x:v>299.361</x:v>
      </x:c>
      <x:c r="Z275" s="8" t="n">
        <x:v>1.291</x:v>
      </x:c>
      <x:c r="AA275" s="8" t="n">
        <x:v>299.361</x:v>
      </x:c>
      <x:c r="AB275" s="8" t="n">
        <x:v>0.103</x:v>
      </x:c>
      <x:c r="AC275" s="8" t="n">
        <x:v>274.633</x:v>
      </x:c>
      <x:c r="AD275" s="8" t="n">
        <x:v>0.103</x:v>
      </x:c>
      <x:c r="AE275" s="8" t="n">
        <x:v>274.633</x:v>
      </x:c>
      <x:c r="AF275" s="8" t="n">
        <x:v>0.106</x:v>
      </x:c>
      <x:c r="AG275" s="8" t="n">
        <x:v>281.535</x:v>
      </x:c>
      <x:c r="AH275" s="8" t="n">
        <x:v>0.106</x:v>
      </x:c>
      <x:c r="AI275" s="8" t="n">
        <x:v>281.535</x:v>
      </x:c>
      <x:c r="AJ275" s="8" t="n">
        <x:v>0.138</x:v>
      </x:c>
      <x:c r="AK275" s="8" t="n">
        <x:v>233.949</x:v>
      </x:c>
      <x:c r="AL275" s="8" t="n">
        <x:v>0.138</x:v>
      </x:c>
      <x:c r="AM275" s="8" t="n">
        <x:v>233.949</x:v>
      </x:c>
      <x:c r="AN275" s="8" t="n">
        <x:v>0.153</x:v>
      </x:c>
      <x:c r="AO275" s="8" t="n">
        <x:v>193.985</x:v>
      </x:c>
      <x:c r="AP275" s="8" t="n">
        <x:v>0.153</x:v>
      </x:c>
      <x:c r="AQ275" s="8" t="n">
        <x:v>193.985</x:v>
      </x:c>
      <x:c r="AR275" s="8" t="n">
        <x:v>2.082</x:v>
      </x:c>
      <x:c r="AS275" s="8" t="n">
        <x:v>300.722</x:v>
      </x:c>
      <x:c r="AT275" s="8" t="n">
        <x:v>1.248</x:v>
      </x:c>
      <x:c r="AU275" s="8" t="n">
        <x:v>211.104</x:v>
      </x:c>
      <x:c r="AV275" s="8" t="n">
        <x:v>1.715</x:v>
      </x:c>
      <x:c r="AW275" s="8" t="n">
        <x:v>258.711</x:v>
      </x:c>
      <x:c r="AX275" s="8" t="n">
        <x:v>1.544</x:v>
      </x:c>
      <x:c r="AY275" s="8" t="n">
        <x:v>256.884</x:v>
      </x:c>
      <x:c r="AZ275" s="8" t="n">
        <x:v>1.544</x:v>
      </x:c>
      <x:c r="BA275" s="8" t="n">
        <x:v>256.884</x:v>
      </x:c>
      <x:c r="BB275" s="8" t="n">
        <x:f>LET(m,MIN(IF(D275&gt;0,D275,1E+99),IF(F275&gt;0,F275,1E+99),IF(H275&gt;0,H275,1E+99),IF(J275&gt;0,J275,1E+99),IF(L275&gt;0,L275,1E+99),IF(N275&gt;0,N275,1E+99),IF(P275&gt;0,P275,1E+99),IF(R275&gt;0,R275,1E+99),IF(T275&gt;0,T275,1E+99),IF(V275&gt;0,V275,1E+99),IF(X275&gt;0,X275,1E+99),IF(Z275&gt;0,Z275,1E+99),IF(AB275&gt;0,AB275,1E+99),IF(AD275&gt;0,AD275,1E+99),IF(AF275&gt;0,AF275,1E+99),IF(AH275&gt;0,AH275,1E+99),IF(AJ275&gt;0,AJ275,1E+99),IF(AL275&gt;0,AL275,1E+99),IF(AN275&gt;0,AN275,1E+99),IF(AP275&gt;0,AP275,1E+99),IF(AR275&gt;0,AR275,1E+99),IF(AT275&gt;0,AT275,1E+99),IF(AV275&gt;0,AV275,1E+99),IF(AX275&gt;0,AX275,1E+99),IF(AZ275&gt;0,AZ275,1E+99)),IF(m=1E+99,"",m))</x:f>
        <x:v>0.103</x:v>
      </x:c>
      <x:c r="BC275" s="12" t="e">
        <x:f>IF(BB275="","",INDEX({"v1.4.20","v1.4.20","v1.4.21","v1.4.21","v1.4.23","v1.4.23","v1.4.26","v1.4.26","v1.4.26.1","v1.4.26.1","v1.4.27","v1.4.27","v1.4.29","v1.4.29","v1.4.30","v1.4.30","v1.4.31","v1.4.31","v1.4.33","v1.4.33","v1.4.35","v1.4.35.2","v1.5","v1.5.1","v1.5.1"},MATCH(BB275,CHOOSE({1,2,3,4,5,6,7,8,9,10,11,12,13,14,15,16,17,18,19,20,21,22,23,24,25},D275,F275,H275,J275,L275,N275,P275,R275,T275,V275,X275,Z275,AB275,AD275,AF275,AH275,AJ275,AL275,AN275,AP275,AR275,AT275,AV275,AX275,AZ275),0)))</x:f>
      </x:c>
      <x:c r="BD275" s="14" t="n">
        <x:f>LET(m,MIN(IF(E275&gt;0,E275,1E+99),IF(G275&gt;0,G275,1E+99),IF(I275&gt;0,I275,1E+99),IF(K275&gt;0,K275,1E+99),IF(M275&gt;0,M275,1E+99),IF(O275&gt;0,O275,1E+99),IF(Q275&gt;0,Q275,1E+99),IF(S275&gt;0,S275,1E+99),IF(U275&gt;0,U275,1E+99),IF(W275&gt;0,W275,1E+99),IF(Y275&gt;0,Y275,1E+99),IF(AA275&gt;0,AA275,1E+99),IF(AC275&gt;0,AC275,1E+99),IF(AE275&gt;0,AE275,1E+99),IF(AG275&gt;0,AG275,1E+99),IF(AI275&gt;0,AI275,1E+99),IF(AK275&gt;0,AK275,1E+99),IF(AM275&gt;0,AM275,1E+99),IF(AO275&gt;0,AO275,1E+99),IF(AQ275&gt;0,AQ275,1E+99),IF(AS275&gt;0,AS275,1E+99),IF(AU275&gt;0,AU275,1E+99),IF(AW275&gt;0,AW275,1E+99),IF(AY275&gt;0,AY275,1E+99),IF(BA275&gt;0,BA275,1E+99)),IF(m=1E+99,"",m))</x:f>
        <x:v>160.798</x:v>
      </x:c>
      <x:c r="BE275" s="16" t="e">
        <x:f>IF(BD275="","",INDEX({"v1.4.20","v1.4.20","v1.4.21","v1.4.21","v1.4.23","v1.4.23","v1.4.26","v1.4.26","v1.4.26.1","v1.4.26.1","v1.4.27","v1.4.27","v1.4.29","v1.4.29","v1.4.30","v1.4.30","v1.4.31","v1.4.31","v1.4.33","v1.4.33","v1.4.35","v1.4.35.2","v1.5","v1.5.1","v1.5.1"},MATCH(BD275,CHOOSE({1,2,3,4,5,6,7,8,9,10,11,12,13,14,15,16,17,18,19,20,21,22,23,24,25},E275,G275,I275,K275,M275,O275,Q275,S275,U275,W275,Y275,AA275,AC275,AE275,AG275,AI275,AK275,AM275,AO275,AQ275,AS275,AU275,AW275,AY275,BA275),0)))</x:f>
      </x:c>
      <x:c r="BF275" s="10" t="n">
        <x:f>IFERROR((AX275-BB275)/BB275,"")</x:f>
        <x:v>13.990291262135925</x:v>
      </x:c>
      <x:c r="BG275" s="10" t="n">
        <x:f>IFERROR((AY275-BD275)/BD275,"")</x:f>
        <x:v>0.5975571835470591</x:v>
      </x:c>
    </x:row>
    <x:row r="276">
      <x:c r="A276" t="str">
        <x:v>Master List Change Log</x:v>
      </x:c>
      <x:c r="B276" t="str">
        <x:v>Create / Refresh All Templates</x:v>
      </x:c>
      <x:c r="C276" t="str">
        <x:v>Ensure frozen columns: Template - Master List Change Log</x:v>
      </x:c>
      <x:c r="D276" s="8" t="n">
        <x:v>0.745</x:v>
      </x:c>
      <x:c r="E276" s="8" t="n">
        <x:v>194.556</x:v>
      </x:c>
      <x:c r="F276" s="8" t="n">
        <x:v>0.745</x:v>
      </x:c>
      <x:c r="G276" s="8" t="n">
        <x:v>194.556</x:v>
      </x:c>
      <x:c r="H276" s="8" t="n">
        <x:v>0.791</x:v>
      </x:c>
      <x:c r="I276" s="8" t="n">
        <x:v>246.113</x:v>
      </x:c>
      <x:c r="J276" s="8" t="n">
        <x:v>0.791</x:v>
      </x:c>
      <x:c r="K276" s="8" t="n">
        <x:v>246.113</x:v>
      </x:c>
      <x:c r="L276" s="8" t="n">
        <x:v>1.234</x:v>
      </x:c>
      <x:c r="M276" s="8" t="n">
        <x:v>248.604</x:v>
      </x:c>
      <x:c r="N276" s="8" t="n">
        <x:v>1.234</x:v>
      </x:c>
      <x:c r="O276" s="8" t="n">
        <x:v>248.604</x:v>
      </x:c>
      <x:c r="P276" s="8" t="n">
        <x:v>0.601</x:v>
      </x:c>
      <x:c r="Q276" s="8" t="n">
        <x:v>161.399</x:v>
      </x:c>
      <x:c r="R276" s="8" t="n">
        <x:v>0.601</x:v>
      </x:c>
      <x:c r="S276" s="8" t="n">
        <x:v>161.399</x:v>
      </x:c>
      <x:c r="T276" s="8" t="n">
        <x:v>0.605</x:v>
      </x:c>
      <x:c r="U276" s="8" t="n">
        <x:v>194.362</x:v>
      </x:c>
      <x:c r="V276" s="8" t="n">
        <x:v>0.605</x:v>
      </x:c>
      <x:c r="W276" s="8" t="n">
        <x:v>194.362</x:v>
      </x:c>
      <x:c r="X276" s="8" t="n">
        <x:v>1.125</x:v>
      </x:c>
      <x:c r="Y276" s="8" t="n">
        <x:v>300.486</x:v>
      </x:c>
      <x:c r="Z276" s="8" t="n">
        <x:v>1.125</x:v>
      </x:c>
      <x:c r="AA276" s="8" t="n">
        <x:v>300.486</x:v>
      </x:c>
      <x:c r="AB276" s="8" t="n">
        <x:v>0.889</x:v>
      </x:c>
      <x:c r="AC276" s="8" t="n">
        <x:v>275.522</x:v>
      </x:c>
      <x:c r="AD276" s="8" t="n">
        <x:v>0.889</x:v>
      </x:c>
      <x:c r="AE276" s="8" t="n">
        <x:v>275.522</x:v>
      </x:c>
      <x:c r="AF276" s="8" t="n">
        <x:v>1.65</x:v>
      </x:c>
      <x:c r="AG276" s="8" t="n">
        <x:v>283.185</x:v>
      </x:c>
      <x:c r="AH276" s="8" t="n">
        <x:v>1.65</x:v>
      </x:c>
      <x:c r="AI276" s="8" t="n">
        <x:v>283.185</x:v>
      </x:c>
      <x:c r="AJ276" s="8" t="n">
        <x:v>0.838</x:v>
      </x:c>
      <x:c r="AK276" s="8" t="n">
        <x:v>234.787</x:v>
      </x:c>
      <x:c r="AL276" s="8" t="n">
        <x:v>0.838</x:v>
      </x:c>
      <x:c r="AM276" s="8" t="n">
        <x:v>234.787</x:v>
      </x:c>
      <x:c r="AN276" s="8" t="n">
        <x:v>0.694</x:v>
      </x:c>
      <x:c r="AO276" s="8" t="n">
        <x:v>194.679</x:v>
      </x:c>
      <x:c r="AP276" s="8" t="n">
        <x:v>0.694</x:v>
      </x:c>
      <x:c r="AQ276" s="8" t="n">
        <x:v>194.679</x:v>
      </x:c>
      <x:c r="AR276" s="8" t="n">
        <x:v>1.151</x:v>
      </x:c>
      <x:c r="AS276" s="8" t="n">
        <x:v>301.873</x:v>
      </x:c>
      <x:c r="AT276" s="8" t="n">
        <x:v>0.636</x:v>
      </x:c>
      <x:c r="AU276" s="8" t="n">
        <x:v>211.74</x:v>
      </x:c>
      <x:c r="AV276" s="8" t="n">
        <x:v>0.981</x:v>
      </x:c>
      <x:c r="AW276" s="8" t="n">
        <x:v>259.692</x:v>
      </x:c>
      <x:c r="AX276" s="8" t="n">
        <x:v>0.867</x:v>
      </x:c>
      <x:c r="AY276" s="8" t="n">
        <x:v>257.751</x:v>
      </x:c>
      <x:c r="AZ276" s="8" t="n">
        <x:v>0.867</x:v>
      </x:c>
      <x:c r="BA276" s="8" t="n">
        <x:v>257.751</x:v>
      </x:c>
      <x:c r="BB276" s="8" t="n">
        <x:f>LET(m,MIN(IF(D276&gt;0,D276,1E+99),IF(F276&gt;0,F276,1E+99),IF(H276&gt;0,H276,1E+99),IF(J276&gt;0,J276,1E+99),IF(L276&gt;0,L276,1E+99),IF(N276&gt;0,N276,1E+99),IF(P276&gt;0,P276,1E+99),IF(R276&gt;0,R276,1E+99),IF(T276&gt;0,T276,1E+99),IF(V276&gt;0,V276,1E+99),IF(X276&gt;0,X276,1E+99),IF(Z276&gt;0,Z276,1E+99),IF(AB276&gt;0,AB276,1E+99),IF(AD276&gt;0,AD276,1E+99),IF(AF276&gt;0,AF276,1E+99),IF(AH276&gt;0,AH276,1E+99),IF(AJ276&gt;0,AJ276,1E+99),IF(AL276&gt;0,AL276,1E+99),IF(AN276&gt;0,AN276,1E+99),IF(AP276&gt;0,AP276,1E+99),IF(AR276&gt;0,AR276,1E+99),IF(AT276&gt;0,AT276,1E+99),IF(AV276&gt;0,AV276,1E+99),IF(AX276&gt;0,AX276,1E+99),IF(AZ276&gt;0,AZ276,1E+99)),IF(m=1E+99,"",m))</x:f>
        <x:v>0.601</x:v>
      </x:c>
      <x:c r="BC276" s="12" t="e">
        <x:f>IF(BB276="","",INDEX({"v1.4.20","v1.4.20","v1.4.21","v1.4.21","v1.4.23","v1.4.23","v1.4.26","v1.4.26","v1.4.26.1","v1.4.26.1","v1.4.27","v1.4.27","v1.4.29","v1.4.29","v1.4.30","v1.4.30","v1.4.31","v1.4.31","v1.4.33","v1.4.33","v1.4.35","v1.4.35.2","v1.5","v1.5.1","v1.5.1"},MATCH(BB276,CHOOSE({1,2,3,4,5,6,7,8,9,10,11,12,13,14,15,16,17,18,19,20,21,22,23,24,25},D276,F276,H276,J276,L276,N276,P276,R276,T276,V276,X276,Z276,AB276,AD276,AF276,AH276,AJ276,AL276,AN276,AP276,AR276,AT276,AV276,AX276,AZ276),0)))</x:f>
      </x:c>
      <x:c r="BD276" s="14" t="n">
        <x:f>LET(m,MIN(IF(E276&gt;0,E276,1E+99),IF(G276&gt;0,G276,1E+99),IF(I276&gt;0,I276,1E+99),IF(K276&gt;0,K276,1E+99),IF(M276&gt;0,M276,1E+99),IF(O276&gt;0,O276,1E+99),IF(Q276&gt;0,Q276,1E+99),IF(S276&gt;0,S276,1E+99),IF(U276&gt;0,U276,1E+99),IF(W276&gt;0,W276,1E+99),IF(Y276&gt;0,Y276,1E+99),IF(AA276&gt;0,AA276,1E+99),IF(AC276&gt;0,AC276,1E+99),IF(AE276&gt;0,AE276,1E+99),IF(AG276&gt;0,AG276,1E+99),IF(AI276&gt;0,AI276,1E+99),IF(AK276&gt;0,AK276,1E+99),IF(AM276&gt;0,AM276,1E+99),IF(AO276&gt;0,AO276,1E+99),IF(AQ276&gt;0,AQ276,1E+99),IF(AS276&gt;0,AS276,1E+99),IF(AU276&gt;0,AU276,1E+99),IF(AW276&gt;0,AW276,1E+99),IF(AY276&gt;0,AY276,1E+99),IF(BA276&gt;0,BA276,1E+99)),IF(m=1E+99,"",m))</x:f>
        <x:v>161.399</x:v>
      </x:c>
      <x:c r="BE276" s="16" t="e">
        <x:f>IF(BD276="","",INDEX({"v1.4.20","v1.4.20","v1.4.21","v1.4.21","v1.4.23","v1.4.23","v1.4.26","v1.4.26","v1.4.26.1","v1.4.26.1","v1.4.27","v1.4.27","v1.4.29","v1.4.29","v1.4.30","v1.4.30","v1.4.31","v1.4.31","v1.4.33","v1.4.33","v1.4.35","v1.4.35.2","v1.5","v1.5.1","v1.5.1"},MATCH(BD276,CHOOSE({1,2,3,4,5,6,7,8,9,10,11,12,13,14,15,16,17,18,19,20,21,22,23,24,25},E276,G276,I276,K276,M276,O276,Q276,S276,U276,W276,Y276,AA276,AC276,AE276,AG276,AI276,AK276,AM276,AO276,AQ276,AS276,AU276,AW276,AY276,BA276),0)))</x:f>
      </x:c>
      <x:c r="BF276" s="10" t="n">
        <x:f>IFERROR((AX276-BB276)/BB276,"")</x:f>
        <x:v>0.44259567387687193</x:v>
      </x:c>
      <x:c r="BG276" s="10" t="n">
        <x:f>IFERROR((AY276-BD276)/BD276,"")</x:f>
        <x:v>0.5969801547717146</x:v>
      </x:c>
    </x:row>
    <x:row r="277">
      <x:c r="A277" t="str">
        <x:v>Master List Change Log</x:v>
      </x:c>
      <x:c r="B277" t="str">
        <x:v>Create / Refresh All Templates</x:v>
      </x:c>
      <x:c r="C277" t="str">
        <x:v>Ensure tab color: Template - Master List Change Log</x:v>
      </x:c>
      <x:c r="D277" s="8" t="n">
        <x:v>0.699</x:v>
      </x:c>
      <x:c r="E277" s="8" t="n">
        <x:v>195.255</x:v>
      </x:c>
      <x:c r="F277" s="8" t="n">
        <x:v>0.699</x:v>
      </x:c>
      <x:c r="G277" s="8" t="n">
        <x:v>195.255</x:v>
      </x:c>
      <x:c r="H277" s="8" t="n">
        <x:v>2.804</x:v>
      </x:c>
      <x:c r="I277" s="8" t="n">
        <x:v>248.917</x:v>
      </x:c>
      <x:c r="J277" s="8" t="n">
        <x:v>2.804</x:v>
      </x:c>
      <x:c r="K277" s="8" t="n">
        <x:v>248.917</x:v>
      </x:c>
      <x:c r="L277" s="8" t="n">
        <x:v>0.904</x:v>
      </x:c>
      <x:c r="M277" s="8" t="n">
        <x:v>249.508</x:v>
      </x:c>
      <x:c r="N277" s="8" t="n">
        <x:v>0.904</x:v>
      </x:c>
      <x:c r="O277" s="8" t="n">
        <x:v>249.508</x:v>
      </x:c>
      <x:c r="P277" s="8" t="n">
        <x:v>0.574</x:v>
      </x:c>
      <x:c r="Q277" s="8" t="n">
        <x:v>161.973</x:v>
      </x:c>
      <x:c r="R277" s="8" t="n">
        <x:v>0.574</x:v>
      </x:c>
      <x:c r="S277" s="8" t="n">
        <x:v>161.973</x:v>
      </x:c>
      <x:c r="T277" s="8" t="n">
        <x:v>0.606</x:v>
      </x:c>
      <x:c r="U277" s="8" t="n">
        <x:v>194.968</x:v>
      </x:c>
      <x:c r="V277" s="8" t="n">
        <x:v>0.606</x:v>
      </x:c>
      <x:c r="W277" s="8" t="n">
        <x:v>194.968</x:v>
      </x:c>
      <x:c r="X277" s="8" t="n">
        <x:v>1.954</x:v>
      </x:c>
      <x:c r="Y277" s="8" t="n">
        <x:v>302.44</x:v>
      </x:c>
      <x:c r="Z277" s="8" t="n">
        <x:v>1.954</x:v>
      </x:c>
      <x:c r="AA277" s="8" t="n">
        <x:v>302.44</x:v>
      </x:c>
      <x:c r="AB277" s="8" t="n">
        <x:v>0.889</x:v>
      </x:c>
      <x:c r="AC277" s="8" t="n">
        <x:v>276.411</x:v>
      </x:c>
      <x:c r="AD277" s="8" t="n">
        <x:v>0.889</x:v>
      </x:c>
      <x:c r="AE277" s="8" t="n">
        <x:v>276.411</x:v>
      </x:c>
      <x:c r="AF277" s="8" t="n">
        <x:v>1.348</x:v>
      </x:c>
      <x:c r="AG277" s="8" t="n">
        <x:v>284.533</x:v>
      </x:c>
      <x:c r="AH277" s="8" t="n">
        <x:v>1.348</x:v>
      </x:c>
      <x:c r="AI277" s="8" t="n">
        <x:v>284.533</x:v>
      </x:c>
      <x:c r="AJ277" s="8" t="n">
        <x:v>0.994</x:v>
      </x:c>
      <x:c r="AK277" s="8" t="n">
        <x:v>235.781</x:v>
      </x:c>
      <x:c r="AL277" s="8" t="n">
        <x:v>0.994</x:v>
      </x:c>
      <x:c r="AM277" s="8" t="n">
        <x:v>235.781</x:v>
      </x:c>
      <x:c r="AN277" s="8" t="n">
        <x:v>0.669</x:v>
      </x:c>
      <x:c r="AO277" s="8" t="n">
        <x:v>195.348</x:v>
      </x:c>
      <x:c r="AP277" s="8" t="n">
        <x:v>0.669</x:v>
      </x:c>
      <x:c r="AQ277" s="8" t="n">
        <x:v>195.348</x:v>
      </x:c>
      <x:c r="AR277" s="8" t="n">
        <x:v>0.982</x:v>
      </x:c>
      <x:c r="AS277" s="8" t="n">
        <x:v>302.855</x:v>
      </x:c>
      <x:c r="AT277" s="8" t="n">
        <x:v>0.681</x:v>
      </x:c>
      <x:c r="AU277" s="8" t="n">
        <x:v>212.421</x:v>
      </x:c>
      <x:c r="AV277" s="8" t="n">
        <x:v>1.034</x:v>
      </x:c>
      <x:c r="AW277" s="8" t="n">
        <x:v>260.726</x:v>
      </x:c>
      <x:c r="AX277" s="8" t="n">
        <x:v>0.995</x:v>
      </x:c>
      <x:c r="AY277" s="8" t="n">
        <x:v>258.746</x:v>
      </x:c>
      <x:c r="AZ277" s="8" t="n">
        <x:v>0.995</x:v>
      </x:c>
      <x:c r="BA277" s="8" t="n">
        <x:v>258.746</x:v>
      </x:c>
      <x:c r="BB277" s="8" t="n">
        <x:f>LET(m,MIN(IF(D277&gt;0,D277,1E+99),IF(F277&gt;0,F277,1E+99),IF(H277&gt;0,H277,1E+99),IF(J277&gt;0,J277,1E+99),IF(L277&gt;0,L277,1E+99),IF(N277&gt;0,N277,1E+99),IF(P277&gt;0,P277,1E+99),IF(R277&gt;0,R277,1E+99),IF(T277&gt;0,T277,1E+99),IF(V277&gt;0,V277,1E+99),IF(X277&gt;0,X277,1E+99),IF(Z277&gt;0,Z277,1E+99),IF(AB277&gt;0,AB277,1E+99),IF(AD277&gt;0,AD277,1E+99),IF(AF277&gt;0,AF277,1E+99),IF(AH277&gt;0,AH277,1E+99),IF(AJ277&gt;0,AJ277,1E+99),IF(AL277&gt;0,AL277,1E+99),IF(AN277&gt;0,AN277,1E+99),IF(AP277&gt;0,AP277,1E+99),IF(AR277&gt;0,AR277,1E+99),IF(AT277&gt;0,AT277,1E+99),IF(AV277&gt;0,AV277,1E+99),IF(AX277&gt;0,AX277,1E+99),IF(AZ277&gt;0,AZ277,1E+99)),IF(m=1E+99,"",m))</x:f>
        <x:v>0.574</x:v>
      </x:c>
      <x:c r="BC277" s="12" t="e">
        <x:f>IF(BB277="","",INDEX({"v1.4.20","v1.4.20","v1.4.21","v1.4.21","v1.4.23","v1.4.23","v1.4.26","v1.4.26","v1.4.26.1","v1.4.26.1","v1.4.27","v1.4.27","v1.4.29","v1.4.29","v1.4.30","v1.4.30","v1.4.31","v1.4.31","v1.4.33","v1.4.33","v1.4.35","v1.4.35.2","v1.5","v1.5.1","v1.5.1"},MATCH(BB277,CHOOSE({1,2,3,4,5,6,7,8,9,10,11,12,13,14,15,16,17,18,19,20,21,22,23,24,25},D277,F277,H277,J277,L277,N277,P277,R277,T277,V277,X277,Z277,AB277,AD277,AF277,AH277,AJ277,AL277,AN277,AP277,AR277,AT277,AV277,AX277,AZ277),0)))</x:f>
      </x:c>
      <x:c r="BD277" s="14" t="n">
        <x:f>LET(m,MIN(IF(E277&gt;0,E277,1E+99),IF(G277&gt;0,G277,1E+99),IF(I277&gt;0,I277,1E+99),IF(K277&gt;0,K277,1E+99),IF(M277&gt;0,M277,1E+99),IF(O277&gt;0,O277,1E+99),IF(Q277&gt;0,Q277,1E+99),IF(S277&gt;0,S277,1E+99),IF(U277&gt;0,U277,1E+99),IF(W277&gt;0,W277,1E+99),IF(Y277&gt;0,Y277,1E+99),IF(AA277&gt;0,AA277,1E+99),IF(AC277&gt;0,AC277,1E+99),IF(AE277&gt;0,AE277,1E+99),IF(AG277&gt;0,AG277,1E+99),IF(AI277&gt;0,AI277,1E+99),IF(AK277&gt;0,AK277,1E+99),IF(AM277&gt;0,AM277,1E+99),IF(AO277&gt;0,AO277,1E+99),IF(AQ277&gt;0,AQ277,1E+99),IF(AS277&gt;0,AS277,1E+99),IF(AU277&gt;0,AU277,1E+99),IF(AW277&gt;0,AW277,1E+99),IF(AY277&gt;0,AY277,1E+99),IF(BA277&gt;0,BA277,1E+99)),IF(m=1E+99,"",m))</x:f>
        <x:v>161.973</x:v>
      </x:c>
      <x:c r="BE277" s="16" t="e">
        <x:f>IF(BD277="","",INDEX({"v1.4.20","v1.4.20","v1.4.21","v1.4.21","v1.4.23","v1.4.23","v1.4.26","v1.4.26","v1.4.26.1","v1.4.26.1","v1.4.27","v1.4.27","v1.4.29","v1.4.29","v1.4.30","v1.4.30","v1.4.31","v1.4.31","v1.4.33","v1.4.33","v1.4.35","v1.4.35.2","v1.5","v1.5.1","v1.5.1"},MATCH(BD277,CHOOSE({1,2,3,4,5,6,7,8,9,10,11,12,13,14,15,16,17,18,19,20,21,22,23,24,25},E277,G277,I277,K277,M277,O277,Q277,S277,U277,W277,Y277,AA277,AC277,AE277,AG277,AI277,AK277,AM277,AO277,AQ277,AS277,AU277,AW277,AY277,BA277),0)))</x:f>
      </x:c>
      <x:c r="BF277" s="10" t="n">
        <x:f>IFERROR((AX277-BB277)/BB277,"")</x:f>
        <x:v>0.7334494773519165</x:v>
      </x:c>
      <x:c r="BG277" s="10" t="n">
        <x:f>IFERROR((AY277-BD277)/BD277,"")</x:f>
        <x:v>0.5974637748266683</x:v>
      </x:c>
    </x:row>
    <x:row r="278">
      <x:c r="A278" t="str">
        <x:v>Master List Change Log</x:v>
      </x:c>
      <x:c r="B278" t="str">
        <x:v>Create / Refresh All Templates</x:v>
      </x:c>
      <x:c r="C278" t="str">
        <x:v>Final date/number format enforcement: Template - Master List Change Log</x:v>
      </x:c>
      <x:c r="D278" s="8" t="n">
        <x:v>0.832</x:v>
      </x:c>
      <x:c r="E278" s="8" t="n">
        <x:v>196.087</x:v>
      </x:c>
      <x:c r="F278" s="8" t="n">
        <x:v>0.832</x:v>
      </x:c>
      <x:c r="G278" s="8" t="n">
        <x:v>196.087</x:v>
      </x:c>
      <x:c r="H278" s="8" t="n">
        <x:v>0.856</x:v>
      </x:c>
      <x:c r="I278" s="8" t="n">
        <x:v>249.773</x:v>
      </x:c>
      <x:c r="J278" s="8" t="n">
        <x:v>0.856</x:v>
      </x:c>
      <x:c r="K278" s="8" t="n">
        <x:v>249.773</x:v>
      </x:c>
      <x:c r="L278" s="8" t="n">
        <x:v>1.093</x:v>
      </x:c>
      <x:c r="M278" s="8" t="n">
        <x:v>250.601</x:v>
      </x:c>
      <x:c r="N278" s="8" t="n">
        <x:v>1.093</x:v>
      </x:c>
      <x:c r="O278" s="8" t="n">
        <x:v>250.601</x:v>
      </x:c>
      <x:c r="P278" s="8" t="n">
        <x:v>0.598</x:v>
      </x:c>
      <x:c r="Q278" s="8" t="n">
        <x:v>162.571</x:v>
      </x:c>
      <x:c r="R278" s="8" t="n">
        <x:v>0.598</x:v>
      </x:c>
      <x:c r="S278" s="8" t="n">
        <x:v>162.571</x:v>
      </x:c>
      <x:c r="T278" s="8" t="n">
        <x:v>1.708</x:v>
      </x:c>
      <x:c r="U278" s="8" t="n">
        <x:v>196.676</x:v>
      </x:c>
      <x:c r="V278" s="8" t="n">
        <x:v>1.708</x:v>
      </x:c>
      <x:c r="W278" s="8" t="n">
        <x:v>196.676</x:v>
      </x:c>
      <x:c r="X278" s="8" t="n">
        <x:v>4.545</x:v>
      </x:c>
      <x:c r="Y278" s="8" t="n">
        <x:v>306.985</x:v>
      </x:c>
      <x:c r="Z278" s="8" t="n">
        <x:v>4.545</x:v>
      </x:c>
      <x:c r="AA278" s="8" t="n">
        <x:v>306.985</x:v>
      </x:c>
      <x:c r="AB278" s="8" t="n">
        <x:v>1.018</x:v>
      </x:c>
      <x:c r="AC278" s="8" t="n">
        <x:v>277.429</x:v>
      </x:c>
      <x:c r="AD278" s="8" t="n">
        <x:v>1.018</x:v>
      </x:c>
      <x:c r="AE278" s="8" t="n">
        <x:v>277.429</x:v>
      </x:c>
      <x:c r="AF278" s="8" t="n">
        <x:v>1.685</x:v>
      </x:c>
      <x:c r="AG278" s="8" t="n">
        <x:v>286.218</x:v>
      </x:c>
      <x:c r="AH278" s="8" t="n">
        <x:v>1.685</x:v>
      </x:c>
      <x:c r="AI278" s="8" t="n">
        <x:v>286.218</x:v>
      </x:c>
      <x:c r="AJ278" s="8" t="n">
        <x:v>1.056</x:v>
      </x:c>
      <x:c r="AK278" s="8" t="n">
        <x:v>236.837</x:v>
      </x:c>
      <x:c r="AL278" s="8" t="n">
        <x:v>1.056</x:v>
      </x:c>
      <x:c r="AM278" s="8" t="n">
        <x:v>236.837</x:v>
      </x:c>
      <x:c r="AN278" s="8" t="n">
        <x:v>0.755</x:v>
      </x:c>
      <x:c r="AO278" s="8" t="n">
        <x:v>196.103</x:v>
      </x:c>
      <x:c r="AP278" s="8" t="n">
        <x:v>0.755</x:v>
      </x:c>
      <x:c r="AQ278" s="8" t="n">
        <x:v>196.103</x:v>
      </x:c>
      <x:c r="AR278" s="8" t="n">
        <x:v>1.245</x:v>
      </x:c>
      <x:c r="AS278" s="8" t="n">
        <x:v>304.1</x:v>
      </x:c>
      <x:c r="AT278" s="8" t="n">
        <x:v>0.77</x:v>
      </x:c>
      <x:c r="AU278" s="8" t="n">
        <x:v>213.191</x:v>
      </x:c>
      <x:c r="AV278" s="8" t="n">
        <x:v>1.026</x:v>
      </x:c>
      <x:c r="AW278" s="8" t="n">
        <x:v>261.752</x:v>
      </x:c>
      <x:c r="AX278" s="8" t="n">
        <x:v>0.992</x:v>
      </x:c>
      <x:c r="AY278" s="8" t="n">
        <x:v>259.738</x:v>
      </x:c>
      <x:c r="AZ278" s="8" t="n">
        <x:v>0.992</x:v>
      </x:c>
      <x:c r="BA278" s="8" t="n">
        <x:v>259.738</x:v>
      </x:c>
      <x:c r="BB278" s="8" t="n">
        <x:f>LET(m,MIN(IF(D278&gt;0,D278,1E+99),IF(F278&gt;0,F278,1E+99),IF(H278&gt;0,H278,1E+99),IF(J278&gt;0,J278,1E+99),IF(L278&gt;0,L278,1E+99),IF(N278&gt;0,N278,1E+99),IF(P278&gt;0,P278,1E+99),IF(R278&gt;0,R278,1E+99),IF(T278&gt;0,T278,1E+99),IF(V278&gt;0,V278,1E+99),IF(X278&gt;0,X278,1E+99),IF(Z278&gt;0,Z278,1E+99),IF(AB278&gt;0,AB278,1E+99),IF(AD278&gt;0,AD278,1E+99),IF(AF278&gt;0,AF278,1E+99),IF(AH278&gt;0,AH278,1E+99),IF(AJ278&gt;0,AJ278,1E+99),IF(AL278&gt;0,AL278,1E+99),IF(AN278&gt;0,AN278,1E+99),IF(AP278&gt;0,AP278,1E+99),IF(AR278&gt;0,AR278,1E+99),IF(AT278&gt;0,AT278,1E+99),IF(AV278&gt;0,AV278,1E+99),IF(AX278&gt;0,AX278,1E+99),IF(AZ278&gt;0,AZ278,1E+99)),IF(m=1E+99,"",m))</x:f>
        <x:v>0.598</x:v>
      </x:c>
      <x:c r="BC278" s="12" t="e">
        <x:f>IF(BB278="","",INDEX({"v1.4.20","v1.4.20","v1.4.21","v1.4.21","v1.4.23","v1.4.23","v1.4.26","v1.4.26","v1.4.26.1","v1.4.26.1","v1.4.27","v1.4.27","v1.4.29","v1.4.29","v1.4.30","v1.4.30","v1.4.31","v1.4.31","v1.4.33","v1.4.33","v1.4.35","v1.4.35.2","v1.5","v1.5.1","v1.5.1"},MATCH(BB278,CHOOSE({1,2,3,4,5,6,7,8,9,10,11,12,13,14,15,16,17,18,19,20,21,22,23,24,25},D278,F278,H278,J278,L278,N278,P278,R278,T278,V278,X278,Z278,AB278,AD278,AF278,AH278,AJ278,AL278,AN278,AP278,AR278,AT278,AV278,AX278,AZ278),0)))</x:f>
      </x:c>
      <x:c r="BD278" s="14" t="n">
        <x:f>LET(m,MIN(IF(E278&gt;0,E278,1E+99),IF(G278&gt;0,G278,1E+99),IF(I278&gt;0,I278,1E+99),IF(K278&gt;0,K278,1E+99),IF(M278&gt;0,M278,1E+99),IF(O278&gt;0,O278,1E+99),IF(Q278&gt;0,Q278,1E+99),IF(S278&gt;0,S278,1E+99),IF(U278&gt;0,U278,1E+99),IF(W278&gt;0,W278,1E+99),IF(Y278&gt;0,Y278,1E+99),IF(AA278&gt;0,AA278,1E+99),IF(AC278&gt;0,AC278,1E+99),IF(AE278&gt;0,AE278,1E+99),IF(AG278&gt;0,AG278,1E+99),IF(AI278&gt;0,AI278,1E+99),IF(AK278&gt;0,AK278,1E+99),IF(AM278&gt;0,AM278,1E+99),IF(AO278&gt;0,AO278,1E+99),IF(AQ278&gt;0,AQ278,1E+99),IF(AS278&gt;0,AS278,1E+99),IF(AU278&gt;0,AU278,1E+99),IF(AW278&gt;0,AW278,1E+99),IF(AY278&gt;0,AY278,1E+99),IF(BA278&gt;0,BA278,1E+99)),IF(m=1E+99,"",m))</x:f>
        <x:v>162.571</x:v>
      </x:c>
      <x:c r="BE278" s="16" t="e">
        <x:f>IF(BD278="","",INDEX({"v1.4.20","v1.4.20","v1.4.21","v1.4.21","v1.4.23","v1.4.23","v1.4.26","v1.4.26","v1.4.26.1","v1.4.26.1","v1.4.27","v1.4.27","v1.4.29","v1.4.29","v1.4.30","v1.4.30","v1.4.31","v1.4.31","v1.4.33","v1.4.33","v1.4.35","v1.4.35.2","v1.5","v1.5.1","v1.5.1"},MATCH(BD278,CHOOSE({1,2,3,4,5,6,7,8,9,10,11,12,13,14,15,16,17,18,19,20,21,22,23,24,25},E278,G278,I278,K278,M278,O278,Q278,S278,U278,W278,Y278,AA278,AC278,AE278,AG278,AI278,AK278,AM278,AO278,AQ278,AS278,AU278,AW278,AY278,BA278),0)))</x:f>
      </x:c>
      <x:c r="BF278" s="10" t="n">
        <x:f>IFERROR((AX278-BB278)/BB278,"")</x:f>
        <x:v>0.6588628762541806</x:v>
      </x:c>
      <x:c r="BG278" s="10" t="n">
        <x:f>IFERROR((AY278-BD278)/BD278,"")</x:f>
        <x:v>0.5976896248408388</x:v>
      </x:c>
    </x:row>
    <x:row r="279">
      <x:c r="A279" t="str">
        <x:v>Master List Change Log</x:v>
      </x:c>
      <x:c r="B279" t="str">
        <x:v>Create / Refresh All Templates</x:v>
      </x:c>
      <x:c r="C279" t="str">
        <x:v>Hide template: Template - Master List Change Log</x:v>
      </x:c>
      <x:c r="D279" s="8" t="n">
        <x:v>2.093</x:v>
      </x:c>
      <x:c r="E279" s="8" t="n">
        <x:v>198.18</x:v>
      </x:c>
      <x:c r="F279" s="8" t="n">
        <x:v>2.093</x:v>
      </x:c>
      <x:c r="G279" s="8" t="n">
        <x:v>198.18</x:v>
      </x:c>
      <x:c r="H279" s="8" t="n">
        <x:v>3.937</x:v>
      </x:c>
      <x:c r="I279" s="8" t="n">
        <x:v>253.71</x:v>
      </x:c>
      <x:c r="J279" s="8" t="n">
        <x:v>3.937</x:v>
      </x:c>
      <x:c r="K279" s="8" t="n">
        <x:v>253.71</x:v>
      </x:c>
      <x:c r="L279" s="8" t="n">
        <x:v>2.443</x:v>
      </x:c>
      <x:c r="M279" s="8" t="n">
        <x:v>253.044</x:v>
      </x:c>
      <x:c r="N279" s="8" t="n">
        <x:v>2.443</x:v>
      </x:c>
      <x:c r="O279" s="8" t="n">
        <x:v>253.044</x:v>
      </x:c>
      <x:c r="P279" s="8" t="n">
        <x:v>1.792</x:v>
      </x:c>
      <x:c r="Q279" s="8" t="n">
        <x:v>164.363</x:v>
      </x:c>
      <x:c r="R279" s="8" t="n">
        <x:v>1.792</x:v>
      </x:c>
      <x:c r="S279" s="8" t="n">
        <x:v>164.363</x:v>
      </x:c>
      <x:c r="T279" s="8" t="n">
        <x:v>1.823</x:v>
      </x:c>
      <x:c r="U279" s="8" t="n">
        <x:v>198.499</x:v>
      </x:c>
      <x:c r="V279" s="8" t="n">
        <x:v>1.823</x:v>
      </x:c>
      <x:c r="W279" s="8" t="n">
        <x:v>198.499</x:v>
      </x:c>
      <x:c r="X279" s="8" t="n">
        <x:v>2.481</x:v>
      </x:c>
      <x:c r="Y279" s="8" t="n">
        <x:v>309.466</x:v>
      </x:c>
      <x:c r="Z279" s="8" t="n">
        <x:v>2.481</x:v>
      </x:c>
      <x:c r="AA279" s="8" t="n">
        <x:v>309.466</x:v>
      </x:c>
      <x:c r="AB279" s="8" t="n">
        <x:v>2.953</x:v>
      </x:c>
      <x:c r="AC279" s="8" t="n">
        <x:v>280.382</x:v>
      </x:c>
      <x:c r="AD279" s="8" t="n">
        <x:v>2.953</x:v>
      </x:c>
      <x:c r="AE279" s="8" t="n">
        <x:v>280.382</x:v>
      </x:c>
      <x:c r="AF279" s="8" t="n">
        <x:v>2.885</x:v>
      </x:c>
      <x:c r="AG279" s="8" t="n">
        <x:v>289.103</x:v>
      </x:c>
      <x:c r="AH279" s="8" t="n">
        <x:v>2.885</x:v>
      </x:c>
      <x:c r="AI279" s="8" t="n">
        <x:v>289.103</x:v>
      </x:c>
      <x:c r="AJ279" s="8" t="n">
        <x:v>2.844</x:v>
      </x:c>
      <x:c r="AK279" s="8" t="n">
        <x:v>239.681</x:v>
      </x:c>
      <x:c r="AL279" s="8" t="n">
        <x:v>2.844</x:v>
      </x:c>
      <x:c r="AM279" s="8" t="n">
        <x:v>239.681</x:v>
      </x:c>
      <x:c r="AN279" s="8" t="n">
        <x:v>1.968</x:v>
      </x:c>
      <x:c r="AO279" s="8" t="n">
        <x:v>198.071</x:v>
      </x:c>
      <x:c r="AP279" s="8" t="n">
        <x:v>1.968</x:v>
      </x:c>
      <x:c r="AQ279" s="8" t="n">
        <x:v>198.071</x:v>
      </x:c>
      <x:c r="AR279" s="8" t="n">
        <x:v>3.07</x:v>
      </x:c>
      <x:c r="AS279" s="8" t="n">
        <x:v>307.17</x:v>
      </x:c>
      <x:c r="AT279" s="8" t="n">
        <x:v>1.771</x:v>
      </x:c>
      <x:c r="AU279" s="8" t="n">
        <x:v>214.962</x:v>
      </x:c>
      <x:c r="AV279" s="8" t="n">
        <x:v>2.639</x:v>
      </x:c>
      <x:c r="AW279" s="8" t="n">
        <x:v>264.391</x:v>
      </x:c>
      <x:c r="AX279" s="8" t="n">
        <x:v>2.475</x:v>
      </x:c>
      <x:c r="AY279" s="8" t="n">
        <x:v>262.213</x:v>
      </x:c>
      <x:c r="AZ279" s="8" t="n">
        <x:v>2.475</x:v>
      </x:c>
      <x:c r="BA279" s="8" t="n">
        <x:v>262.213</x:v>
      </x:c>
      <x:c r="BB279" s="8" t="n">
        <x:f>LET(m,MIN(IF(D279&gt;0,D279,1E+99),IF(F279&gt;0,F279,1E+99),IF(H279&gt;0,H279,1E+99),IF(J279&gt;0,J279,1E+99),IF(L279&gt;0,L279,1E+99),IF(N279&gt;0,N279,1E+99),IF(P279&gt;0,P279,1E+99),IF(R279&gt;0,R279,1E+99),IF(T279&gt;0,T279,1E+99),IF(V279&gt;0,V279,1E+99),IF(X279&gt;0,X279,1E+99),IF(Z279&gt;0,Z279,1E+99),IF(AB279&gt;0,AB279,1E+99),IF(AD279&gt;0,AD279,1E+99),IF(AF279&gt;0,AF279,1E+99),IF(AH279&gt;0,AH279,1E+99),IF(AJ279&gt;0,AJ279,1E+99),IF(AL279&gt;0,AL279,1E+99),IF(AN279&gt;0,AN279,1E+99),IF(AP279&gt;0,AP279,1E+99),IF(AR279&gt;0,AR279,1E+99),IF(AT279&gt;0,AT279,1E+99),IF(AV279&gt;0,AV279,1E+99),IF(AX279&gt;0,AX279,1E+99),IF(AZ279&gt;0,AZ279,1E+99)),IF(m=1E+99,"",m))</x:f>
        <x:v>1.771</x:v>
      </x:c>
      <x:c r="BC279" s="12" t="e">
        <x:f>IF(BB279="","",INDEX({"v1.4.20","v1.4.20","v1.4.21","v1.4.21","v1.4.23","v1.4.23","v1.4.26","v1.4.26","v1.4.26.1","v1.4.26.1","v1.4.27","v1.4.27","v1.4.29","v1.4.29","v1.4.30","v1.4.30","v1.4.31","v1.4.31","v1.4.33","v1.4.33","v1.4.35","v1.4.35.2","v1.5","v1.5.1","v1.5.1"},MATCH(BB279,CHOOSE({1,2,3,4,5,6,7,8,9,10,11,12,13,14,15,16,17,18,19,20,21,22,23,24,25},D279,F279,H279,J279,L279,N279,P279,R279,T279,V279,X279,Z279,AB279,AD279,AF279,AH279,AJ279,AL279,AN279,AP279,AR279,AT279,AV279,AX279,AZ279),0)))</x:f>
      </x:c>
      <x:c r="BD279" s="14" t="n">
        <x:f>LET(m,MIN(IF(E279&gt;0,E279,1E+99),IF(G279&gt;0,G279,1E+99),IF(I279&gt;0,I279,1E+99),IF(K279&gt;0,K279,1E+99),IF(M279&gt;0,M279,1E+99),IF(O279&gt;0,O279,1E+99),IF(Q279&gt;0,Q279,1E+99),IF(S279&gt;0,S279,1E+99),IF(U279&gt;0,U279,1E+99),IF(W279&gt;0,W279,1E+99),IF(Y279&gt;0,Y279,1E+99),IF(AA279&gt;0,AA279,1E+99),IF(AC279&gt;0,AC279,1E+99),IF(AE279&gt;0,AE279,1E+99),IF(AG279&gt;0,AG279,1E+99),IF(AI279&gt;0,AI279,1E+99),IF(AK279&gt;0,AK279,1E+99),IF(AM279&gt;0,AM279,1E+99),IF(AO279&gt;0,AO279,1E+99),IF(AQ279&gt;0,AQ279,1E+99),IF(AS279&gt;0,AS279,1E+99),IF(AU279&gt;0,AU279,1E+99),IF(AW279&gt;0,AW279,1E+99),IF(AY279&gt;0,AY279,1E+99),IF(BA279&gt;0,BA279,1E+99)),IF(m=1E+99,"",m))</x:f>
        <x:v>164.363</x:v>
      </x:c>
      <x:c r="BE279" s="16" t="e">
        <x:f>IF(BD279="","",INDEX({"v1.4.20","v1.4.20","v1.4.21","v1.4.21","v1.4.23","v1.4.23","v1.4.26","v1.4.26","v1.4.26.1","v1.4.26.1","v1.4.27","v1.4.27","v1.4.29","v1.4.29","v1.4.30","v1.4.30","v1.4.31","v1.4.31","v1.4.33","v1.4.33","v1.4.35","v1.4.35.2","v1.5","v1.5.1","v1.5.1"},MATCH(BD279,CHOOSE({1,2,3,4,5,6,7,8,9,10,11,12,13,14,15,16,17,18,19,20,21,22,23,24,25},E279,G279,I279,K279,M279,O279,Q279,S279,U279,W279,Y279,AA279,AC279,AE279,AG279,AI279,AK279,AM279,AO279,AQ279,AS279,AU279,AW279,AY279,BA279),0)))</x:f>
      </x:c>
      <x:c r="BF279" s="10" t="n">
        <x:f>IFERROR((AX279-BB279)/BB279,"")</x:f>
        <x:v>0.3975155279503107</x:v>
      </x:c>
      <x:c r="BG279" s="10" t="n">
        <x:f>IFERROR((AY279-BD279)/BD279,"")</x:f>
        <x:v>0.5953286323564307</x:v>
      </x:c>
    </x:row>
    <x:row r="280">
      <x:c r="A280" t="str">
        <x:v>Master List Change Log</x:v>
      </x:c>
      <x:c r="B280" t="str">
        <x:v>Create / Refresh All Templates</x:v>
      </x:c>
      <x:c r="C280" t="str">
        <x:v>Complete full template build: Template - Master List Change Log</x:v>
      </x:c>
      <x:c r="D280" s="8" t="n">
        <x:v>0</x:v>
      </x:c>
      <x:c r="E280" s="8" t="n">
        <x:v>198.18</x:v>
      </x:c>
      <x:c r="F280" s="8" t="n">
        <x:v>0</x:v>
      </x:c>
      <x:c r="G280" s="8" t="n">
        <x:v>198.18</x:v>
      </x:c>
      <x:c r="H280" s="8" t="n">
        <x:v>0</x:v>
      </x:c>
      <x:c r="I280" s="8" t="n">
        <x:v>253.71</x:v>
      </x:c>
      <x:c r="J280" s="8" t="n">
        <x:v>0</x:v>
      </x:c>
      <x:c r="K280" s="8" t="n">
        <x:v>253.71</x:v>
      </x:c>
      <x:c r="L280" s="8" t="n">
        <x:v>0.001</x:v>
      </x:c>
      <x:c r="M280" s="8" t="n">
        <x:v>253.045</x:v>
      </x:c>
      <x:c r="N280" s="8" t="n">
        <x:v>0.001</x:v>
      </x:c>
      <x:c r="O280" s="8" t="n">
        <x:v>253.045</x:v>
      </x:c>
      <x:c r="P280" s="8" t="n">
        <x:v>0</x:v>
      </x:c>
      <x:c r="Q280" s="8" t="n">
        <x:v>164.363</x:v>
      </x:c>
      <x:c r="R280" s="8" t="n">
        <x:v>0</x:v>
      </x:c>
      <x:c r="S280" s="8" t="n">
        <x:v>164.363</x:v>
      </x:c>
      <x:c r="T280" s="8" t="n">
        <x:v>0</x:v>
      </x:c>
      <x:c r="U280" s="8" t="n">
        <x:v>198.499</x:v>
      </x:c>
      <x:c r="V280" s="8" t="n">
        <x:v>0</x:v>
      </x:c>
      <x:c r="W280" s="8" t="n">
        <x:v>198.499</x:v>
      </x:c>
      <x:c r="X280" s="8" t="n">
        <x:v>0</x:v>
      </x:c>
      <x:c r="Y280" s="8" t="n">
        <x:v>309.466</x:v>
      </x:c>
      <x:c r="Z280" s="8" t="n">
        <x:v>0</x:v>
      </x:c>
      <x:c r="AA280" s="8" t="n">
        <x:v>309.466</x:v>
      </x:c>
      <x:c r="AB280" s="8" t="n">
        <x:v>0</x:v>
      </x:c>
      <x:c r="AC280" s="8" t="n">
        <x:v>280.382</x:v>
      </x:c>
      <x:c r="AD280" s="8" t="n">
        <x:v>0</x:v>
      </x:c>
      <x:c r="AE280" s="8" t="n">
        <x:v>280.382</x:v>
      </x:c>
      <x:c r="AF280" s="8" t="n">
        <x:v>0</x:v>
      </x:c>
      <x:c r="AG280" s="8" t="n">
        <x:v>289.103</x:v>
      </x:c>
      <x:c r="AH280" s="8" t="n">
        <x:v>0</x:v>
      </x:c>
      <x:c r="AI280" s="8" t="n">
        <x:v>289.103</x:v>
      </x:c>
      <x:c r="AJ280" s="8" t="n">
        <x:v>0</x:v>
      </x:c>
      <x:c r="AK280" s="8" t="n">
        <x:v>239.681</x:v>
      </x:c>
      <x:c r="AL280" s="8" t="n">
        <x:v>0</x:v>
      </x:c>
      <x:c r="AM280" s="8" t="n">
        <x:v>239.681</x:v>
      </x:c>
      <x:c r="AN280" s="8" t="n">
        <x:v>0</x:v>
      </x:c>
      <x:c r="AO280" s="8" t="n">
        <x:v>198.071</x:v>
      </x:c>
      <x:c r="AP280" s="8" t="n">
        <x:v>0</x:v>
      </x:c>
      <x:c r="AQ280" s="8" t="n">
        <x:v>198.071</x:v>
      </x:c>
      <x:c r="AR280" s="8" t="n">
        <x:v>0</x:v>
      </x:c>
      <x:c r="AS280" s="8" t="n">
        <x:v>307.17</x:v>
      </x:c>
      <x:c r="AT280" s="8" t="n">
        <x:v>0</x:v>
      </x:c>
      <x:c r="AU280" s="8" t="n">
        <x:v>214.962</x:v>
      </x:c>
      <x:c r="AV280" s="8" t="n">
        <x:v>0</x:v>
      </x:c>
      <x:c r="AW280" s="8" t="n">
        <x:v>264.391</x:v>
      </x:c>
      <x:c r="AX280" s="8" t="n">
        <x:v>0</x:v>
      </x:c>
      <x:c r="AY280" s="8" t="n">
        <x:v>262.213</x:v>
      </x:c>
      <x:c r="AZ280" s="8" t="n">
        <x:v>0</x:v>
      </x:c>
      <x:c r="BA280" s="8" t="n">
        <x:v>262.213</x:v>
      </x:c>
      <x:c r="BB280" s="8" t="n">
        <x:f>LET(m,MIN(IF(D280&gt;0,D280,1E+99),IF(F280&gt;0,F280,1E+99),IF(H280&gt;0,H280,1E+99),IF(J280&gt;0,J280,1E+99),IF(L280&gt;0,L280,1E+99),IF(N280&gt;0,N280,1E+99),IF(P280&gt;0,P280,1E+99),IF(R280&gt;0,R280,1E+99),IF(T280&gt;0,T280,1E+99),IF(V280&gt;0,V280,1E+99),IF(X280&gt;0,X280,1E+99),IF(Z280&gt;0,Z280,1E+99),IF(AB280&gt;0,AB280,1E+99),IF(AD280&gt;0,AD280,1E+99),IF(AF280&gt;0,AF280,1E+99),IF(AH280&gt;0,AH280,1E+99),IF(AJ280&gt;0,AJ280,1E+99),IF(AL280&gt;0,AL280,1E+99),IF(AN280&gt;0,AN280,1E+99),IF(AP280&gt;0,AP280,1E+99),IF(AR280&gt;0,AR280,1E+99),IF(AT280&gt;0,AT280,1E+99),IF(AV280&gt;0,AV280,1E+99),IF(AX280&gt;0,AX280,1E+99),IF(AZ280&gt;0,AZ280,1E+99)),IF(m=1E+99,"",m))</x:f>
        <x:v>0.001</x:v>
      </x:c>
      <x:c r="BC280" s="12" t="e">
        <x:f>IF(BB280="","",INDEX({"v1.4.20","v1.4.20","v1.4.21","v1.4.21","v1.4.23","v1.4.23","v1.4.26","v1.4.26","v1.4.26.1","v1.4.26.1","v1.4.27","v1.4.27","v1.4.29","v1.4.29","v1.4.30","v1.4.30","v1.4.31","v1.4.31","v1.4.33","v1.4.33","v1.4.35","v1.4.35.2","v1.5","v1.5.1","v1.5.1"},MATCH(BB280,CHOOSE({1,2,3,4,5,6,7,8,9,10,11,12,13,14,15,16,17,18,19,20,21,22,23,24,25},D280,F280,H280,J280,L280,N280,P280,R280,T280,V280,X280,Z280,AB280,AD280,AF280,AH280,AJ280,AL280,AN280,AP280,AR280,AT280,AV280,AX280,AZ280),0)))</x:f>
      </x:c>
      <x:c r="BD280" s="14" t="n">
        <x:f>LET(m,MIN(IF(E280&gt;0,E280,1E+99),IF(G280&gt;0,G280,1E+99),IF(I280&gt;0,I280,1E+99),IF(K280&gt;0,K280,1E+99),IF(M280&gt;0,M280,1E+99),IF(O280&gt;0,O280,1E+99),IF(Q280&gt;0,Q280,1E+99),IF(S280&gt;0,S280,1E+99),IF(U280&gt;0,U280,1E+99),IF(W280&gt;0,W280,1E+99),IF(Y280&gt;0,Y280,1E+99),IF(AA280&gt;0,AA280,1E+99),IF(AC280&gt;0,AC280,1E+99),IF(AE280&gt;0,AE280,1E+99),IF(AG280&gt;0,AG280,1E+99),IF(AI280&gt;0,AI280,1E+99),IF(AK280&gt;0,AK280,1E+99),IF(AM280&gt;0,AM280,1E+99),IF(AO280&gt;0,AO280,1E+99),IF(AQ280&gt;0,AQ280,1E+99),IF(AS280&gt;0,AS280,1E+99),IF(AU280&gt;0,AU280,1E+99),IF(AW280&gt;0,AW280,1E+99),IF(AY280&gt;0,AY280,1E+99),IF(BA280&gt;0,BA280,1E+99)),IF(m=1E+99,"",m))</x:f>
        <x:v>164.363</x:v>
      </x:c>
      <x:c r="BE280" s="16" t="e">
        <x:f>IF(BD280="","",INDEX({"v1.4.20","v1.4.20","v1.4.21","v1.4.21","v1.4.23","v1.4.23","v1.4.26","v1.4.26","v1.4.26.1","v1.4.26.1","v1.4.27","v1.4.27","v1.4.29","v1.4.29","v1.4.30","v1.4.30","v1.4.31","v1.4.31","v1.4.33","v1.4.33","v1.4.35","v1.4.35.2","v1.5","v1.5.1","v1.5.1"},MATCH(BD280,CHOOSE({1,2,3,4,5,6,7,8,9,10,11,12,13,14,15,16,17,18,19,20,21,22,23,24,25},E280,G280,I280,K280,M280,O280,Q280,S280,U280,W280,Y280,AA280,AC280,AE280,AG280,AI280,AK280,AM280,AO280,AQ280,AS280,AU280,AW280,AY280,BA280),0)))</x:f>
      </x:c>
      <x:c r="BF280" s="10" t="n">
        <x:f>IFERROR((AX280-BB280)/BB280,"")</x:f>
        <x:v>-1</x:v>
      </x:c>
      <x:c r="BG280" s="10" t="n">
        <x:f>IFERROR((AY280-BD280)/BD280,"")</x:f>
        <x:v>0.5953286323564307</x:v>
      </x:c>
    </x:row>
    <x:row r="281">
      <x:c r="A281" t="str">
        <x:v>Master List Change Log</x:v>
      </x:c>
      <x:c r="B281" t="str">
        <x:v>Create / Refresh All Templates</x:v>
      </x:c>
      <x:c r="C281" t="str">
        <x:v>Apply row heights: Template - Master List Change Log</x:v>
      </x:c>
      <x:c r="D281" s="8" t="n">
        <x:v>0.007</x:v>
      </x:c>
      <x:c r="E281" s="8" t="n">
        <x:v>192.377</x:v>
      </x:c>
      <x:c r="F281" s="8" t="n">
        <x:v>0.007</x:v>
      </x:c>
      <x:c r="G281" s="8" t="n">
        <x:v>192.377</x:v>
      </x:c>
      <x:c r="H281" s="8" t="n">
        <x:v>0.006</x:v>
      </x:c>
      <x:c r="I281" s="8" t="n">
        <x:v>243.758</x:v>
      </x:c>
      <x:c r="J281" s="8" t="n">
        <x:v>0.006</x:v>
      </x:c>
      <x:c r="K281" s="8" t="n">
        <x:v>243.758</x:v>
      </x:c>
      <x:c r="L281" s="8" t="n">
        <x:v>0.01</x:v>
      </x:c>
      <x:c r="M281" s="8" t="n">
        <x:v>245.451</x:v>
      </x:c>
      <x:c r="N281" s="8" t="n">
        <x:v>0.01</x:v>
      </x:c>
      <x:c r="O281" s="8" t="n">
        <x:v>245.451</x:v>
      </x:c>
      <x:c r="P281" s="8" t="n">
        <x:v>0.007</x:v>
      </x:c>
      <x:c r="Q281" s="8" t="n">
        <x:v>159.817</x:v>
      </x:c>
      <x:c r="R281" s="8" t="n">
        <x:v>0.007</x:v>
      </x:c>
      <x:c r="S281" s="8" t="n">
        <x:v>159.817</x:v>
      </x:c>
      <x:c r="T281" s="8" t="n">
        <x:v>0.673</x:v>
      </x:c>
      <x:c r="U281" s="8" t="n">
        <x:v>193.479</x:v>
      </x:c>
      <x:c r="V281" s="8" t="n">
        <x:v>0.673</x:v>
      </x:c>
      <x:c r="W281" s="8" t="n">
        <x:v>193.479</x:v>
      </x:c>
      <x:c r="X281" s="8" t="n">
        <x:v>0.011</x:v>
      </x:c>
      <x:c r="Y281" s="8" t="n">
        <x:v>297.911</x:v>
      </x:c>
      <x:c r="Z281" s="8" t="n">
        <x:v>0.011</x:v>
      </x:c>
      <x:c r="AA281" s="8" t="n">
        <x:v>297.911</x:v>
      </x:c>
      <x:c r="AB281" s="8" t="n">
        <x:v>0.973</x:v>
      </x:c>
      <x:c r="AC281" s="8" t="n">
        <x:v>274.465</x:v>
      </x:c>
      <x:c r="AD281" s="8" t="n">
        <x:v>0.973</x:v>
      </x:c>
      <x:c r="AE281" s="8" t="n">
        <x:v>274.465</x:v>
      </x:c>
      <x:c r="AF281" s="8" t="n">
        <x:v>1.691</x:v>
      </x:c>
      <x:c r="AG281" s="8" t="n">
        <x:v>281.378</x:v>
      </x:c>
      <x:c r="AH281" s="8" t="n">
        <x:v>1.691</x:v>
      </x:c>
      <x:c r="AI281" s="8" t="n">
        <x:v>281.378</x:v>
      </x:c>
      <x:c r="AJ281" s="8" t="n">
        <x:v>1.041</x:v>
      </x:c>
      <x:c r="AK281" s="8" t="n">
        <x:v>233.741</x:v>
      </x:c>
      <x:c r="AL281" s="8" t="n">
        <x:v>1.041</x:v>
      </x:c>
      <x:c r="AM281" s="8" t="n">
        <x:v>233.741</x:v>
      </x:c>
      <x:c r="AN281" s="8" t="n">
        <x:v>1.163</x:v>
      </x:c>
      <x:c r="AO281" s="8" t="n">
        <x:v>193.688</x:v>
      </x:c>
      <x:c r="AP281" s="8" t="n">
        <x:v>1.163</x:v>
      </x:c>
      <x:c r="AQ281" s="8" t="n">
        <x:v>193.688</x:v>
      </x:c>
      <x:c r="AR281" s="8" t="n">
        <x:v>0.021</x:v>
      </x:c>
      <x:c r="AS281" s="8" t="n">
        <x:v>298.578</x:v>
      </x:c>
      <x:c r="AT281" s="8" t="n">
        <x:v>0.018</x:v>
      </x:c>
      <x:c r="AU281" s="8" t="n">
        <x:v>209.799</x:v>
      </x:c>
      <x:c r="AV281" s="8"/>
      <x:c r="AW281" s="8"/>
      <x:c r="AX281" s="8"/>
      <x:c r="AY281" s="8"/>
      <x:c r="AZ281" s="8"/>
      <x:c r="BA281" s="8"/>
      <x:c r="BB281" s="8" t="n">
        <x:f>LET(m,MIN(IF(D281&gt;0,D281,1E+99),IF(F281&gt;0,F281,1E+99),IF(H281&gt;0,H281,1E+99),IF(J281&gt;0,J281,1E+99),IF(L281&gt;0,L281,1E+99),IF(N281&gt;0,N281,1E+99),IF(P281&gt;0,P281,1E+99),IF(R281&gt;0,R281,1E+99),IF(T281&gt;0,T281,1E+99),IF(V281&gt;0,V281,1E+99),IF(X281&gt;0,X281,1E+99),IF(Z281&gt;0,Z281,1E+99),IF(AB281&gt;0,AB281,1E+99),IF(AD281&gt;0,AD281,1E+99),IF(AF281&gt;0,AF281,1E+99),IF(AH281&gt;0,AH281,1E+99),IF(AJ281&gt;0,AJ281,1E+99),IF(AL281&gt;0,AL281,1E+99),IF(AN281&gt;0,AN281,1E+99),IF(AP281&gt;0,AP281,1E+99),IF(AR281&gt;0,AR281,1E+99),IF(AT281&gt;0,AT281,1E+99),IF(AV281&gt;0,AV281,1E+99),IF(AX281&gt;0,AX281,1E+99),IF(AZ281&gt;0,AZ281,1E+99)),IF(m=1E+99,"",m))</x:f>
        <x:v>0.006</x:v>
      </x:c>
      <x:c r="BC281" s="12" t="e">
        <x:f>IF(BB281="","",INDEX({"v1.4.20","v1.4.20","v1.4.21","v1.4.21","v1.4.23","v1.4.23","v1.4.26","v1.4.26","v1.4.26.1","v1.4.26.1","v1.4.27","v1.4.27","v1.4.29","v1.4.29","v1.4.30","v1.4.30","v1.4.31","v1.4.31","v1.4.33","v1.4.33","v1.4.35","v1.4.35.2","v1.5","v1.5.1","v1.5.1"},MATCH(BB281,CHOOSE({1,2,3,4,5,6,7,8,9,10,11,12,13,14,15,16,17,18,19,20,21,22,23,24,25},D281,F281,H281,J281,L281,N281,P281,R281,T281,V281,X281,Z281,AB281,AD281,AF281,AH281,AJ281,AL281,AN281,AP281,AR281,AT281,AV281,AX281,AZ281),0)))</x:f>
      </x:c>
      <x:c r="BD281" s="14" t="n">
        <x:f>LET(m,MIN(IF(E281&gt;0,E281,1E+99),IF(G281&gt;0,G281,1E+99),IF(I281&gt;0,I281,1E+99),IF(K281&gt;0,K281,1E+99),IF(M281&gt;0,M281,1E+99),IF(O281&gt;0,O281,1E+99),IF(Q281&gt;0,Q281,1E+99),IF(S281&gt;0,S281,1E+99),IF(U281&gt;0,U281,1E+99),IF(W281&gt;0,W281,1E+99),IF(Y281&gt;0,Y281,1E+99),IF(AA281&gt;0,AA281,1E+99),IF(AC281&gt;0,AC281,1E+99),IF(AE281&gt;0,AE281,1E+99),IF(AG281&gt;0,AG281,1E+99),IF(AI281&gt;0,AI281,1E+99),IF(AK281&gt;0,AK281,1E+99),IF(AM281&gt;0,AM281,1E+99),IF(AO281&gt;0,AO281,1E+99),IF(AQ281&gt;0,AQ281,1E+99),IF(AS281&gt;0,AS281,1E+99),IF(AU281&gt;0,AU281,1E+99),IF(AW281&gt;0,AW281,1E+99),IF(AY281&gt;0,AY281,1E+99),IF(BA281&gt;0,BA281,1E+99)),IF(m=1E+99,"",m))</x:f>
        <x:v>159.817</x:v>
      </x:c>
      <x:c r="BE281" s="16" t="e">
        <x:f>IF(BD281="","",INDEX({"v1.4.20","v1.4.20","v1.4.21","v1.4.21","v1.4.23","v1.4.23","v1.4.26","v1.4.26","v1.4.26.1","v1.4.26.1","v1.4.27","v1.4.27","v1.4.29","v1.4.29","v1.4.30","v1.4.30","v1.4.31","v1.4.31","v1.4.33","v1.4.33","v1.4.35","v1.4.35.2","v1.5","v1.5.1","v1.5.1"},MATCH(BD281,CHOOSE({1,2,3,4,5,6,7,8,9,10,11,12,13,14,15,16,17,18,19,20,21,22,23,24,25},E281,G281,I281,K281,M281,O281,Q281,S281,U281,W281,Y281,AA281,AC281,AE281,AG281,AI281,AK281,AM281,AO281,AQ281,AS281,AU281,AW281,AY281,BA281),0)))</x:f>
      </x:c>
      <x:c r="BF281" s="10" t="n">
        <x:f>IFERROR((AX281-BB281)/BB281,"")</x:f>
        <x:v>-1</x:v>
      </x:c>
      <x:c r="BG281" s="10" t="n">
        <x:f>IFERROR((AY281-BD281)/BD281,"")</x:f>
        <x:v>-1</x:v>
      </x:c>
    </x:row>
    <x:row r="282">
      <x:c r="A282" t="str">
        <x:v>Master List Change Log</x:v>
      </x:c>
      <x:c r="B282" t="str">
        <x:v>Create / Refresh All Templates</x:v>
      </x:c>
      <x:c r="C282" t="str">
        <x:v>Clear sheet/formats for full build: Template - Master List Change Log</x:v>
      </x:c>
      <x:c r="D282" s="8" t="n">
        <x:v>8.929</x:v>
      </x:c>
      <x:c r="E282" s="8" t="n">
        <x:v>184.573</x:v>
      </x:c>
      <x:c r="F282" s="8" t="n">
        <x:v>8.929</x:v>
      </x:c>
      <x:c r="G282" s="8" t="n">
        <x:v>184.573</x:v>
      </x:c>
      <x:c r="H282" s="8" t="n">
        <x:v>13.867</x:v>
      </x:c>
      <x:c r="I282" s="8" t="n">
        <x:v>236.718</x:v>
      </x:c>
      <x:c r="J282" s="8" t="n">
        <x:v>13.867</x:v>
      </x:c>
      <x:c r="K282" s="8" t="n">
        <x:v>236.718</x:v>
      </x:c>
      <x:c r="L282" s="8" t="n">
        <x:v>14.919</x:v>
      </x:c>
      <x:c r="M282" s="8" t="n">
        <x:v>235.523</x:v>
      </x:c>
      <x:c r="N282" s="8" t="n">
        <x:v>14.919</x:v>
      </x:c>
      <x:c r="O282" s="8" t="n">
        <x:v>235.523</x:v>
      </x:c>
      <x:c r="P282" s="8" t="n">
        <x:v>8.379</x:v>
      </x:c>
      <x:c r="Q282" s="8" t="n">
        <x:v>154.52</x:v>
      </x:c>
      <x:c r="R282" s="8" t="n">
        <x:v>8.379</x:v>
      </x:c>
      <x:c r="S282" s="8" t="n">
        <x:v>154.52</x:v>
      </x:c>
      <x:c r="T282" s="8"/>
      <x:c r="U282" s="8"/>
      <x:c r="V282" s="8"/>
      <x:c r="W282" s="8"/>
      <x:c r="X282" s="8" t="n">
        <x:v>17.881</x:v>
      </x:c>
      <x:c r="Y282" s="8" t="n">
        <x:v>288.52</x:v>
      </x:c>
      <x:c r="Z282" s="8" t="n">
        <x:v>17.881</x:v>
      </x:c>
      <x:c r="AA282" s="8" t="n">
        <x:v>288.52</x:v>
      </x:c>
      <x:c r="AB282" s="8"/>
      <x:c r="AC282" s="8"/>
      <x:c r="AD282" s="8"/>
      <x:c r="AE282" s="8"/>
      <x:c r="AF282" s="8"/>
      <x:c r="AG282" s="8"/>
      <x:c r="AH282" s="8"/>
      <x:c r="AI282" s="8"/>
      <x:c r="AJ282" s="8"/>
      <x:c r="AK282" s="8"/>
      <x:c r="AL282" s="8"/>
      <x:c r="AM282" s="8"/>
      <x:c r="AN282" s="8"/>
      <x:c r="AO282" s="8"/>
      <x:c r="AP282" s="8"/>
      <x:c r="AQ282" s="8"/>
      <x:c r="AR282" s="8" t="n">
        <x:v>14.941</x:v>
      </x:c>
      <x:c r="AS282" s="8" t="n">
        <x:v>287.841</x:v>
      </x:c>
      <x:c r="AT282" s="8" t="n">
        <x:v>12.841</x:v>
      </x:c>
      <x:c r="AU282" s="8" t="n">
        <x:v>203.298</x:v>
      </x:c>
      <x:c r="AV282" s="8"/>
      <x:c r="AW282" s="8"/>
      <x:c r="AX282" s="8"/>
      <x:c r="AY282" s="8"/>
      <x:c r="AZ282" s="8"/>
      <x:c r="BA282" s="8"/>
      <x:c r="BB282" s="8" t="n">
        <x:f>LET(m,MIN(IF(D282&gt;0,D282,1E+99),IF(F282&gt;0,F282,1E+99),IF(H282&gt;0,H282,1E+99),IF(J282&gt;0,J282,1E+99),IF(L282&gt;0,L282,1E+99),IF(N282&gt;0,N282,1E+99),IF(P282&gt;0,P282,1E+99),IF(R282&gt;0,R282,1E+99),IF(T282&gt;0,T282,1E+99),IF(V282&gt;0,V282,1E+99),IF(X282&gt;0,X282,1E+99),IF(Z282&gt;0,Z282,1E+99),IF(AB282&gt;0,AB282,1E+99),IF(AD282&gt;0,AD282,1E+99),IF(AF282&gt;0,AF282,1E+99),IF(AH282&gt;0,AH282,1E+99),IF(AJ282&gt;0,AJ282,1E+99),IF(AL282&gt;0,AL282,1E+99),IF(AN282&gt;0,AN282,1E+99),IF(AP282&gt;0,AP282,1E+99),IF(AR282&gt;0,AR282,1E+99),IF(AT282&gt;0,AT282,1E+99),IF(AV282&gt;0,AV282,1E+99),IF(AX282&gt;0,AX282,1E+99),IF(AZ282&gt;0,AZ282,1E+99)),IF(m=1E+99,"",m))</x:f>
        <x:v>8.379</x:v>
      </x:c>
      <x:c r="BC282" s="12" t="e">
        <x:f>IF(BB282="","",INDEX({"v1.4.20","v1.4.20","v1.4.21","v1.4.21","v1.4.23","v1.4.23","v1.4.26","v1.4.26","v1.4.26.1","v1.4.26.1","v1.4.27","v1.4.27","v1.4.29","v1.4.29","v1.4.30","v1.4.30","v1.4.31","v1.4.31","v1.4.33","v1.4.33","v1.4.35","v1.4.35.2","v1.5","v1.5.1","v1.5.1"},MATCH(BB282,CHOOSE({1,2,3,4,5,6,7,8,9,10,11,12,13,14,15,16,17,18,19,20,21,22,23,24,25},D282,F282,H282,J282,L282,N282,P282,R282,T282,V282,X282,Z282,AB282,AD282,AF282,AH282,AJ282,AL282,AN282,AP282,AR282,AT282,AV282,AX282,AZ282),0)))</x:f>
      </x:c>
      <x:c r="BD282" s="14" t="n">
        <x:f>LET(m,MIN(IF(E282&gt;0,E282,1E+99),IF(G282&gt;0,G282,1E+99),IF(I282&gt;0,I282,1E+99),IF(K282&gt;0,K282,1E+99),IF(M282&gt;0,M282,1E+99),IF(O282&gt;0,O282,1E+99),IF(Q282&gt;0,Q282,1E+99),IF(S282&gt;0,S282,1E+99),IF(U282&gt;0,U282,1E+99),IF(W282&gt;0,W282,1E+99),IF(Y282&gt;0,Y282,1E+99),IF(AA282&gt;0,AA282,1E+99),IF(AC282&gt;0,AC282,1E+99),IF(AE282&gt;0,AE282,1E+99),IF(AG282&gt;0,AG282,1E+99),IF(AI282&gt;0,AI282,1E+99),IF(AK282&gt;0,AK282,1E+99),IF(AM282&gt;0,AM282,1E+99),IF(AO282&gt;0,AO282,1E+99),IF(AQ282&gt;0,AQ282,1E+99),IF(AS282&gt;0,AS282,1E+99),IF(AU282&gt;0,AU282,1E+99),IF(AW282&gt;0,AW282,1E+99),IF(AY282&gt;0,AY282,1E+99),IF(BA282&gt;0,BA282,1E+99)),IF(m=1E+99,"",m))</x:f>
        <x:v>154.52</x:v>
      </x:c>
      <x:c r="BE282" s="16" t="e">
        <x:f>IF(BD282="","",INDEX({"v1.4.20","v1.4.20","v1.4.21","v1.4.21","v1.4.23","v1.4.23","v1.4.26","v1.4.26","v1.4.26.1","v1.4.26.1","v1.4.27","v1.4.27","v1.4.29","v1.4.29","v1.4.30","v1.4.30","v1.4.31","v1.4.31","v1.4.33","v1.4.33","v1.4.35","v1.4.35.2","v1.5","v1.5.1","v1.5.1"},MATCH(BD282,CHOOSE({1,2,3,4,5,6,7,8,9,10,11,12,13,14,15,16,17,18,19,20,21,22,23,24,25},E282,G282,I282,K282,M282,O282,Q282,S282,U282,W282,Y282,AA282,AC282,AE282,AG282,AI282,AK282,AM282,AO282,AQ282,AS282,AU282,AW282,AY282,BA282),0)))</x:f>
      </x:c>
      <x:c r="BF282" s="10" t="n">
        <x:f>IFERROR((AX282-BB282)/BB282,"")</x:f>
        <x:v>-1</x:v>
      </x:c>
      <x:c r="BG282" s="10" t="n">
        <x:f>IFERROR((AY282-BD282)/BD282,"")</x:f>
        <x:v>-1</x:v>
      </x:c>
    </x:row>
    <x:row r="283">
      <x:c r="A283" t="str">
        <x:v>Master List Change Log</x:v>
      </x:c>
      <x:c r="B283" t="str">
        <x:v>Create / Refresh All Templates</x:v>
      </x:c>
      <x:c r="C283" t="str">
        <x:v>Resize columns: Template - Master List Change Log (12 cols)</x:v>
      </x:c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8" t="n">
        <x:v>0.151</x:v>
      </x:c>
      <x:c r="U283" s="8" t="n">
        <x:v>186.767</x:v>
      </x:c>
      <x:c r="V283" s="8" t="n">
        <x:v>0.151</x:v>
      </x:c>
      <x:c r="W283" s="8" t="n">
        <x:v>186.767</x:v>
      </x:c>
      <x:c r="X283" s="8"/>
      <x:c r="Y283" s="8"/>
      <x:c r="Z283" s="8"/>
      <x:c r="AA283" s="8"/>
      <x:c r="AB283" s="8"/>
      <x:c r="AC283" s="8"/>
      <x:c r="AD283" s="8"/>
      <x:c r="AE283" s="8"/>
      <x:c r="AF283" s="8" t="n">
        <x:v>0.082</x:v>
      </x:c>
      <x:c r="AG283" s="8" t="n">
        <x:v>272.033</x:v>
      </x:c>
      <x:c r="AH283" s="8" t="n">
        <x:v>0.082</x:v>
      </x:c>
      <x:c r="AI283" s="8" t="n">
        <x:v>272.033</x:v>
      </x:c>
      <x:c r="AJ283" s="8" t="n">
        <x:v>0.108</x:v>
      </x:c>
      <x:c r="AK283" s="8" t="n">
        <x:v>224.02</x:v>
      </x:c>
      <x:c r="AL283" s="8" t="n">
        <x:v>0.108</x:v>
      </x:c>
      <x:c r="AM283" s="8" t="n">
        <x:v>224.02</x:v>
      </x:c>
      <x:c r="AN283" s="8" t="n">
        <x:v>0.155</x:v>
      </x:c>
      <x:c r="AO283" s="8" t="n">
        <x:v>186.94</x:v>
      </x:c>
      <x:c r="AP283" s="8" t="n">
        <x:v>0.155</x:v>
      </x:c>
      <x:c r="AQ283" s="8" t="n">
        <x:v>186.94</x:v>
      </x:c>
      <x:c r="AR283" s="8"/>
      <x:c r="AS283" s="8"/>
      <x:c r="AT283" s="8"/>
      <x:c r="AU283" s="8"/>
      <x:c r="AV283" s="8"/>
      <x:c r="AW283" s="8"/>
      <x:c r="AX283" s="8"/>
      <x:c r="AY283" s="8"/>
      <x:c r="AZ283" s="8"/>
      <x:c r="BA283" s="8"/>
      <x:c r="BB283" s="8" t="n">
        <x:f>LET(m,MIN(IF(D283&gt;0,D283,1E+99),IF(F283&gt;0,F283,1E+99),IF(H283&gt;0,H283,1E+99),IF(J283&gt;0,J283,1E+99),IF(L283&gt;0,L283,1E+99),IF(N283&gt;0,N283,1E+99),IF(P283&gt;0,P283,1E+99),IF(R283&gt;0,R283,1E+99),IF(T283&gt;0,T283,1E+99),IF(V283&gt;0,V283,1E+99),IF(X283&gt;0,X283,1E+99),IF(Z283&gt;0,Z283,1E+99),IF(AB283&gt;0,AB283,1E+99),IF(AD283&gt;0,AD283,1E+99),IF(AF283&gt;0,AF283,1E+99),IF(AH283&gt;0,AH283,1E+99),IF(AJ283&gt;0,AJ283,1E+99),IF(AL283&gt;0,AL283,1E+99),IF(AN283&gt;0,AN283,1E+99),IF(AP283&gt;0,AP283,1E+99),IF(AR283&gt;0,AR283,1E+99),IF(AT283&gt;0,AT283,1E+99),IF(AV283&gt;0,AV283,1E+99),IF(AX283&gt;0,AX283,1E+99),IF(AZ283&gt;0,AZ283,1E+99)),IF(m=1E+99,"",m))</x:f>
        <x:v>0.082</x:v>
      </x:c>
      <x:c r="BC283" s="12" t="e">
        <x:f>IF(BB283="","",INDEX({"v1.4.20","v1.4.20","v1.4.21","v1.4.21","v1.4.23","v1.4.23","v1.4.26","v1.4.26","v1.4.26.1","v1.4.26.1","v1.4.27","v1.4.27","v1.4.29","v1.4.29","v1.4.30","v1.4.30","v1.4.31","v1.4.31","v1.4.33","v1.4.33","v1.4.35","v1.4.35.2","v1.5","v1.5.1","v1.5.1"},MATCH(BB283,CHOOSE({1,2,3,4,5,6,7,8,9,10,11,12,13,14,15,16,17,18,19,20,21,22,23,24,25},D283,F283,H283,J283,L283,N283,P283,R283,T283,V283,X283,Z283,AB283,AD283,AF283,AH283,AJ283,AL283,AN283,AP283,AR283,AT283,AV283,AX283,AZ283),0)))</x:f>
      </x:c>
      <x:c r="BD283" s="14" t="n">
        <x:f>LET(m,MIN(IF(E283&gt;0,E283,1E+99),IF(G283&gt;0,G283,1E+99),IF(I283&gt;0,I283,1E+99),IF(K283&gt;0,K283,1E+99),IF(M283&gt;0,M283,1E+99),IF(O283&gt;0,O283,1E+99),IF(Q283&gt;0,Q283,1E+99),IF(S283&gt;0,S283,1E+99),IF(U283&gt;0,U283,1E+99),IF(W283&gt;0,W283,1E+99),IF(Y283&gt;0,Y283,1E+99),IF(AA283&gt;0,AA283,1E+99),IF(AC283&gt;0,AC283,1E+99),IF(AE283&gt;0,AE283,1E+99),IF(AG283&gt;0,AG283,1E+99),IF(AI283&gt;0,AI283,1E+99),IF(AK283&gt;0,AK283,1E+99),IF(AM283&gt;0,AM283,1E+99),IF(AO283&gt;0,AO283,1E+99),IF(AQ283&gt;0,AQ283,1E+99),IF(AS283&gt;0,AS283,1E+99),IF(AU283&gt;0,AU283,1E+99),IF(AW283&gt;0,AW283,1E+99),IF(AY283&gt;0,AY283,1E+99),IF(BA283&gt;0,BA283,1E+99)),IF(m=1E+99,"",m))</x:f>
        <x:v>186.767</x:v>
      </x:c>
      <x:c r="BE283" s="16" t="e">
        <x:f>IF(BD283="","",INDEX({"v1.4.20","v1.4.20","v1.4.21","v1.4.21","v1.4.23","v1.4.23","v1.4.26","v1.4.26","v1.4.26.1","v1.4.26.1","v1.4.27","v1.4.27","v1.4.29","v1.4.29","v1.4.30","v1.4.30","v1.4.31","v1.4.31","v1.4.33","v1.4.33","v1.4.35","v1.4.35.2","v1.5","v1.5.1","v1.5.1"},MATCH(BD283,CHOOSE({1,2,3,4,5,6,7,8,9,10,11,12,13,14,15,16,17,18,19,20,21,22,23,24,25},E283,G283,I283,K283,M283,O283,Q283,S283,U283,W283,Y283,AA283,AC283,AE283,AG283,AI283,AK283,AM283,AO283,AQ283,AS283,AU283,AW283,AY283,BA283),0)))</x:f>
      </x:c>
      <x:c r="BF283" s="10" t="n">
        <x:f>IFERROR((AX283-BB283)/BB283,"")</x:f>
        <x:v>-1</x:v>
      </x:c>
      <x:c r="BG283" s="10" t="n">
        <x:f>IFERROR((AY283-BD283)/BD283,"")</x:f>
        <x:v>-1</x:v>
      </x:c>
    </x:row>
    <x:row r="284">
      <x:c r="A284" t="str">
        <x:v>Master List Change Log</x:v>
      </x:c>
      <x:c r="B284" t="str">
        <x:v>Create / Refresh All Templates</x:v>
      </x:c>
      <x:c r="C284" t="str">
        <x:v>Resize rows: Template - Master List Change Log (1000 rows)</x:v>
      </x:c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8" t="n">
        <x:v>8.387</x:v>
      </x:c>
      <x:c r="U284" s="8" t="n">
        <x:v>186.616</x:v>
      </x:c>
      <x:c r="V284" s="8" t="n">
        <x:v>8.387</x:v>
      </x:c>
      <x:c r="W284" s="8" t="n">
        <x:v>186.616</x:v>
      </x:c>
      <x:c r="X284" s="8"/>
      <x:c r="Y284" s="8"/>
      <x:c r="Z284" s="8"/>
      <x:c r="AA284" s="8"/>
      <x:c r="AB284" s="8"/>
      <x:c r="AC284" s="8"/>
      <x:c r="AD284" s="8"/>
      <x:c r="AE284" s="8"/>
      <x:c r="AF284" s="8" t="n">
        <x:v>15.542</x:v>
      </x:c>
      <x:c r="AG284" s="8" t="n">
        <x:v>271.951</x:v>
      </x:c>
      <x:c r="AH284" s="8" t="n">
        <x:v>15.542</x:v>
      </x:c>
      <x:c r="AI284" s="8" t="n">
        <x:v>271.951</x:v>
      </x:c>
      <x:c r="AJ284" s="8" t="n">
        <x:v>17.029</x:v>
      </x:c>
      <x:c r="AK284" s="8" t="n">
        <x:v>223.912</x:v>
      </x:c>
      <x:c r="AL284" s="8" t="n">
        <x:v>17.029</x:v>
      </x:c>
      <x:c r="AM284" s="8" t="n">
        <x:v>223.912</x:v>
      </x:c>
      <x:c r="AN284" s="8" t="n">
        <x:v>9.831</x:v>
      </x:c>
      <x:c r="AO284" s="8" t="n">
        <x:v>186.785</x:v>
      </x:c>
      <x:c r="AP284" s="8" t="n">
        <x:v>9.831</x:v>
      </x:c>
      <x:c r="AQ284" s="8" t="n">
        <x:v>186.785</x:v>
      </x:c>
      <x:c r="AR284" s="8"/>
      <x:c r="AS284" s="8"/>
      <x:c r="AT284" s="8"/>
      <x:c r="AU284" s="8"/>
      <x:c r="AV284" s="8"/>
      <x:c r="AW284" s="8"/>
      <x:c r="AX284" s="8"/>
      <x:c r="AY284" s="8"/>
      <x:c r="AZ284" s="8"/>
      <x:c r="BA284" s="8"/>
      <x:c r="BB284" s="8" t="n">
        <x:f>LET(m,MIN(IF(D284&gt;0,D284,1E+99),IF(F284&gt;0,F284,1E+99),IF(H284&gt;0,H284,1E+99),IF(J284&gt;0,J284,1E+99),IF(L284&gt;0,L284,1E+99),IF(N284&gt;0,N284,1E+99),IF(P284&gt;0,P284,1E+99),IF(R284&gt;0,R284,1E+99),IF(T284&gt;0,T284,1E+99),IF(V284&gt;0,V284,1E+99),IF(X284&gt;0,X284,1E+99),IF(Z284&gt;0,Z284,1E+99),IF(AB284&gt;0,AB284,1E+99),IF(AD284&gt;0,AD284,1E+99),IF(AF284&gt;0,AF284,1E+99),IF(AH284&gt;0,AH284,1E+99),IF(AJ284&gt;0,AJ284,1E+99),IF(AL284&gt;0,AL284,1E+99),IF(AN284&gt;0,AN284,1E+99),IF(AP284&gt;0,AP284,1E+99),IF(AR284&gt;0,AR284,1E+99),IF(AT284&gt;0,AT284,1E+99),IF(AV284&gt;0,AV284,1E+99),IF(AX284&gt;0,AX284,1E+99),IF(AZ284&gt;0,AZ284,1E+99)),IF(m=1E+99,"",m))</x:f>
        <x:v>8.387</x:v>
      </x:c>
      <x:c r="BC284" s="12" t="e">
        <x:f>IF(BB284="","",INDEX({"v1.4.20","v1.4.20","v1.4.21","v1.4.21","v1.4.23","v1.4.23","v1.4.26","v1.4.26","v1.4.26.1","v1.4.26.1","v1.4.27","v1.4.27","v1.4.29","v1.4.29","v1.4.30","v1.4.30","v1.4.31","v1.4.31","v1.4.33","v1.4.33","v1.4.35","v1.4.35.2","v1.5","v1.5.1","v1.5.1"},MATCH(BB284,CHOOSE({1,2,3,4,5,6,7,8,9,10,11,12,13,14,15,16,17,18,19,20,21,22,23,24,25},D284,F284,H284,J284,L284,N284,P284,R284,T284,V284,X284,Z284,AB284,AD284,AF284,AH284,AJ284,AL284,AN284,AP284,AR284,AT284,AV284,AX284,AZ284),0)))</x:f>
      </x:c>
      <x:c r="BD284" s="14" t="n">
        <x:f>LET(m,MIN(IF(E284&gt;0,E284,1E+99),IF(G284&gt;0,G284,1E+99),IF(I284&gt;0,I284,1E+99),IF(K284&gt;0,K284,1E+99),IF(M284&gt;0,M284,1E+99),IF(O284&gt;0,O284,1E+99),IF(Q284&gt;0,Q284,1E+99),IF(S284&gt;0,S284,1E+99),IF(U284&gt;0,U284,1E+99),IF(W284&gt;0,W284,1E+99),IF(Y284&gt;0,Y284,1E+99),IF(AA284&gt;0,AA284,1E+99),IF(AC284&gt;0,AC284,1E+99),IF(AE284&gt;0,AE284,1E+99),IF(AG284&gt;0,AG284,1E+99),IF(AI284&gt;0,AI284,1E+99),IF(AK284&gt;0,AK284,1E+99),IF(AM284&gt;0,AM284,1E+99),IF(AO284&gt;0,AO284,1E+99),IF(AQ284&gt;0,AQ284,1E+99),IF(AS284&gt;0,AS284,1E+99),IF(AU284&gt;0,AU284,1E+99),IF(AW284&gt;0,AW284,1E+99),IF(AY284&gt;0,AY284,1E+99),IF(BA284&gt;0,BA284,1E+99)),IF(m=1E+99,"",m))</x:f>
        <x:v>186.616</x:v>
      </x:c>
      <x:c r="BE284" s="16" t="e">
        <x:f>IF(BD284="","",INDEX({"v1.4.20","v1.4.20","v1.4.21","v1.4.21","v1.4.23","v1.4.23","v1.4.26","v1.4.26","v1.4.26.1","v1.4.26.1","v1.4.27","v1.4.27","v1.4.29","v1.4.29","v1.4.30","v1.4.30","v1.4.31","v1.4.31","v1.4.33","v1.4.33","v1.4.35","v1.4.35.2","v1.5","v1.5.1","v1.5.1"},MATCH(BD284,CHOOSE({1,2,3,4,5,6,7,8,9,10,11,12,13,14,15,16,17,18,19,20,21,22,23,24,25},E284,G284,I284,K284,M284,O284,Q284,S284,U284,W284,Y284,AA284,AC284,AE284,AG284,AI284,AK284,AM284,AO284,AQ284,AS284,AU284,AW284,AY284,BA284),0)))</x:f>
      </x:c>
      <x:c r="BF284" s="10" t="n">
        <x:f>IFERROR((AX284-BB284)/BB284,"")</x:f>
        <x:v>-1</x:v>
      </x:c>
      <x:c r="BG284" s="10" t="n">
        <x:f>IFERROR((AY284-BD284)/BD284,"")</x:f>
        <x:v>-1</x:v>
      </x:c>
    </x:row>
    <x:row r="285">
      <x:c r="A285" t="str"/>
      <x:c r="B285" t="str">
        <x:v>Validate Templates</x:v>
      </x:c>
      <x:c r="C285" t="str">
        <x:v>Start</x:v>
      </x:c>
      <x:c r="D285" s="8" t="n">
        <x:v>0</x:v>
      </x:c>
      <x:c r="E285" s="8" t="n">
        <x:v>0</x:v>
      </x:c>
      <x:c r="F285" s="8"/>
      <x:c r="G285" s="8"/>
      <x:c r="H285" s="8" t="n">
        <x:v>0</x:v>
      </x:c>
      <x:c r="I285" s="8" t="n">
        <x:v>0</x:v>
      </x:c>
      <x:c r="J285" s="8" t="n">
        <x:v>0</x:v>
      </x:c>
      <x:c r="K285" s="8" t="n">
        <x:v>0</x:v>
      </x:c>
      <x:c r="L285" s="8" t="n">
        <x:v>0</x:v>
      </x:c>
      <x:c r="M285" s="8" t="n">
        <x:v>0</x:v>
      </x:c>
      <x:c r="N285" s="8" t="n">
        <x:v>0</x:v>
      </x:c>
      <x:c r="O285" s="8" t="n">
        <x:v>0</x:v>
      </x:c>
      <x:c r="P285" s="8" t="n">
        <x:v>0.001</x:v>
      </x:c>
      <x:c r="Q285" s="8" t="n">
        <x:v>0.001</x:v>
      </x:c>
      <x:c r="R285" s="8" t="n">
        <x:v>0.001</x:v>
      </x:c>
      <x:c r="S285" s="8" t="n">
        <x:v>0.001</x:v>
      </x:c>
      <x:c r="T285" s="8" t="n">
        <x:v>0</x:v>
      </x:c>
      <x:c r="U285" s="8" t="n">
        <x:v>0</x:v>
      </x:c>
      <x:c r="V285" s="8" t="n">
        <x:v>0</x:v>
      </x:c>
      <x:c r="W285" s="8" t="n">
        <x:v>0</x:v>
      </x:c>
      <x:c r="X285" s="8" t="n">
        <x:v>0</x:v>
      </x:c>
      <x:c r="Y285" s="8" t="n">
        <x:v>0</x:v>
      </x:c>
      <x:c r="Z285" s="8" t="n">
        <x:v>0</x:v>
      </x:c>
      <x:c r="AA285" s="8" t="n">
        <x:v>0</x:v>
      </x:c>
      <x:c r="AB285" s="8" t="n">
        <x:v>0</x:v>
      </x:c>
      <x:c r="AC285" s="8" t="n">
        <x:v>0</x:v>
      </x:c>
      <x:c r="AD285" s="8" t="n">
        <x:v>0</x:v>
      </x:c>
      <x:c r="AE285" s="8" t="n">
        <x:v>0</x:v>
      </x:c>
      <x:c r="AF285" s="8" t="n">
        <x:v>0</x:v>
      </x:c>
      <x:c r="AG285" s="8" t="n">
        <x:v>0</x:v>
      </x:c>
      <x:c r="AH285" s="8" t="n">
        <x:v>0</x:v>
      </x:c>
      <x:c r="AI285" s="8" t="n">
        <x:v>0</x:v>
      </x:c>
      <x:c r="AJ285" s="8"/>
      <x:c r="AK285" s="8"/>
      <x:c r="AL285" s="8" t="n">
        <x:v>0</x:v>
      </x:c>
      <x:c r="AM285" s="8" t="n">
        <x:v>0</x:v>
      </x:c>
      <x:c r="AN285" s="8" t="n">
        <x:v>0</x:v>
      </x:c>
      <x:c r="AO285" s="8" t="n">
        <x:v>0</x:v>
      </x:c>
      <x:c r="AP285" s="8" t="n">
        <x:v>0</x:v>
      </x:c>
      <x:c r="AQ285" s="8" t="n">
        <x:v>0</x:v>
      </x:c>
      <x:c r="AR285" s="8" t="n">
        <x:v>0</x:v>
      </x:c>
      <x:c r="AS285" s="8" t="n">
        <x:v>0</x:v>
      </x:c>
      <x:c r="AT285" s="8" t="n">
        <x:v>0</x:v>
      </x:c>
      <x:c r="AU285" s="8" t="n">
        <x:v>0</x:v>
      </x:c>
      <x:c r="AV285" s="8" t="n">
        <x:v>0</x:v>
      </x:c>
      <x:c r="AW285" s="8" t="n">
        <x:v>0</x:v>
      </x:c>
      <x:c r="AX285" s="8" t="n">
        <x:v>0</x:v>
      </x:c>
      <x:c r="AY285" s="8" t="n">
        <x:v>0</x:v>
      </x:c>
      <x:c r="AZ285" s="8" t="n">
        <x:v>0</x:v>
      </x:c>
      <x:c r="BA285" s="8" t="n">
        <x:v>0</x:v>
      </x:c>
      <x:c r="BB285" s="8" t="n">
        <x:f>LET(m,MIN(IF(D285&gt;0,D285,1E+99),IF(F285&gt;0,F285,1E+99),IF(H285&gt;0,H285,1E+99),IF(J285&gt;0,J285,1E+99),IF(L285&gt;0,L285,1E+99),IF(N285&gt;0,N285,1E+99),IF(P285&gt;0,P285,1E+99),IF(R285&gt;0,R285,1E+99),IF(T285&gt;0,T285,1E+99),IF(V285&gt;0,V285,1E+99),IF(X285&gt;0,X285,1E+99),IF(Z285&gt;0,Z285,1E+99),IF(AB285&gt;0,AB285,1E+99),IF(AD285&gt;0,AD285,1E+99),IF(AF285&gt;0,AF285,1E+99),IF(AH285&gt;0,AH285,1E+99),IF(AJ285&gt;0,AJ285,1E+99),IF(AL285&gt;0,AL285,1E+99),IF(AN285&gt;0,AN285,1E+99),IF(AP285&gt;0,AP285,1E+99),IF(AR285&gt;0,AR285,1E+99),IF(AT285&gt;0,AT285,1E+99),IF(AV285&gt;0,AV285,1E+99),IF(AX285&gt;0,AX285,1E+99),IF(AZ285&gt;0,AZ285,1E+99)),IF(m=1E+99,"",m))</x:f>
        <x:v>0.001</x:v>
      </x:c>
      <x:c r="BC285" s="12" t="e">
        <x:f>IF(BB285="","",INDEX({"v1.4.20","v1.4.20","v1.4.21","v1.4.21","v1.4.23","v1.4.23","v1.4.26","v1.4.26","v1.4.26.1","v1.4.26.1","v1.4.27","v1.4.27","v1.4.29","v1.4.29","v1.4.30","v1.4.30","v1.4.31","v1.4.31","v1.4.33","v1.4.33","v1.4.35","v1.4.35.2","v1.5","v1.5.1","v1.5.1"},MATCH(BB285,CHOOSE({1,2,3,4,5,6,7,8,9,10,11,12,13,14,15,16,17,18,19,20,21,22,23,24,25},D285,F285,H285,J285,L285,N285,P285,R285,T285,V285,X285,Z285,AB285,AD285,AF285,AH285,AJ285,AL285,AN285,AP285,AR285,AT285,AV285,AX285,AZ285),0)))</x:f>
      </x:c>
      <x:c r="BD285" s="14" t="n">
        <x:f>LET(m,MIN(IF(E285&gt;0,E285,1E+99),IF(G285&gt;0,G285,1E+99),IF(I285&gt;0,I285,1E+99),IF(K285&gt;0,K285,1E+99),IF(M285&gt;0,M285,1E+99),IF(O285&gt;0,O285,1E+99),IF(Q285&gt;0,Q285,1E+99),IF(S285&gt;0,S285,1E+99),IF(U285&gt;0,U285,1E+99),IF(W285&gt;0,W285,1E+99),IF(Y285&gt;0,Y285,1E+99),IF(AA285&gt;0,AA285,1E+99),IF(AC285&gt;0,AC285,1E+99),IF(AE285&gt;0,AE285,1E+99),IF(AG285&gt;0,AG285,1E+99),IF(AI285&gt;0,AI285,1E+99),IF(AK285&gt;0,AK285,1E+99),IF(AM285&gt;0,AM285,1E+99),IF(AO285&gt;0,AO285,1E+99),IF(AQ285&gt;0,AQ285,1E+99),IF(AS285&gt;0,AS285,1E+99),IF(AU285&gt;0,AU285,1E+99),IF(AW285&gt;0,AW285,1E+99),IF(AY285&gt;0,AY285,1E+99),IF(BA285&gt;0,BA285,1E+99)),IF(m=1E+99,"",m))</x:f>
        <x:v>0.001</x:v>
      </x:c>
      <x:c r="BE285" s="16" t="e">
        <x:f>IF(BD285="","",INDEX({"v1.4.20","v1.4.20","v1.4.21","v1.4.21","v1.4.23","v1.4.23","v1.4.26","v1.4.26","v1.4.26.1","v1.4.26.1","v1.4.27","v1.4.27","v1.4.29","v1.4.29","v1.4.30","v1.4.30","v1.4.31","v1.4.31","v1.4.33","v1.4.33","v1.4.35","v1.4.35.2","v1.5","v1.5.1","v1.5.1"},MATCH(BD285,CHOOSE({1,2,3,4,5,6,7,8,9,10,11,12,13,14,15,16,17,18,19,20,21,22,23,24,25},E285,G285,I285,K285,M285,O285,Q285,S285,U285,W285,Y285,AA285,AC285,AE285,AG285,AI285,AK285,AM285,AO285,AQ285,AS285,AU285,AW285,AY285,BA285),0)))</x:f>
      </x:c>
      <x:c r="BF285" s="10" t="n">
        <x:f>IFERROR((AX285-BB285)/BB285,"")</x:f>
        <x:v>-1</x:v>
      </x:c>
      <x:c r="BG285" s="10" t="n">
        <x:f>IFERROR((AY285-BD285)/BD285,"")</x:f>
        <x:v>-1</x:v>
      </x:c>
    </x:row>
    <x:row r="286">
      <x:c r="A286" t="str"/>
      <x:c r="B286" t="str">
        <x:v>Validate Templates</x:v>
      </x:c>
      <x:c r="C286" t="str">
        <x:v>Dashboard loaded</x:v>
      </x:c>
      <x:c r="D286" s="8" t="n">
        <x:v>6.597</x:v>
      </x:c>
      <x:c r="E286" s="8" t="n">
        <x:v>6.597</x:v>
      </x:c>
      <x:c r="F286" s="8"/>
      <x:c r="G286" s="8"/>
      <x:c r="H286" s="8" t="n">
        <x:v>5.504</x:v>
      </x:c>
      <x:c r="I286" s="8" t="n">
        <x:v>5.504</x:v>
      </x:c>
      <x:c r="J286" s="8" t="n">
        <x:v>5.504</x:v>
      </x:c>
      <x:c r="K286" s="8" t="n">
        <x:v>5.504</x:v>
      </x:c>
      <x:c r="L286" s="8" t="n">
        <x:v>6.392</x:v>
      </x:c>
      <x:c r="M286" s="8" t="n">
        <x:v>6.392</x:v>
      </x:c>
      <x:c r="N286" s="8" t="n">
        <x:v>6.392</x:v>
      </x:c>
      <x:c r="O286" s="8" t="n">
        <x:v>6.392</x:v>
      </x:c>
      <x:c r="P286" s="8" t="n">
        <x:v>5.382</x:v>
      </x:c>
      <x:c r="Q286" s="8" t="n">
        <x:v>5.383</x:v>
      </x:c>
      <x:c r="R286" s="8" t="n">
        <x:v>5.382</x:v>
      </x:c>
      <x:c r="S286" s="8" t="n">
        <x:v>5.383</x:v>
      </x:c>
      <x:c r="T286" s="8" t="n">
        <x:v>5.449</x:v>
      </x:c>
      <x:c r="U286" s="8" t="n">
        <x:v>5.449</x:v>
      </x:c>
      <x:c r="V286" s="8" t="n">
        <x:v>5.449</x:v>
      </x:c>
      <x:c r="W286" s="8" t="n">
        <x:v>5.449</x:v>
      </x:c>
      <x:c r="X286" s="8" t="n">
        <x:v>5.92</x:v>
      </x:c>
      <x:c r="Y286" s="8" t="n">
        <x:v>5.92</x:v>
      </x:c>
      <x:c r="Z286" s="8" t="n">
        <x:v>5.92</x:v>
      </x:c>
      <x:c r="AA286" s="8" t="n">
        <x:v>5.92</x:v>
      </x:c>
      <x:c r="AB286" s="8" t="n">
        <x:v>6.253</x:v>
      </x:c>
      <x:c r="AC286" s="8" t="n">
        <x:v>6.253</x:v>
      </x:c>
      <x:c r="AD286" s="8" t="n">
        <x:v>6.253</x:v>
      </x:c>
      <x:c r="AE286" s="8" t="n">
        <x:v>6.253</x:v>
      </x:c>
      <x:c r="AF286" s="8" t="n">
        <x:v>5.346</x:v>
      </x:c>
      <x:c r="AG286" s="8" t="n">
        <x:v>5.346</x:v>
      </x:c>
      <x:c r="AH286" s="8" t="n">
        <x:v>5.346</x:v>
      </x:c>
      <x:c r="AI286" s="8" t="n">
        <x:v>5.346</x:v>
      </x:c>
      <x:c r="AJ286" s="8"/>
      <x:c r="AK286" s="8"/>
      <x:c r="AL286" s="8" t="n">
        <x:v>5.871</x:v>
      </x:c>
      <x:c r="AM286" s="8" t="n">
        <x:v>5.871</x:v>
      </x:c>
      <x:c r="AN286" s="8" t="n">
        <x:v>6.292</x:v>
      </x:c>
      <x:c r="AO286" s="8" t="n">
        <x:v>6.292</x:v>
      </x:c>
      <x:c r="AP286" s="8" t="n">
        <x:v>6.292</x:v>
      </x:c>
      <x:c r="AQ286" s="8" t="n">
        <x:v>6.292</x:v>
      </x:c>
      <x:c r="AR286" s="8" t="n">
        <x:v>5.433</x:v>
      </x:c>
      <x:c r="AS286" s="8" t="n">
        <x:v>5.433</x:v>
      </x:c>
      <x:c r="AT286" s="8" t="n">
        <x:v>4.668</x:v>
      </x:c>
      <x:c r="AU286" s="8" t="n">
        <x:v>4.668</x:v>
      </x:c>
      <x:c r="AV286" s="8" t="n">
        <x:v>7.078</x:v>
      </x:c>
      <x:c r="AW286" s="8" t="n">
        <x:v>7.078</x:v>
      </x:c>
      <x:c r="AX286" s="8" t="n">
        <x:v>6.342</x:v>
      </x:c>
      <x:c r="AY286" s="8" t="n">
        <x:v>6.342</x:v>
      </x:c>
      <x:c r="AZ286" s="8" t="n">
        <x:v>6.342</x:v>
      </x:c>
      <x:c r="BA286" s="8" t="n">
        <x:v>6.342</x:v>
      </x:c>
      <x:c r="BB286" s="8" t="n">
        <x:f>LET(m,MIN(IF(D286&gt;0,D286,1E+99),IF(F286&gt;0,F286,1E+99),IF(H286&gt;0,H286,1E+99),IF(J286&gt;0,J286,1E+99),IF(L286&gt;0,L286,1E+99),IF(N286&gt;0,N286,1E+99),IF(P286&gt;0,P286,1E+99),IF(R286&gt;0,R286,1E+99),IF(T286&gt;0,T286,1E+99),IF(V286&gt;0,V286,1E+99),IF(X286&gt;0,X286,1E+99),IF(Z286&gt;0,Z286,1E+99),IF(AB286&gt;0,AB286,1E+99),IF(AD286&gt;0,AD286,1E+99),IF(AF286&gt;0,AF286,1E+99),IF(AH286&gt;0,AH286,1E+99),IF(AJ286&gt;0,AJ286,1E+99),IF(AL286&gt;0,AL286,1E+99),IF(AN286&gt;0,AN286,1E+99),IF(AP286&gt;0,AP286,1E+99),IF(AR286&gt;0,AR286,1E+99),IF(AT286&gt;0,AT286,1E+99),IF(AV286&gt;0,AV286,1E+99),IF(AX286&gt;0,AX286,1E+99),IF(AZ286&gt;0,AZ286,1E+99)),IF(m=1E+99,"",m))</x:f>
        <x:v>4.668</x:v>
      </x:c>
      <x:c r="BC286" s="12" t="e">
        <x:f>IF(BB286="","",INDEX({"v1.4.20","v1.4.20","v1.4.21","v1.4.21","v1.4.23","v1.4.23","v1.4.26","v1.4.26","v1.4.26.1","v1.4.26.1","v1.4.27","v1.4.27","v1.4.29","v1.4.29","v1.4.30","v1.4.30","v1.4.31","v1.4.31","v1.4.33","v1.4.33","v1.4.35","v1.4.35.2","v1.5","v1.5.1","v1.5.1"},MATCH(BB286,CHOOSE({1,2,3,4,5,6,7,8,9,10,11,12,13,14,15,16,17,18,19,20,21,22,23,24,25},D286,F286,H286,J286,L286,N286,P286,R286,T286,V286,X286,Z286,AB286,AD286,AF286,AH286,AJ286,AL286,AN286,AP286,AR286,AT286,AV286,AX286,AZ286),0)))</x:f>
      </x:c>
      <x:c r="BD286" s="14" t="n">
        <x:f>LET(m,MIN(IF(E286&gt;0,E286,1E+99),IF(G286&gt;0,G286,1E+99),IF(I286&gt;0,I286,1E+99),IF(K286&gt;0,K286,1E+99),IF(M286&gt;0,M286,1E+99),IF(O286&gt;0,O286,1E+99),IF(Q286&gt;0,Q286,1E+99),IF(S286&gt;0,S286,1E+99),IF(U286&gt;0,U286,1E+99),IF(W286&gt;0,W286,1E+99),IF(Y286&gt;0,Y286,1E+99),IF(AA286&gt;0,AA286,1E+99),IF(AC286&gt;0,AC286,1E+99),IF(AE286&gt;0,AE286,1E+99),IF(AG286&gt;0,AG286,1E+99),IF(AI286&gt;0,AI286,1E+99),IF(AK286&gt;0,AK286,1E+99),IF(AM286&gt;0,AM286,1E+99),IF(AO286&gt;0,AO286,1E+99),IF(AQ286&gt;0,AQ286,1E+99),IF(AS286&gt;0,AS286,1E+99),IF(AU286&gt;0,AU286,1E+99),IF(AW286&gt;0,AW286,1E+99),IF(AY286&gt;0,AY286,1E+99),IF(BA286&gt;0,BA286,1E+99)),IF(m=1E+99,"",m))</x:f>
        <x:v>4.668</x:v>
      </x:c>
      <x:c r="BE286" s="16" t="e">
        <x:f>IF(BD286="","",INDEX({"v1.4.20","v1.4.20","v1.4.21","v1.4.21","v1.4.23","v1.4.23","v1.4.26","v1.4.26","v1.4.26.1","v1.4.26.1","v1.4.27","v1.4.27","v1.4.29","v1.4.29","v1.4.30","v1.4.30","v1.4.31","v1.4.31","v1.4.33","v1.4.33","v1.4.35","v1.4.35.2","v1.5","v1.5.1","v1.5.1"},MATCH(BD286,CHOOSE({1,2,3,4,5,6,7,8,9,10,11,12,13,14,15,16,17,18,19,20,21,22,23,24,25},E286,G286,I286,K286,M286,O286,Q286,S286,U286,W286,Y286,AA286,AC286,AE286,AG286,AI286,AK286,AM286,AO286,AQ286,AS286,AU286,AW286,AY286,BA286),0)))</x:f>
      </x:c>
      <x:c r="BF286" s="10" t="n">
        <x:f>IFERROR((AX286-BB286)/BB286,"")</x:f>
        <x:v>0.35861182519280194</x:v>
      </x:c>
      <x:c r="BG286" s="10" t="n">
        <x:f>IFERROR((AY286-BD286)/BD286,"")</x:f>
        <x:v>0.35861182519280194</x:v>
      </x:c>
    </x:row>
    <x:row r="287">
      <x:c r="A287" t="str"/>
      <x:c r="B287" t="str">
        <x:v>Validate Templates</x:v>
      </x:c>
      <x:c r="C287" t="str">
        <x:v>Dashboard Quality Section A saved</x:v>
      </x:c>
      <x:c r="D287" s="8"/>
      <x:c r="E287" s="8"/>
      <x:c r="F287" s="8"/>
      <x:c r="G287" s="8"/>
      <x:c r="H287" s="8"/>
      <x:c r="I287" s="8"/>
      <x:c r="J287" s="8"/>
      <x:c r="K287" s="8"/>
      <x:c r="L287" s="8" t="n">
        <x:v>32.708</x:v>
      </x:c>
      <x:c r="M287" s="8" t="n">
        <x:v>41.198</x:v>
      </x:c>
      <x:c r="N287" s="8" t="n">
        <x:v>32.708</x:v>
      </x:c>
      <x:c r="O287" s="8" t="n">
        <x:v>41.198</x:v>
      </x:c>
      <x:c r="P287" s="8" t="n">
        <x:v>18.753</x:v>
      </x:c>
      <x:c r="Q287" s="8" t="n">
        <x:v>25.864</x:v>
      </x:c>
      <x:c r="R287" s="8" t="n">
        <x:v>18.753</x:v>
      </x:c>
      <x:c r="S287" s="8" t="n">
        <x:v>25.864</x:v>
      </x:c>
      <x:c r="T287" s="8" t="n">
        <x:v>29.793</x:v>
      </x:c>
      <x:c r="U287" s="8" t="n">
        <x:v>38.076</x:v>
      </x:c>
      <x:c r="V287" s="8" t="n">
        <x:v>29.793</x:v>
      </x:c>
      <x:c r="W287" s="8" t="n">
        <x:v>38.076</x:v>
      </x:c>
      <x:c r="X287" s="8" t="n">
        <x:v>7.03</x:v>
      </x:c>
      <x:c r="Y287" s="8" t="n">
        <x:v>14.374</x:v>
      </x:c>
      <x:c r="Z287" s="8" t="n">
        <x:v>7.03</x:v>
      </x:c>
      <x:c r="AA287" s="8" t="n">
        <x:v>14.374</x:v>
      </x:c>
      <x:c r="AB287" s="8" t="n">
        <x:v>37.777</x:v>
      </x:c>
      <x:c r="AC287" s="8" t="n">
        <x:v>46.639</x:v>
      </x:c>
      <x:c r="AD287" s="8" t="n">
        <x:v>37.777</x:v>
      </x:c>
      <x:c r="AE287" s="8" t="n">
        <x:v>46.639</x:v>
      </x:c>
      <x:c r="AF287" s="8" t="n">
        <x:v>8.969</x:v>
      </x:c>
      <x:c r="AG287" s="8" t="n">
        <x:v>16.82</x:v>
      </x:c>
      <x:c r="AH287" s="8" t="n">
        <x:v>8.969</x:v>
      </x:c>
      <x:c r="AI287" s="8" t="n">
        <x:v>16.82</x:v>
      </x:c>
      <x:c r="AJ287" s="8"/>
      <x:c r="AK287" s="8"/>
      <x:c r="AL287" s="8" t="n">
        <x:v>36.273</x:v>
      </x:c>
      <x:c r="AM287" s="8" t="n">
        <x:v>44.898</x:v>
      </x:c>
      <x:c r="AN287" s="8" t="n">
        <x:v>33.189</x:v>
      </x:c>
      <x:c r="AO287" s="8" t="n">
        <x:v>42.326</x:v>
      </x:c>
      <x:c r="AP287" s="8" t="n">
        <x:v>33.189</x:v>
      </x:c>
      <x:c r="AQ287" s="8" t="n">
        <x:v>42.326</x:v>
      </x:c>
      <x:c r="AR287" s="8" t="n">
        <x:v>41.716</x:v>
      </x:c>
      <x:c r="AS287" s="8" t="n">
        <x:v>50.628</x:v>
      </x:c>
      <x:c r="AT287" s="8" t="n">
        <x:v>26.359</x:v>
      </x:c>
      <x:c r="AU287" s="8" t="n">
        <x:v>32.839</x:v>
      </x:c>
      <x:c r="AV287" s="8" t="n">
        <x:v>43.949</x:v>
      </x:c>
      <x:c r="AW287" s="8" t="n">
        <x:v>57.533</x:v>
      </x:c>
      <x:c r="AX287" s="8" t="n">
        <x:v>36.7</x:v>
      </x:c>
      <x:c r="AY287" s="8" t="n">
        <x:v>50.559</x:v>
      </x:c>
      <x:c r="AZ287" s="8" t="n">
        <x:v>36.7</x:v>
      </x:c>
      <x:c r="BA287" s="8" t="n">
        <x:v>50.559</x:v>
      </x:c>
      <x:c r="BB287" s="8" t="n">
        <x:f>LET(m,MIN(IF(D287&gt;0,D287,1E+99),IF(F287&gt;0,F287,1E+99),IF(H287&gt;0,H287,1E+99),IF(J287&gt;0,J287,1E+99),IF(L287&gt;0,L287,1E+99),IF(N287&gt;0,N287,1E+99),IF(P287&gt;0,P287,1E+99),IF(R287&gt;0,R287,1E+99),IF(T287&gt;0,T287,1E+99),IF(V287&gt;0,V287,1E+99),IF(X287&gt;0,X287,1E+99),IF(Z287&gt;0,Z287,1E+99),IF(AB287&gt;0,AB287,1E+99),IF(AD287&gt;0,AD287,1E+99),IF(AF287&gt;0,AF287,1E+99),IF(AH287&gt;0,AH287,1E+99),IF(AJ287&gt;0,AJ287,1E+99),IF(AL287&gt;0,AL287,1E+99),IF(AN287&gt;0,AN287,1E+99),IF(AP287&gt;0,AP287,1E+99),IF(AR287&gt;0,AR287,1E+99),IF(AT287&gt;0,AT287,1E+99),IF(AV287&gt;0,AV287,1E+99),IF(AX287&gt;0,AX287,1E+99),IF(AZ287&gt;0,AZ287,1E+99)),IF(m=1E+99,"",m))</x:f>
        <x:v>7.03</x:v>
      </x:c>
      <x:c r="BC287" s="12" t="e">
        <x:f>IF(BB287="","",INDEX({"v1.4.20","v1.4.20","v1.4.21","v1.4.21","v1.4.23","v1.4.23","v1.4.26","v1.4.26","v1.4.26.1","v1.4.26.1","v1.4.27","v1.4.27","v1.4.29","v1.4.29","v1.4.30","v1.4.30","v1.4.31","v1.4.31","v1.4.33","v1.4.33","v1.4.35","v1.4.35.2","v1.5","v1.5.1","v1.5.1"},MATCH(BB287,CHOOSE({1,2,3,4,5,6,7,8,9,10,11,12,13,14,15,16,17,18,19,20,21,22,23,24,25},D287,F287,H287,J287,L287,N287,P287,R287,T287,V287,X287,Z287,AB287,AD287,AF287,AH287,AJ287,AL287,AN287,AP287,AR287,AT287,AV287,AX287,AZ287),0)))</x:f>
      </x:c>
      <x:c r="BD287" s="14" t="n">
        <x:f>LET(m,MIN(IF(E287&gt;0,E287,1E+99),IF(G287&gt;0,G287,1E+99),IF(I287&gt;0,I287,1E+99),IF(K287&gt;0,K287,1E+99),IF(M287&gt;0,M287,1E+99),IF(O287&gt;0,O287,1E+99),IF(Q287&gt;0,Q287,1E+99),IF(S287&gt;0,S287,1E+99),IF(U287&gt;0,U287,1E+99),IF(W287&gt;0,W287,1E+99),IF(Y287&gt;0,Y287,1E+99),IF(AA287&gt;0,AA287,1E+99),IF(AC287&gt;0,AC287,1E+99),IF(AE287&gt;0,AE287,1E+99),IF(AG287&gt;0,AG287,1E+99),IF(AI287&gt;0,AI287,1E+99),IF(AK287&gt;0,AK287,1E+99),IF(AM287&gt;0,AM287,1E+99),IF(AO287&gt;0,AO287,1E+99),IF(AQ287&gt;0,AQ287,1E+99),IF(AS287&gt;0,AS287,1E+99),IF(AU287&gt;0,AU287,1E+99),IF(AW287&gt;0,AW287,1E+99),IF(AY287&gt;0,AY287,1E+99),IF(BA287&gt;0,BA287,1E+99)),IF(m=1E+99,"",m))</x:f>
        <x:v>14.374</x:v>
      </x:c>
      <x:c r="BE287" s="16" t="e">
        <x:f>IF(BD287="","",INDEX({"v1.4.20","v1.4.20","v1.4.21","v1.4.21","v1.4.23","v1.4.23","v1.4.26","v1.4.26","v1.4.26.1","v1.4.26.1","v1.4.27","v1.4.27","v1.4.29","v1.4.29","v1.4.30","v1.4.30","v1.4.31","v1.4.31","v1.4.33","v1.4.33","v1.4.35","v1.4.35.2","v1.5","v1.5.1","v1.5.1"},MATCH(BD287,CHOOSE({1,2,3,4,5,6,7,8,9,10,11,12,13,14,15,16,17,18,19,20,21,22,23,24,25},E287,G287,I287,K287,M287,O287,Q287,S287,U287,W287,Y287,AA287,AC287,AE287,AG287,AI287,AK287,AM287,AO287,AQ287,AS287,AU287,AW287,AY287,BA287),0)))</x:f>
      </x:c>
      <x:c r="BF287" s="10" t="n">
        <x:f>IFERROR((AX287-BB287)/BB287,"")</x:f>
        <x:v>4.220483641536274</x:v>
      </x:c>
      <x:c r="BG287" s="10" t="n">
        <x:f>IFERROR((AY287-BD287)/BD287,"")</x:f>
        <x:v>2.517392514261861</x:v>
      </x:c>
    </x:row>
    <x:row r="288">
      <x:c r="A288" t="str"/>
      <x:c r="B288" t="str">
        <x:v>Validate Templates</x:v>
      </x:c>
      <x:c r="C288" t="str">
        <x:v>Complete</x:v>
      </x:c>
      <x:c r="D288" s="8" t="n">
        <x:v>0</x:v>
      </x:c>
      <x:c r="E288" s="8" t="n">
        <x:v>8.899</x:v>
      </x:c>
      <x:c r="F288" s="8"/>
      <x:c r="G288" s="8"/>
      <x:c r="H288" s="8" t="n">
        <x:v>0</x:v>
      </x:c>
      <x:c r="I288" s="8" t="n">
        <x:v>8.43</x:v>
      </x:c>
      <x:c r="J288" s="8" t="n">
        <x:v>0</x:v>
      </x:c>
      <x:c r="K288" s="8" t="n">
        <x:v>8.43</x:v>
      </x:c>
      <x:c r="L288" s="8" t="n">
        <x:v>0</x:v>
      </x:c>
      <x:c r="M288" s="8" t="n">
        <x:v>41.198</x:v>
      </x:c>
      <x:c r="N288" s="8" t="n">
        <x:v>0</x:v>
      </x:c>
      <x:c r="O288" s="8" t="n">
        <x:v>41.198</x:v>
      </x:c>
      <x:c r="P288" s="8" t="n">
        <x:v>0</x:v>
      </x:c>
      <x:c r="Q288" s="8" t="n">
        <x:v>25.864</x:v>
      </x:c>
      <x:c r="R288" s="8" t="n">
        <x:v>0</x:v>
      </x:c>
      <x:c r="S288" s="8" t="n">
        <x:v>25.864</x:v>
      </x:c>
      <x:c r="T288" s="8" t="n">
        <x:v>0</x:v>
      </x:c>
      <x:c r="U288" s="8" t="n">
        <x:v>38.076</x:v>
      </x:c>
      <x:c r="V288" s="8" t="n">
        <x:v>0</x:v>
      </x:c>
      <x:c r="W288" s="8" t="n">
        <x:v>38.076</x:v>
      </x:c>
      <x:c r="X288" s="8" t="n">
        <x:v>0</x:v>
      </x:c>
      <x:c r="Y288" s="8" t="n">
        <x:v>14.374</x:v>
      </x:c>
      <x:c r="Z288" s="8" t="n">
        <x:v>0</x:v>
      </x:c>
      <x:c r="AA288" s="8" t="n">
        <x:v>14.374</x:v>
      </x:c>
      <x:c r="AB288" s="8" t="n">
        <x:v>0.001</x:v>
      </x:c>
      <x:c r="AC288" s="8" t="n">
        <x:v>46.64</x:v>
      </x:c>
      <x:c r="AD288" s="8" t="n">
        <x:v>0.001</x:v>
      </x:c>
      <x:c r="AE288" s="8" t="n">
        <x:v>46.64</x:v>
      </x:c>
      <x:c r="AF288" s="8" t="n">
        <x:v>0</x:v>
      </x:c>
      <x:c r="AG288" s="8" t="n">
        <x:v>16.82</x:v>
      </x:c>
      <x:c r="AH288" s="8" t="n">
        <x:v>0</x:v>
      </x:c>
      <x:c r="AI288" s="8" t="n">
        <x:v>16.82</x:v>
      </x:c>
      <x:c r="AJ288" s="8"/>
      <x:c r="AK288" s="8"/>
      <x:c r="AL288" s="8" t="n">
        <x:v>0</x:v>
      </x:c>
      <x:c r="AM288" s="8" t="n">
        <x:v>44.898</x:v>
      </x:c>
      <x:c r="AN288" s="8" t="n">
        <x:v>0</x:v>
      </x:c>
      <x:c r="AO288" s="8" t="n">
        <x:v>42.326</x:v>
      </x:c>
      <x:c r="AP288" s="8" t="n">
        <x:v>0</x:v>
      </x:c>
      <x:c r="AQ288" s="8" t="n">
        <x:v>42.326</x:v>
      </x:c>
      <x:c r="AR288" s="8" t="n">
        <x:v>0</x:v>
      </x:c>
      <x:c r="AS288" s="8" t="n">
        <x:v>50.628</x:v>
      </x:c>
      <x:c r="AT288" s="8" t="n">
        <x:v>0</x:v>
      </x:c>
      <x:c r="AU288" s="8" t="n">
        <x:v>32.839</x:v>
      </x:c>
      <x:c r="AV288" s="8" t="n">
        <x:v>0</x:v>
      </x:c>
      <x:c r="AW288" s="8" t="n">
        <x:v>57.533</x:v>
      </x:c>
      <x:c r="AX288" s="8" t="n">
        <x:v>0</x:v>
      </x:c>
      <x:c r="AY288" s="8" t="n">
        <x:v>50.559</x:v>
      </x:c>
      <x:c r="AZ288" s="8" t="n">
        <x:v>0</x:v>
      </x:c>
      <x:c r="BA288" s="8" t="n">
        <x:v>50.559</x:v>
      </x:c>
      <x:c r="BB288" s="8" t="n">
        <x:f>LET(m,MIN(IF(D288&gt;0,D288,1E+99),IF(F288&gt;0,F288,1E+99),IF(H288&gt;0,H288,1E+99),IF(J288&gt;0,J288,1E+99),IF(L288&gt;0,L288,1E+99),IF(N288&gt;0,N288,1E+99),IF(P288&gt;0,P288,1E+99),IF(R288&gt;0,R288,1E+99),IF(T288&gt;0,T288,1E+99),IF(V288&gt;0,V288,1E+99),IF(X288&gt;0,X288,1E+99),IF(Z288&gt;0,Z288,1E+99),IF(AB288&gt;0,AB288,1E+99),IF(AD288&gt;0,AD288,1E+99),IF(AF288&gt;0,AF288,1E+99),IF(AH288&gt;0,AH288,1E+99),IF(AJ288&gt;0,AJ288,1E+99),IF(AL288&gt;0,AL288,1E+99),IF(AN288&gt;0,AN288,1E+99),IF(AP288&gt;0,AP288,1E+99),IF(AR288&gt;0,AR288,1E+99),IF(AT288&gt;0,AT288,1E+99),IF(AV288&gt;0,AV288,1E+99),IF(AX288&gt;0,AX288,1E+99),IF(AZ288&gt;0,AZ288,1E+99)),IF(m=1E+99,"",m))</x:f>
        <x:v>0.001</x:v>
      </x:c>
      <x:c r="BC288" s="12" t="e">
        <x:f>IF(BB288="","",INDEX({"v1.4.20","v1.4.20","v1.4.21","v1.4.21","v1.4.23","v1.4.23","v1.4.26","v1.4.26","v1.4.26.1","v1.4.26.1","v1.4.27","v1.4.27","v1.4.29","v1.4.29","v1.4.30","v1.4.30","v1.4.31","v1.4.31","v1.4.33","v1.4.33","v1.4.35","v1.4.35.2","v1.5","v1.5.1","v1.5.1"},MATCH(BB288,CHOOSE({1,2,3,4,5,6,7,8,9,10,11,12,13,14,15,16,17,18,19,20,21,22,23,24,25},D288,F288,H288,J288,L288,N288,P288,R288,T288,V288,X288,Z288,AB288,AD288,AF288,AH288,AJ288,AL288,AN288,AP288,AR288,AT288,AV288,AX288,AZ288),0)))</x:f>
      </x:c>
      <x:c r="BD288" s="14" t="n">
        <x:f>LET(m,MIN(IF(E288&gt;0,E288,1E+99),IF(G288&gt;0,G288,1E+99),IF(I288&gt;0,I288,1E+99),IF(K288&gt;0,K288,1E+99),IF(M288&gt;0,M288,1E+99),IF(O288&gt;0,O288,1E+99),IF(Q288&gt;0,Q288,1E+99),IF(S288&gt;0,S288,1E+99),IF(U288&gt;0,U288,1E+99),IF(W288&gt;0,W288,1E+99),IF(Y288&gt;0,Y288,1E+99),IF(AA288&gt;0,AA288,1E+99),IF(AC288&gt;0,AC288,1E+99),IF(AE288&gt;0,AE288,1E+99),IF(AG288&gt;0,AG288,1E+99),IF(AI288&gt;0,AI288,1E+99),IF(AK288&gt;0,AK288,1E+99),IF(AM288&gt;0,AM288,1E+99),IF(AO288&gt;0,AO288,1E+99),IF(AQ288&gt;0,AQ288,1E+99),IF(AS288&gt;0,AS288,1E+99),IF(AU288&gt;0,AU288,1E+99),IF(AW288&gt;0,AW288,1E+99),IF(AY288&gt;0,AY288,1E+99),IF(BA288&gt;0,BA288,1E+99)),IF(m=1E+99,"",m))</x:f>
        <x:v>8.43</x:v>
      </x:c>
      <x:c r="BE288" s="16" t="e">
        <x:f>IF(BD288="","",INDEX({"v1.4.20","v1.4.20","v1.4.21","v1.4.21","v1.4.23","v1.4.23","v1.4.26","v1.4.26","v1.4.26.1","v1.4.26.1","v1.4.27","v1.4.27","v1.4.29","v1.4.29","v1.4.30","v1.4.30","v1.4.31","v1.4.31","v1.4.33","v1.4.33","v1.4.35","v1.4.35.2","v1.5","v1.5.1","v1.5.1"},MATCH(BD288,CHOOSE({1,2,3,4,5,6,7,8,9,10,11,12,13,14,15,16,17,18,19,20,21,22,23,24,25},E288,G288,I288,K288,M288,O288,Q288,S288,U288,W288,Y288,AA288,AC288,AE288,AG288,AI288,AK288,AM288,AO288,AQ288,AS288,AU288,AW288,AY288,BA288),0)))</x:f>
      </x:c>
      <x:c r="BF288" s="10" t="n">
        <x:f>IFERROR((AX288-BB288)/BB288,"")</x:f>
        <x:v>-1</x:v>
      </x:c>
      <x:c r="BG288" s="10" t="n">
        <x:f>IFERROR((AY288-BD288)/BD288,"")</x:f>
        <x:v>4.997508896797153</x:v>
      </x:c>
    </x:row>
    <x:row r="289">
      <x:c r="A289" t="str"/>
      <x:c r="B289" t="str">
        <x:v>Validate Templates</x:v>
      </x:c>
      <x:c r="C289" t="str">
        <x:v>Dashboard Quality Section I saved</x:v>
      </x:c>
      <x:c r="D289" s="8" t="n">
        <x:v>0.162</x:v>
      </x:c>
      <x:c r="E289" s="8" t="n">
        <x:v>8.899</x:v>
      </x:c>
      <x:c r="F289" s="8"/>
      <x:c r="G289" s="8"/>
      <x:c r="H289" s="8" t="n">
        <x:v>0.39</x:v>
      </x:c>
      <x:c r="I289" s="8" t="n">
        <x:v>8.43</x:v>
      </x:c>
      <x:c r="J289" s="8" t="n">
        <x:v>0.39</x:v>
      </x:c>
      <x:c r="K289" s="8" t="n">
        <x:v>8.43</x:v>
      </x:c>
      <x:c r="L289" s="8"/>
      <x:c r="M289" s="8"/>
      <x:c r="N289" s="8"/>
      <x:c r="O289" s="8"/>
      <x:c r="P289" s="8"/>
      <x:c r="Q289" s="8"/>
      <x:c r="R289" s="8"/>
      <x:c r="S289" s="8"/>
      <x:c r="T289" s="8"/>
      <x:c r="U289" s="8"/>
      <x:c r="V289" s="8"/>
      <x:c r="W289" s="8"/>
      <x:c r="X289" s="8"/>
      <x:c r="Y289" s="8"/>
      <x:c r="Z289" s="8"/>
      <x:c r="AA289" s="8"/>
      <x:c r="AB289" s="8"/>
      <x:c r="AC289" s="8"/>
      <x:c r="AD289" s="8"/>
      <x:c r="AE289" s="8"/>
      <x:c r="AF289" s="8"/>
      <x:c r="AG289" s="8"/>
      <x:c r="AH289" s="8"/>
      <x:c r="AI289" s="8"/>
      <x:c r="AJ289" s="8"/>
      <x:c r="AK289" s="8"/>
      <x:c r="AL289" s="8"/>
      <x:c r="AM289" s="8"/>
      <x:c r="AN289" s="8"/>
      <x:c r="AO289" s="8"/>
      <x:c r="AP289" s="8"/>
      <x:c r="AQ289" s="8"/>
      <x:c r="AR289" s="8"/>
      <x:c r="AS289" s="8"/>
      <x:c r="AT289" s="8"/>
      <x:c r="AU289" s="8"/>
      <x:c r="AV289" s="8"/>
      <x:c r="AW289" s="8"/>
      <x:c r="AX289" s="8"/>
      <x:c r="AY289" s="8"/>
      <x:c r="AZ289" s="8"/>
      <x:c r="BA289" s="8"/>
      <x:c r="BB289" s="8" t="n">
        <x:f>LET(m,MIN(IF(D289&gt;0,D289,1E+99),IF(F289&gt;0,F289,1E+99),IF(H289&gt;0,H289,1E+99),IF(J289&gt;0,J289,1E+99),IF(L289&gt;0,L289,1E+99),IF(N289&gt;0,N289,1E+99),IF(P289&gt;0,P289,1E+99),IF(R289&gt;0,R289,1E+99),IF(T289&gt;0,T289,1E+99),IF(V289&gt;0,V289,1E+99),IF(X289&gt;0,X289,1E+99),IF(Z289&gt;0,Z289,1E+99),IF(AB289&gt;0,AB289,1E+99),IF(AD289&gt;0,AD289,1E+99),IF(AF289&gt;0,AF289,1E+99),IF(AH289&gt;0,AH289,1E+99),IF(AJ289&gt;0,AJ289,1E+99),IF(AL289&gt;0,AL289,1E+99),IF(AN289&gt;0,AN289,1E+99),IF(AP289&gt;0,AP289,1E+99),IF(AR289&gt;0,AR289,1E+99),IF(AT289&gt;0,AT289,1E+99),IF(AV289&gt;0,AV289,1E+99),IF(AX289&gt;0,AX289,1E+99),IF(AZ289&gt;0,AZ289,1E+99)),IF(m=1E+99,"",m))</x:f>
        <x:v>0.162</x:v>
      </x:c>
      <x:c r="BC289" s="12" t="str">
        <x:f>IF(BB289="","",INDEX({"v1.4.20","v1.4.20","v1.4.21","v1.4.21","v1.4.23","v1.4.23","v1.4.26","v1.4.26","v1.4.26.1","v1.4.26.1","v1.4.27","v1.4.27","v1.4.29","v1.4.29","v1.4.30","v1.4.30","v1.4.31","v1.4.31","v1.4.33","v1.4.33","v1.4.35","v1.4.35.2","v1.5","v1.5.1","v1.5.1"},MATCH(BB289,CHOOSE({1,2,3,4,5,6,7,8,9,10,11,12,13,14,15,16,17,18,19,20,21,22,23,24,25},D289,F289,H289,J289,L289,N289,P289,R289,T289,V289,X289,Z289,AB289,AD289,AF289,AH289,AJ289,AL289,AN289,AP289,AR289,AT289,AV289,AX289,AZ289),0)))</x:f>
        <x:v>v1.4.20</x:v>
      </x:c>
      <x:c r="BD289" s="14" t="n">
        <x:f>LET(m,MIN(IF(E289&gt;0,E289,1E+99),IF(G289&gt;0,G289,1E+99),IF(I289&gt;0,I289,1E+99),IF(K289&gt;0,K289,1E+99),IF(M289&gt;0,M289,1E+99),IF(O289&gt;0,O289,1E+99),IF(Q289&gt;0,Q289,1E+99),IF(S289&gt;0,S289,1E+99),IF(U289&gt;0,U289,1E+99),IF(W289&gt;0,W289,1E+99),IF(Y289&gt;0,Y289,1E+99),IF(AA289&gt;0,AA289,1E+99),IF(AC289&gt;0,AC289,1E+99),IF(AE289&gt;0,AE289,1E+99),IF(AG289&gt;0,AG289,1E+99),IF(AI289&gt;0,AI289,1E+99),IF(AK289&gt;0,AK289,1E+99),IF(AM289&gt;0,AM289,1E+99),IF(AO289&gt;0,AO289,1E+99),IF(AQ289&gt;0,AQ289,1E+99),IF(AS289&gt;0,AS289,1E+99),IF(AU289&gt;0,AU289,1E+99),IF(AW289&gt;0,AW289,1E+99),IF(AY289&gt;0,AY289,1E+99),IF(BA289&gt;0,BA289,1E+99)),IF(m=1E+99,"",m))</x:f>
        <x:v>8.43</x:v>
      </x:c>
      <x:c r="BE289" s="16" t="e">
        <x:f>IF(BD289="","",INDEX({"v1.4.20","v1.4.20","v1.4.21","v1.4.21","v1.4.23","v1.4.23","v1.4.26","v1.4.26","v1.4.26.1","v1.4.26.1","v1.4.27","v1.4.27","v1.4.29","v1.4.29","v1.4.30","v1.4.30","v1.4.31","v1.4.31","v1.4.33","v1.4.33","v1.4.35","v1.4.35.2","v1.5","v1.5.1","v1.5.1"},MATCH(BD289,CHOOSE({1,2,3,4,5,6,7,8,9,10,11,12,13,14,15,16,17,18,19,20,21,22,23,24,25},E289,G289,I289,K289,M289,O289,Q289,S289,U289,W289,Y289,AA289,AC289,AE289,AG289,AI289,AK289,AM289,AO289,AQ289,AS289,AU289,AW289,AY289,BA289),0)))</x:f>
      </x:c>
      <x:c r="BF289" s="10" t="n">
        <x:f>IFERROR((AX289-BB289)/BB289,"")</x:f>
        <x:v>-1</x:v>
      </x:c>
      <x:c r="BG289" s="10" t="n">
        <x:f>IFERROR((AY289-BD289)/BD289,"")</x:f>
        <x:v>-1</x:v>
      </x:c>
    </x:row>
    <x:row r="290">
      <x:c r="A290" t="str">
        <x:v>Raw Data</x:v>
      </x:c>
      <x:c r="B290" t="str">
        <x:v>Validate Templates</x:v>
      </x:c>
      <x:c r="C290" t="str">
        <x:v>Quick validated: Template - Raw Data</x:v>
      </x:c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8"/>
      <x:c r="U290" s="8"/>
      <x:c r="V290" s="8"/>
      <x:c r="W290" s="8"/>
      <x:c r="X290" s="8"/>
      <x:c r="Y290" s="8"/>
      <x:c r="Z290" s="8"/>
      <x:c r="AA290" s="8"/>
      <x:c r="AB290" s="8"/>
      <x:c r="AC290" s="8"/>
      <x:c r="AD290" s="8"/>
      <x:c r="AE290" s="8"/>
      <x:c r="AF290" s="8"/>
      <x:c r="AG290" s="8"/>
      <x:c r="AH290" s="8"/>
      <x:c r="AI290" s="8"/>
      <x:c r="AJ290" s="8"/>
      <x:c r="AK290" s="8"/>
      <x:c r="AL290" s="8"/>
      <x:c r="AM290" s="8"/>
      <x:c r="AN290" s="8"/>
      <x:c r="AO290" s="8"/>
      <x:c r="AP290" s="8"/>
      <x:c r="AQ290" s="8"/>
      <x:c r="AR290" s="8"/>
      <x:c r="AS290" s="8"/>
      <x:c r="AT290" s="8"/>
      <x:c r="AU290" s="8"/>
      <x:c r="AV290" s="8" t="n">
        <x:v>0.639</x:v>
      </x:c>
      <x:c r="AW290" s="8" t="n">
        <x:v>7.717</x:v>
      </x:c>
      <x:c r="AX290" s="8" t="n">
        <x:v>0.664</x:v>
      </x:c>
      <x:c r="AY290" s="8" t="n">
        <x:v>7.006</x:v>
      </x:c>
      <x:c r="AZ290" s="8" t="n">
        <x:v>0.664</x:v>
      </x:c>
      <x:c r="BA290" s="8" t="n">
        <x:v>7.006</x:v>
      </x:c>
      <x:c r="BB290" s="8" t="n">
        <x:f>LET(m,MIN(IF(D290&gt;0,D290,1E+99),IF(F290&gt;0,F290,1E+99),IF(H290&gt;0,H290,1E+99),IF(J290&gt;0,J290,1E+99),IF(L290&gt;0,L290,1E+99),IF(N290&gt;0,N290,1E+99),IF(P290&gt;0,P290,1E+99),IF(R290&gt;0,R290,1E+99),IF(T290&gt;0,T290,1E+99),IF(V290&gt;0,V290,1E+99),IF(X290&gt;0,X290,1E+99),IF(Z290&gt;0,Z290,1E+99),IF(AB290&gt;0,AB290,1E+99),IF(AD290&gt;0,AD290,1E+99),IF(AF290&gt;0,AF290,1E+99),IF(AH290&gt;0,AH290,1E+99),IF(AJ290&gt;0,AJ290,1E+99),IF(AL290&gt;0,AL290,1E+99),IF(AN290&gt;0,AN290,1E+99),IF(AP290&gt;0,AP290,1E+99),IF(AR290&gt;0,AR290,1E+99),IF(AT290&gt;0,AT290,1E+99),IF(AV290&gt;0,AV290,1E+99),IF(AX290&gt;0,AX290,1E+99),IF(AZ290&gt;0,AZ290,1E+99)),IF(m=1E+99,"",m))</x:f>
        <x:v>0.639</x:v>
      </x:c>
      <x:c r="BC290" s="12" t="e">
        <x:f>IF(BB290="","",INDEX({"v1.4.20","v1.4.20","v1.4.21","v1.4.21","v1.4.23","v1.4.23","v1.4.26","v1.4.26","v1.4.26.1","v1.4.26.1","v1.4.27","v1.4.27","v1.4.29","v1.4.29","v1.4.30","v1.4.30","v1.4.31","v1.4.31","v1.4.33","v1.4.33","v1.4.35","v1.4.35.2","v1.5","v1.5.1","v1.5.1"},MATCH(BB290,CHOOSE({1,2,3,4,5,6,7,8,9,10,11,12,13,14,15,16,17,18,19,20,21,22,23,24,25},D290,F290,H290,J290,L290,N290,P290,R290,T290,V290,X290,Z290,AB290,AD290,AF290,AH290,AJ290,AL290,AN290,AP290,AR290,AT290,AV290,AX290,AZ290),0)))</x:f>
      </x:c>
      <x:c r="BD290" s="14" t="n">
        <x:f>LET(m,MIN(IF(E290&gt;0,E290,1E+99),IF(G290&gt;0,G290,1E+99),IF(I290&gt;0,I290,1E+99),IF(K290&gt;0,K290,1E+99),IF(M290&gt;0,M290,1E+99),IF(O290&gt;0,O290,1E+99),IF(Q290&gt;0,Q290,1E+99),IF(S290&gt;0,S290,1E+99),IF(U290&gt;0,U290,1E+99),IF(W290&gt;0,W290,1E+99),IF(Y290&gt;0,Y290,1E+99),IF(AA290&gt;0,AA290,1E+99),IF(AC290&gt;0,AC290,1E+99),IF(AE290&gt;0,AE290,1E+99),IF(AG290&gt;0,AG290,1E+99),IF(AI290&gt;0,AI290,1E+99),IF(AK290&gt;0,AK290,1E+99),IF(AM290&gt;0,AM290,1E+99),IF(AO290&gt;0,AO290,1E+99),IF(AQ290&gt;0,AQ290,1E+99),IF(AS290&gt;0,AS290,1E+99),IF(AU290&gt;0,AU290,1E+99),IF(AW290&gt;0,AW290,1E+99),IF(AY290&gt;0,AY290,1E+99),IF(BA290&gt;0,BA290,1E+99)),IF(m=1E+99,"",m))</x:f>
        <x:v>7.006</x:v>
      </x:c>
      <x:c r="BE290" s="16" t="e">
        <x:f>IF(BD290="","",INDEX({"v1.4.20","v1.4.20","v1.4.21","v1.4.21","v1.4.23","v1.4.23","v1.4.26","v1.4.26","v1.4.26.1","v1.4.26.1","v1.4.27","v1.4.27","v1.4.29","v1.4.29","v1.4.30","v1.4.30","v1.4.31","v1.4.31","v1.4.33","v1.4.33","v1.4.35","v1.4.35.2","v1.5","v1.5.1","v1.5.1"},MATCH(BD290,CHOOSE({1,2,3,4,5,6,7,8,9,10,11,12,13,14,15,16,17,18,19,20,21,22,23,24,25},E290,G290,I290,K290,M290,O290,Q290,S290,U290,W290,Y290,AA290,AC290,AE290,AG290,AI290,AK290,AM290,AO290,AQ290,AS290,AU290,AW290,AY290,BA290),0)))</x:f>
      </x:c>
      <x:c r="BF290" s="10" t="n">
        <x:f>IFERROR((AX290-BB290)/BB290,"")</x:f>
        <x:v>0.039123630672926485</x:v>
      </x:c>
      <x:c r="BG290" s="10" t="n">
        <x:f>IFERROR((AY290-BD290)/BD290,"")</x:f>
        <x:v>0</x:v>
      </x:c>
    </x:row>
    <x:row r="291">
      <x:c r="A291" t="str">
        <x:v>Raw Data</x:v>
      </x:c>
      <x:c r="B291" t="str">
        <x:v>Validate Templates</x:v>
      </x:c>
      <x:c r="C291" t="str">
        <x:v>Validated: Template - Raw Data</x:v>
      </x:c>
      <x:c r="D291" s="8" t="n">
        <x:v>0.248</x:v>
      </x:c>
      <x:c r="E291" s="8" t="n">
        <x:v>6.845</x:v>
      </x:c>
      <x:c r="F291" s="8"/>
      <x:c r="G291" s="8"/>
      <x:c r="H291" s="8" t="n">
        <x:v>0.249</x:v>
      </x:c>
      <x:c r="I291" s="8" t="n">
        <x:v>5.753</x:v>
      </x:c>
      <x:c r="J291" s="8" t="n">
        <x:v>0.249</x:v>
      </x:c>
      <x:c r="K291" s="8" t="n">
        <x:v>5.753</x:v>
      </x:c>
      <x:c r="L291" s="8" t="n">
        <x:v>0.224</x:v>
      </x:c>
      <x:c r="M291" s="8" t="n">
        <x:v>6.616</x:v>
      </x:c>
      <x:c r="N291" s="8" t="n">
        <x:v>0.224</x:v>
      </x:c>
      <x:c r="O291" s="8" t="n">
        <x:v>6.616</x:v>
      </x:c>
      <x:c r="P291" s="8" t="n">
        <x:v>0.109</x:v>
      </x:c>
      <x:c r="Q291" s="8" t="n">
        <x:v>5.492</x:v>
      </x:c>
      <x:c r="R291" s="8" t="n">
        <x:v>0.109</x:v>
      </x:c>
      <x:c r="S291" s="8" t="n">
        <x:v>5.492</x:v>
      </x:c>
      <x:c r="T291" s="8" t="n">
        <x:v>0.256</x:v>
      </x:c>
      <x:c r="U291" s="8" t="n">
        <x:v>5.705</x:v>
      </x:c>
      <x:c r="V291" s="8" t="n">
        <x:v>0.256</x:v>
      </x:c>
      <x:c r="W291" s="8" t="n">
        <x:v>5.705</x:v>
      </x:c>
      <x:c r="X291" s="8" t="n">
        <x:v>0.155</x:v>
      </x:c>
      <x:c r="Y291" s="8" t="n">
        <x:v>6.075</x:v>
      </x:c>
      <x:c r="Z291" s="8" t="n">
        <x:v>0.155</x:v>
      </x:c>
      <x:c r="AA291" s="8" t="n">
        <x:v>6.075</x:v>
      </x:c>
      <x:c r="AB291" s="8" t="n">
        <x:v>0.292</x:v>
      </x:c>
      <x:c r="AC291" s="8" t="n">
        <x:v>6.545</x:v>
      </x:c>
      <x:c r="AD291" s="8" t="n">
        <x:v>0.292</x:v>
      </x:c>
      <x:c r="AE291" s="8" t="n">
        <x:v>6.545</x:v>
      </x:c>
      <x:c r="AF291" s="8" t="n">
        <x:v>0.184</x:v>
      </x:c>
      <x:c r="AG291" s="8" t="n">
        <x:v>5.53</x:v>
      </x:c>
      <x:c r="AH291" s="8" t="n">
        <x:v>0.184</x:v>
      </x:c>
      <x:c r="AI291" s="8" t="n">
        <x:v>5.53</x:v>
      </x:c>
      <x:c r="AJ291" s="8"/>
      <x:c r="AK291" s="8"/>
      <x:c r="AL291" s="8" t="n">
        <x:v>0.206</x:v>
      </x:c>
      <x:c r="AM291" s="8" t="n">
        <x:v>6.077</x:v>
      </x:c>
      <x:c r="AN291" s="8" t="n">
        <x:v>0.158</x:v>
      </x:c>
      <x:c r="AO291" s="8" t="n">
        <x:v>6.45</x:v>
      </x:c>
      <x:c r="AP291" s="8" t="n">
        <x:v>0.158</x:v>
      </x:c>
      <x:c r="AQ291" s="8" t="n">
        <x:v>6.45</x:v>
      </x:c>
      <x:c r="AR291" s="8" t="n">
        <x:v>0.582</x:v>
      </x:c>
      <x:c r="AS291" s="8" t="n">
        <x:v>6.015</x:v>
      </x:c>
      <x:c r="AT291" s="8" t="n">
        <x:v>0.332</x:v>
      </x:c>
      <x:c r="AU291" s="8" t="n">
        <x:v>5</x:v>
      </x:c>
      <x:c r="AV291" s="8"/>
      <x:c r="AW291" s="8"/>
      <x:c r="AX291" s="8"/>
      <x:c r="AY291" s="8"/>
      <x:c r="AZ291" s="8"/>
      <x:c r="BA291" s="8"/>
      <x:c r="BB291" s="8" t="n">
        <x:f>LET(m,MIN(IF(D291&gt;0,D291,1E+99),IF(F291&gt;0,F291,1E+99),IF(H291&gt;0,H291,1E+99),IF(J291&gt;0,J291,1E+99),IF(L291&gt;0,L291,1E+99),IF(N291&gt;0,N291,1E+99),IF(P291&gt;0,P291,1E+99),IF(R291&gt;0,R291,1E+99),IF(T291&gt;0,T291,1E+99),IF(V291&gt;0,V291,1E+99),IF(X291&gt;0,X291,1E+99),IF(Z291&gt;0,Z291,1E+99),IF(AB291&gt;0,AB291,1E+99),IF(AD291&gt;0,AD291,1E+99),IF(AF291&gt;0,AF291,1E+99),IF(AH291&gt;0,AH291,1E+99),IF(AJ291&gt;0,AJ291,1E+99),IF(AL291&gt;0,AL291,1E+99),IF(AN291&gt;0,AN291,1E+99),IF(AP291&gt;0,AP291,1E+99),IF(AR291&gt;0,AR291,1E+99),IF(AT291&gt;0,AT291,1E+99),IF(AV291&gt;0,AV291,1E+99),IF(AX291&gt;0,AX291,1E+99),IF(AZ291&gt;0,AZ291,1E+99)),IF(m=1E+99,"",m))</x:f>
        <x:v>0.109</x:v>
      </x:c>
      <x:c r="BC291" s="12" t="e">
        <x:f>IF(BB291="","",INDEX({"v1.4.20","v1.4.20","v1.4.21","v1.4.21","v1.4.23","v1.4.23","v1.4.26","v1.4.26","v1.4.26.1","v1.4.26.1","v1.4.27","v1.4.27","v1.4.29","v1.4.29","v1.4.30","v1.4.30","v1.4.31","v1.4.31","v1.4.33","v1.4.33","v1.4.35","v1.4.35.2","v1.5","v1.5.1","v1.5.1"},MATCH(BB291,CHOOSE({1,2,3,4,5,6,7,8,9,10,11,12,13,14,15,16,17,18,19,20,21,22,23,24,25},D291,F291,H291,J291,L291,N291,P291,R291,T291,V291,X291,Z291,AB291,AD291,AF291,AH291,AJ291,AL291,AN291,AP291,AR291,AT291,AV291,AX291,AZ291),0)))</x:f>
      </x:c>
      <x:c r="BD291" s="14" t="n">
        <x:f>LET(m,MIN(IF(E291&gt;0,E291,1E+99),IF(G291&gt;0,G291,1E+99),IF(I291&gt;0,I291,1E+99),IF(K291&gt;0,K291,1E+99),IF(M291&gt;0,M291,1E+99),IF(O291&gt;0,O291,1E+99),IF(Q291&gt;0,Q291,1E+99),IF(S291&gt;0,S291,1E+99),IF(U291&gt;0,U291,1E+99),IF(W291&gt;0,W291,1E+99),IF(Y291&gt;0,Y291,1E+99),IF(AA291&gt;0,AA291,1E+99),IF(AC291&gt;0,AC291,1E+99),IF(AE291&gt;0,AE291,1E+99),IF(AG291&gt;0,AG291,1E+99),IF(AI291&gt;0,AI291,1E+99),IF(AK291&gt;0,AK291,1E+99),IF(AM291&gt;0,AM291,1E+99),IF(AO291&gt;0,AO291,1E+99),IF(AQ291&gt;0,AQ291,1E+99),IF(AS291&gt;0,AS291,1E+99),IF(AU291&gt;0,AU291,1E+99),IF(AW291&gt;0,AW291,1E+99),IF(AY291&gt;0,AY291,1E+99),IF(BA291&gt;0,BA291,1E+99)),IF(m=1E+99,"",m))</x:f>
        <x:v>5</x:v>
      </x:c>
      <x:c r="BE291" s="16" t="e">
        <x:f>IF(BD291="","",INDEX({"v1.4.20","v1.4.20","v1.4.21","v1.4.21","v1.4.23","v1.4.23","v1.4.26","v1.4.26","v1.4.26.1","v1.4.26.1","v1.4.27","v1.4.27","v1.4.29","v1.4.29","v1.4.30","v1.4.30","v1.4.31","v1.4.31","v1.4.33","v1.4.33","v1.4.35","v1.4.35.2","v1.5","v1.5.1","v1.5.1"},MATCH(BD291,CHOOSE({1,2,3,4,5,6,7,8,9,10,11,12,13,14,15,16,17,18,19,20,21,22,23,24,25},E291,G291,I291,K291,M291,O291,Q291,S291,U291,W291,Y291,AA291,AC291,AE291,AG291,AI291,AK291,AM291,AO291,AQ291,AS291,AU291,AW291,AY291,BA291),0)))</x:f>
      </x:c>
      <x:c r="BF291" s="10" t="n">
        <x:f>IFERROR((AX291-BB291)/BB291,"")</x:f>
        <x:v>-1</x:v>
      </x:c>
      <x:c r="BG291" s="10" t="n">
        <x:f>IFERROR((AY291-BD291)/BD291,"")</x:f>
        <x:v>-1</x:v>
      </x:c>
    </x:row>
    <x:row r="292">
      <x:c r="A292" t="str">
        <x:v>Banner Report</x:v>
      </x:c>
      <x:c r="B292" t="str">
        <x:v>Validate Templates</x:v>
      </x:c>
      <x:c r="C292" t="str">
        <x:v>Quick validated: Template - Banner Report</x:v>
      </x:c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8"/>
      <x:c r="U292" s="8"/>
      <x:c r="V292" s="8"/>
      <x:c r="W292" s="8"/>
      <x:c r="X292" s="8"/>
      <x:c r="Y292" s="8"/>
      <x:c r="Z292" s="8"/>
      <x:c r="AA292" s="8"/>
      <x:c r="AB292" s="8"/>
      <x:c r="AC292" s="8"/>
      <x:c r="AD292" s="8"/>
      <x:c r="AE292" s="8"/>
      <x:c r="AF292" s="8"/>
      <x:c r="AG292" s="8"/>
      <x:c r="AH292" s="8"/>
      <x:c r="AI292" s="8"/>
      <x:c r="AJ292" s="8"/>
      <x:c r="AK292" s="8"/>
      <x:c r="AL292" s="8"/>
      <x:c r="AM292" s="8"/>
      <x:c r="AN292" s="8"/>
      <x:c r="AO292" s="8"/>
      <x:c r="AP292" s="8"/>
      <x:c r="AQ292" s="8"/>
      <x:c r="AR292" s="8"/>
      <x:c r="AS292" s="8"/>
      <x:c r="AT292" s="8"/>
      <x:c r="AU292" s="8"/>
      <x:c r="AV292" s="8" t="n">
        <x:v>0.811</x:v>
      </x:c>
      <x:c r="AW292" s="8" t="n">
        <x:v>8.528</x:v>
      </x:c>
      <x:c r="AX292" s="8" t="n">
        <x:v>0.602</x:v>
      </x:c>
      <x:c r="AY292" s="8" t="n">
        <x:v>7.608</x:v>
      </x:c>
      <x:c r="AZ292" s="8" t="n">
        <x:v>0.602</x:v>
      </x:c>
      <x:c r="BA292" s="8" t="n">
        <x:v>7.608</x:v>
      </x:c>
      <x:c r="BB292" s="8" t="n">
        <x:f>LET(m,MIN(IF(D292&gt;0,D292,1E+99),IF(F292&gt;0,F292,1E+99),IF(H292&gt;0,H292,1E+99),IF(J292&gt;0,J292,1E+99),IF(L292&gt;0,L292,1E+99),IF(N292&gt;0,N292,1E+99),IF(P292&gt;0,P292,1E+99),IF(R292&gt;0,R292,1E+99),IF(T292&gt;0,T292,1E+99),IF(V292&gt;0,V292,1E+99),IF(X292&gt;0,X292,1E+99),IF(Z292&gt;0,Z292,1E+99),IF(AB292&gt;0,AB292,1E+99),IF(AD292&gt;0,AD292,1E+99),IF(AF292&gt;0,AF292,1E+99),IF(AH292&gt;0,AH292,1E+99),IF(AJ292&gt;0,AJ292,1E+99),IF(AL292&gt;0,AL292,1E+99),IF(AN292&gt;0,AN292,1E+99),IF(AP292&gt;0,AP292,1E+99),IF(AR292&gt;0,AR292,1E+99),IF(AT292&gt;0,AT292,1E+99),IF(AV292&gt;0,AV292,1E+99),IF(AX292&gt;0,AX292,1E+99),IF(AZ292&gt;0,AZ292,1E+99)),IF(m=1E+99,"",m))</x:f>
        <x:v>0.602</x:v>
      </x:c>
      <x:c r="BC292" s="12" t="e">
        <x:f>IF(BB292="","",INDEX({"v1.4.20","v1.4.20","v1.4.21","v1.4.21","v1.4.23","v1.4.23","v1.4.26","v1.4.26","v1.4.26.1","v1.4.26.1","v1.4.27","v1.4.27","v1.4.29","v1.4.29","v1.4.30","v1.4.30","v1.4.31","v1.4.31","v1.4.33","v1.4.33","v1.4.35","v1.4.35.2","v1.5","v1.5.1","v1.5.1"},MATCH(BB292,CHOOSE({1,2,3,4,5,6,7,8,9,10,11,12,13,14,15,16,17,18,19,20,21,22,23,24,25},D292,F292,H292,J292,L292,N292,P292,R292,T292,V292,X292,Z292,AB292,AD292,AF292,AH292,AJ292,AL292,AN292,AP292,AR292,AT292,AV292,AX292,AZ292),0)))</x:f>
      </x:c>
      <x:c r="BD292" s="14" t="n">
        <x:f>LET(m,MIN(IF(E292&gt;0,E292,1E+99),IF(G292&gt;0,G292,1E+99),IF(I292&gt;0,I292,1E+99),IF(K292&gt;0,K292,1E+99),IF(M292&gt;0,M292,1E+99),IF(O292&gt;0,O292,1E+99),IF(Q292&gt;0,Q292,1E+99),IF(S292&gt;0,S292,1E+99),IF(U292&gt;0,U292,1E+99),IF(W292&gt;0,W292,1E+99),IF(Y292&gt;0,Y292,1E+99),IF(AA292&gt;0,AA292,1E+99),IF(AC292&gt;0,AC292,1E+99),IF(AE292&gt;0,AE292,1E+99),IF(AG292&gt;0,AG292,1E+99),IF(AI292&gt;0,AI292,1E+99),IF(AK292&gt;0,AK292,1E+99),IF(AM292&gt;0,AM292,1E+99),IF(AO292&gt;0,AO292,1E+99),IF(AQ292&gt;0,AQ292,1E+99),IF(AS292&gt;0,AS292,1E+99),IF(AU292&gt;0,AU292,1E+99),IF(AW292&gt;0,AW292,1E+99),IF(AY292&gt;0,AY292,1E+99),IF(BA292&gt;0,BA292,1E+99)),IF(m=1E+99,"",m))</x:f>
        <x:v>7.608</x:v>
      </x:c>
      <x:c r="BE292" s="16" t="e">
        <x:f>IF(BD292="","",INDEX({"v1.4.20","v1.4.20","v1.4.21","v1.4.21","v1.4.23","v1.4.23","v1.4.26","v1.4.26","v1.4.26.1","v1.4.26.1","v1.4.27","v1.4.27","v1.4.29","v1.4.29","v1.4.30","v1.4.30","v1.4.31","v1.4.31","v1.4.33","v1.4.33","v1.4.35","v1.4.35.2","v1.5","v1.5.1","v1.5.1"},MATCH(BD292,CHOOSE({1,2,3,4,5,6,7,8,9,10,11,12,13,14,15,16,17,18,19,20,21,22,23,24,25},E292,G292,I292,K292,M292,O292,Q292,S292,U292,W292,Y292,AA292,AC292,AE292,AG292,AI292,AK292,AM292,AO292,AQ292,AS292,AU292,AW292,AY292,BA292),0)))</x:f>
      </x:c>
      <x:c r="BF292" s="10" t="n">
        <x:f>IFERROR((AX292-BB292)/BB292,"")</x:f>
        <x:v>0</x:v>
      </x:c>
      <x:c r="BG292" s="10" t="n">
        <x:f>IFERROR((AY292-BD292)/BD292,"")</x:f>
        <x:v>0</x:v>
      </x:c>
    </x:row>
    <x:row r="293">
      <x:c r="A293" t="str">
        <x:v>Banner Report</x:v>
      </x:c>
      <x:c r="B293" t="str">
        <x:v>Validate Templates</x:v>
      </x:c>
      <x:c r="C293" t="str">
        <x:v>Validated: Template - Banner Report</x:v>
      </x:c>
      <x:c r="D293" s="8" t="n">
        <x:v>0.445</x:v>
      </x:c>
      <x:c r="E293" s="8" t="n">
        <x:v>7.29</x:v>
      </x:c>
      <x:c r="F293" s="8"/>
      <x:c r="G293" s="8"/>
      <x:c r="H293" s="8" t="n">
        <x:v>0.228</x:v>
      </x:c>
      <x:c r="I293" s="8" t="n">
        <x:v>5.981</x:v>
      </x:c>
      <x:c r="J293" s="8" t="n">
        <x:v>0.228</x:v>
      </x:c>
      <x:c r="K293" s="8" t="n">
        <x:v>5.981</x:v>
      </x:c>
      <x:c r="L293" s="8" t="n">
        <x:v>0.19</x:v>
      </x:c>
      <x:c r="M293" s="8" t="n">
        <x:v>6.806</x:v>
      </x:c>
      <x:c r="N293" s="8" t="n">
        <x:v>0.19</x:v>
      </x:c>
      <x:c r="O293" s="8" t="n">
        <x:v>6.806</x:v>
      </x:c>
      <x:c r="P293" s="8" t="n">
        <x:v>0.511</x:v>
      </x:c>
      <x:c r="Q293" s="8" t="n">
        <x:v>6.003</x:v>
      </x:c>
      <x:c r="R293" s="8" t="n">
        <x:v>0.511</x:v>
      </x:c>
      <x:c r="S293" s="8" t="n">
        <x:v>6.003</x:v>
      </x:c>
      <x:c r="T293" s="8" t="n">
        <x:v>0.203</x:v>
      </x:c>
      <x:c r="U293" s="8" t="n">
        <x:v>5.908</x:v>
      </x:c>
      <x:c r="V293" s="8" t="n">
        <x:v>0.203</x:v>
      </x:c>
      <x:c r="W293" s="8" t="n">
        <x:v>5.908</x:v>
      </x:c>
      <x:c r="X293" s="8" t="n">
        <x:v>0.146</x:v>
      </x:c>
      <x:c r="Y293" s="8" t="n">
        <x:v>6.221</x:v>
      </x:c>
      <x:c r="Z293" s="8" t="n">
        <x:v>0.146</x:v>
      </x:c>
      <x:c r="AA293" s="8" t="n">
        <x:v>6.221</x:v>
      </x:c>
      <x:c r="AB293" s="8" t="n">
        <x:v>0.26</x:v>
      </x:c>
      <x:c r="AC293" s="8" t="n">
        <x:v>6.805</x:v>
      </x:c>
      <x:c r="AD293" s="8" t="n">
        <x:v>0.26</x:v>
      </x:c>
      <x:c r="AE293" s="8" t="n">
        <x:v>6.805</x:v>
      </x:c>
      <x:c r="AF293" s="8" t="n">
        <x:v>0.209</x:v>
      </x:c>
      <x:c r="AG293" s="8" t="n">
        <x:v>5.739</x:v>
      </x:c>
      <x:c r="AH293" s="8" t="n">
        <x:v>0.209</x:v>
      </x:c>
      <x:c r="AI293" s="8" t="n">
        <x:v>5.739</x:v>
      </x:c>
      <x:c r="AJ293" s="8"/>
      <x:c r="AK293" s="8"/>
      <x:c r="AL293" s="8" t="n">
        <x:v>0.923</x:v>
      </x:c>
      <x:c r="AM293" s="8" t="n">
        <x:v>7</x:v>
      </x:c>
      <x:c r="AN293" s="8" t="n">
        <x:v>0.141</x:v>
      </x:c>
      <x:c r="AO293" s="8" t="n">
        <x:v>6.591</x:v>
      </x:c>
      <x:c r="AP293" s="8" t="n">
        <x:v>0.141</x:v>
      </x:c>
      <x:c r="AQ293" s="8" t="n">
        <x:v>6.591</x:v>
      </x:c>
      <x:c r="AR293" s="8" t="n">
        <x:v>0.244</x:v>
      </x:c>
      <x:c r="AS293" s="8" t="n">
        <x:v>6.259</x:v>
      </x:c>
      <x:c r="AT293" s="8" t="n">
        <x:v>0.158</x:v>
      </x:c>
      <x:c r="AU293" s="8" t="n">
        <x:v>5.158</x:v>
      </x:c>
      <x:c r="AV293" s="8"/>
      <x:c r="AW293" s="8"/>
      <x:c r="AX293" s="8"/>
      <x:c r="AY293" s="8"/>
      <x:c r="AZ293" s="8"/>
      <x:c r="BA293" s="8"/>
      <x:c r="BB293" s="8" t="n">
        <x:f>LET(m,MIN(IF(D293&gt;0,D293,1E+99),IF(F293&gt;0,F293,1E+99),IF(H293&gt;0,H293,1E+99),IF(J293&gt;0,J293,1E+99),IF(L293&gt;0,L293,1E+99),IF(N293&gt;0,N293,1E+99),IF(P293&gt;0,P293,1E+99),IF(R293&gt;0,R293,1E+99),IF(T293&gt;0,T293,1E+99),IF(V293&gt;0,V293,1E+99),IF(X293&gt;0,X293,1E+99),IF(Z293&gt;0,Z293,1E+99),IF(AB293&gt;0,AB293,1E+99),IF(AD293&gt;0,AD293,1E+99),IF(AF293&gt;0,AF293,1E+99),IF(AH293&gt;0,AH293,1E+99),IF(AJ293&gt;0,AJ293,1E+99),IF(AL293&gt;0,AL293,1E+99),IF(AN293&gt;0,AN293,1E+99),IF(AP293&gt;0,AP293,1E+99),IF(AR293&gt;0,AR293,1E+99),IF(AT293&gt;0,AT293,1E+99),IF(AV293&gt;0,AV293,1E+99),IF(AX293&gt;0,AX293,1E+99),IF(AZ293&gt;0,AZ293,1E+99)),IF(m=1E+99,"",m))</x:f>
        <x:v>0.141</x:v>
      </x:c>
      <x:c r="BC293" s="12" t="e">
        <x:f>IF(BB293="","",INDEX({"v1.4.20","v1.4.20","v1.4.21","v1.4.21","v1.4.23","v1.4.23","v1.4.26","v1.4.26","v1.4.26.1","v1.4.26.1","v1.4.27","v1.4.27","v1.4.29","v1.4.29","v1.4.30","v1.4.30","v1.4.31","v1.4.31","v1.4.33","v1.4.33","v1.4.35","v1.4.35.2","v1.5","v1.5.1","v1.5.1"},MATCH(BB293,CHOOSE({1,2,3,4,5,6,7,8,9,10,11,12,13,14,15,16,17,18,19,20,21,22,23,24,25},D293,F293,H293,J293,L293,N293,P293,R293,T293,V293,X293,Z293,AB293,AD293,AF293,AH293,AJ293,AL293,AN293,AP293,AR293,AT293,AV293,AX293,AZ293),0)))</x:f>
      </x:c>
      <x:c r="BD293" s="14" t="n">
        <x:f>LET(m,MIN(IF(E293&gt;0,E293,1E+99),IF(G293&gt;0,G293,1E+99),IF(I293&gt;0,I293,1E+99),IF(K293&gt;0,K293,1E+99),IF(M293&gt;0,M293,1E+99),IF(O293&gt;0,O293,1E+99),IF(Q293&gt;0,Q293,1E+99),IF(S293&gt;0,S293,1E+99),IF(U293&gt;0,U293,1E+99),IF(W293&gt;0,W293,1E+99),IF(Y293&gt;0,Y293,1E+99),IF(AA293&gt;0,AA293,1E+99),IF(AC293&gt;0,AC293,1E+99),IF(AE293&gt;0,AE293,1E+99),IF(AG293&gt;0,AG293,1E+99),IF(AI293&gt;0,AI293,1E+99),IF(AK293&gt;0,AK293,1E+99),IF(AM293&gt;0,AM293,1E+99),IF(AO293&gt;0,AO293,1E+99),IF(AQ293&gt;0,AQ293,1E+99),IF(AS293&gt;0,AS293,1E+99),IF(AU293&gt;0,AU293,1E+99),IF(AW293&gt;0,AW293,1E+99),IF(AY293&gt;0,AY293,1E+99),IF(BA293&gt;0,BA293,1E+99)),IF(m=1E+99,"",m))</x:f>
        <x:v>5.158</x:v>
      </x:c>
      <x:c r="BE293" s="16" t="e">
        <x:f>IF(BD293="","",INDEX({"v1.4.20","v1.4.20","v1.4.21","v1.4.21","v1.4.23","v1.4.23","v1.4.26","v1.4.26","v1.4.26.1","v1.4.26.1","v1.4.27","v1.4.27","v1.4.29","v1.4.29","v1.4.30","v1.4.30","v1.4.31","v1.4.31","v1.4.33","v1.4.33","v1.4.35","v1.4.35.2","v1.5","v1.5.1","v1.5.1"},MATCH(BD293,CHOOSE({1,2,3,4,5,6,7,8,9,10,11,12,13,14,15,16,17,18,19,20,21,22,23,24,25},E293,G293,I293,K293,M293,O293,Q293,S293,U293,W293,Y293,AA293,AC293,AE293,AG293,AI293,AK293,AM293,AO293,AQ293,AS293,AU293,AW293,AY293,BA293),0)))</x:f>
      </x:c>
      <x:c r="BF293" s="10" t="n">
        <x:f>IFERROR((AX293-BB293)/BB293,"")</x:f>
        <x:v>-1</x:v>
      </x:c>
      <x:c r="BG293" s="10" t="n">
        <x:f>IFERROR((AY293-BD293)/BD293,"")</x:f>
        <x:v>-1</x:v>
      </x:c>
    </x:row>
    <x:row r="294">
      <x:c r="A294" t="str">
        <x:v>Care Plan Due</x:v>
      </x:c>
      <x:c r="B294" t="str">
        <x:v>Validate Templates</x:v>
      </x:c>
      <x:c r="C294" t="str">
        <x:v>Quick validated: Template - Care Plan Due</x:v>
      </x:c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8"/>
      <x:c r="U294" s="8"/>
      <x:c r="V294" s="8"/>
      <x:c r="W294" s="8"/>
      <x:c r="X294" s="8"/>
      <x:c r="Y294" s="8"/>
      <x:c r="Z294" s="8"/>
      <x:c r="AA294" s="8"/>
      <x:c r="AB294" s="8"/>
      <x:c r="AC294" s="8"/>
      <x:c r="AD294" s="8"/>
      <x:c r="AE294" s="8"/>
      <x:c r="AF294" s="8"/>
      <x:c r="AG294" s="8"/>
      <x:c r="AH294" s="8"/>
      <x:c r="AI294" s="8"/>
      <x:c r="AJ294" s="8"/>
      <x:c r="AK294" s="8"/>
      <x:c r="AL294" s="8"/>
      <x:c r="AM294" s="8"/>
      <x:c r="AN294" s="8"/>
      <x:c r="AO294" s="8"/>
      <x:c r="AP294" s="8"/>
      <x:c r="AQ294" s="8"/>
      <x:c r="AR294" s="8"/>
      <x:c r="AS294" s="8"/>
      <x:c r="AT294" s="8"/>
      <x:c r="AU294" s="8"/>
      <x:c r="AV294" s="8" t="n">
        <x:v>0.559</x:v>
      </x:c>
      <x:c r="AW294" s="8" t="n">
        <x:v>9.087</x:v>
      </x:c>
      <x:c r="AX294" s="8" t="n">
        <x:v>0.552</x:v>
      </x:c>
      <x:c r="AY294" s="8" t="n">
        <x:v>8.16</x:v>
      </x:c>
      <x:c r="AZ294" s="8" t="n">
        <x:v>0.552</x:v>
      </x:c>
      <x:c r="BA294" s="8" t="n">
        <x:v>8.16</x:v>
      </x:c>
      <x:c r="BB294" s="8" t="n">
        <x:f>LET(m,MIN(IF(D294&gt;0,D294,1E+99),IF(F294&gt;0,F294,1E+99),IF(H294&gt;0,H294,1E+99),IF(J294&gt;0,J294,1E+99),IF(L294&gt;0,L294,1E+99),IF(N294&gt;0,N294,1E+99),IF(P294&gt;0,P294,1E+99),IF(R294&gt;0,R294,1E+99),IF(T294&gt;0,T294,1E+99),IF(V294&gt;0,V294,1E+99),IF(X294&gt;0,X294,1E+99),IF(Z294&gt;0,Z294,1E+99),IF(AB294&gt;0,AB294,1E+99),IF(AD294&gt;0,AD294,1E+99),IF(AF294&gt;0,AF294,1E+99),IF(AH294&gt;0,AH294,1E+99),IF(AJ294&gt;0,AJ294,1E+99),IF(AL294&gt;0,AL294,1E+99),IF(AN294&gt;0,AN294,1E+99),IF(AP294&gt;0,AP294,1E+99),IF(AR294&gt;0,AR294,1E+99),IF(AT294&gt;0,AT294,1E+99),IF(AV294&gt;0,AV294,1E+99),IF(AX294&gt;0,AX294,1E+99),IF(AZ294&gt;0,AZ294,1E+99)),IF(m=1E+99,"",m))</x:f>
        <x:v>0.552</x:v>
      </x:c>
      <x:c r="BC294" s="12" t="e">
        <x:f>IF(BB294="","",INDEX({"v1.4.20","v1.4.20","v1.4.21","v1.4.21","v1.4.23","v1.4.23","v1.4.26","v1.4.26","v1.4.26.1","v1.4.26.1","v1.4.27","v1.4.27","v1.4.29","v1.4.29","v1.4.30","v1.4.30","v1.4.31","v1.4.31","v1.4.33","v1.4.33","v1.4.35","v1.4.35.2","v1.5","v1.5.1","v1.5.1"},MATCH(BB294,CHOOSE({1,2,3,4,5,6,7,8,9,10,11,12,13,14,15,16,17,18,19,20,21,22,23,24,25},D294,F294,H294,J294,L294,N294,P294,R294,T294,V294,X294,Z294,AB294,AD294,AF294,AH294,AJ294,AL294,AN294,AP294,AR294,AT294,AV294,AX294,AZ294),0)))</x:f>
      </x:c>
      <x:c r="BD294" s="14" t="n">
        <x:f>LET(m,MIN(IF(E294&gt;0,E294,1E+99),IF(G294&gt;0,G294,1E+99),IF(I294&gt;0,I294,1E+99),IF(K294&gt;0,K294,1E+99),IF(M294&gt;0,M294,1E+99),IF(O294&gt;0,O294,1E+99),IF(Q294&gt;0,Q294,1E+99),IF(S294&gt;0,S294,1E+99),IF(U294&gt;0,U294,1E+99),IF(W294&gt;0,W294,1E+99),IF(Y294&gt;0,Y294,1E+99),IF(AA294&gt;0,AA294,1E+99),IF(AC294&gt;0,AC294,1E+99),IF(AE294&gt;0,AE294,1E+99),IF(AG294&gt;0,AG294,1E+99),IF(AI294&gt;0,AI294,1E+99),IF(AK294&gt;0,AK294,1E+99),IF(AM294&gt;0,AM294,1E+99),IF(AO294&gt;0,AO294,1E+99),IF(AQ294&gt;0,AQ294,1E+99),IF(AS294&gt;0,AS294,1E+99),IF(AU294&gt;0,AU294,1E+99),IF(AW294&gt;0,AW294,1E+99),IF(AY294&gt;0,AY294,1E+99),IF(BA294&gt;0,BA294,1E+99)),IF(m=1E+99,"",m))</x:f>
        <x:v>8.16</x:v>
      </x:c>
      <x:c r="BE294" s="16" t="e">
        <x:f>IF(BD294="","",INDEX({"v1.4.20","v1.4.20","v1.4.21","v1.4.21","v1.4.23","v1.4.23","v1.4.26","v1.4.26","v1.4.26.1","v1.4.26.1","v1.4.27","v1.4.27","v1.4.29","v1.4.29","v1.4.30","v1.4.30","v1.4.31","v1.4.31","v1.4.33","v1.4.33","v1.4.35","v1.4.35.2","v1.5","v1.5.1","v1.5.1"},MATCH(BD294,CHOOSE({1,2,3,4,5,6,7,8,9,10,11,12,13,14,15,16,17,18,19,20,21,22,23,24,25},E294,G294,I294,K294,M294,O294,Q294,S294,U294,W294,Y294,AA294,AC294,AE294,AG294,AI294,AK294,AM294,AO294,AQ294,AS294,AU294,AW294,AY294,BA294),0)))</x:f>
      </x:c>
      <x:c r="BF294" s="10" t="n">
        <x:f>IFERROR((AX294-BB294)/BB294,"")</x:f>
        <x:v>0</x:v>
      </x:c>
      <x:c r="BG294" s="10" t="n">
        <x:f>IFERROR((AY294-BD294)/BD294,"")</x:f>
        <x:v>0</x:v>
      </x:c>
    </x:row>
    <x:row r="295">
      <x:c r="A295" t="str">
        <x:v>Care Plan Due</x:v>
      </x:c>
      <x:c r="B295" t="str">
        <x:v>Validate Templates</x:v>
      </x:c>
      <x:c r="C295" t="str">
        <x:v>Validated: Template - Care Plan Due</x:v>
      </x:c>
      <x:c r="D295" s="8" t="n">
        <x:v>0.165</x:v>
      </x:c>
      <x:c r="E295" s="8" t="n">
        <x:v>7.455</x:v>
      </x:c>
      <x:c r="F295" s="8"/>
      <x:c r="G295" s="8"/>
      <x:c r="H295" s="8" t="n">
        <x:v>0.214</x:v>
      </x:c>
      <x:c r="I295" s="8" t="n">
        <x:v>6.195</x:v>
      </x:c>
      <x:c r="J295" s="8" t="n">
        <x:v>0.214</x:v>
      </x:c>
      <x:c r="K295" s="8" t="n">
        <x:v>6.195</x:v>
      </x:c>
      <x:c r="L295" s="8" t="n">
        <x:v>0.307</x:v>
      </x:c>
      <x:c r="M295" s="8" t="n">
        <x:v>7.113</x:v>
      </x:c>
      <x:c r="N295" s="8" t="n">
        <x:v>0.307</x:v>
      </x:c>
      <x:c r="O295" s="8" t="n">
        <x:v>7.113</x:v>
      </x:c>
      <x:c r="P295" s="8" t="n">
        <x:v>0.089</x:v>
      </x:c>
      <x:c r="Q295" s="8" t="n">
        <x:v>6.092</x:v>
      </x:c>
      <x:c r="R295" s="8" t="n">
        <x:v>0.089</x:v>
      </x:c>
      <x:c r="S295" s="8" t="n">
        <x:v>6.092</x:v>
      </x:c>
      <x:c r="T295" s="8" t="n">
        <x:v>0.256</x:v>
      </x:c>
      <x:c r="U295" s="8" t="n">
        <x:v>6.164</x:v>
      </x:c>
      <x:c r="V295" s="8" t="n">
        <x:v>0.256</x:v>
      </x:c>
      <x:c r="W295" s="8" t="n">
        <x:v>6.164</x:v>
      </x:c>
      <x:c r="X295" s="8" t="n">
        <x:v>0.124</x:v>
      </x:c>
      <x:c r="Y295" s="8" t="n">
        <x:v>6.345</x:v>
      </x:c>
      <x:c r="Z295" s="8" t="n">
        <x:v>0.124</x:v>
      </x:c>
      <x:c r="AA295" s="8" t="n">
        <x:v>6.345</x:v>
      </x:c>
      <x:c r="AB295" s="8" t="n">
        <x:v>0.214</x:v>
      </x:c>
      <x:c r="AC295" s="8" t="n">
        <x:v>7.019</x:v>
      </x:c>
      <x:c r="AD295" s="8" t="n">
        <x:v>0.214</x:v>
      </x:c>
      <x:c r="AE295" s="8" t="n">
        <x:v>7.019</x:v>
      </x:c>
      <x:c r="AF295" s="8" t="n">
        <x:v>0.716</x:v>
      </x:c>
      <x:c r="AG295" s="8" t="n">
        <x:v>6.455</x:v>
      </x:c>
      <x:c r="AH295" s="8" t="n">
        <x:v>0.716</x:v>
      </x:c>
      <x:c r="AI295" s="8" t="n">
        <x:v>6.455</x:v>
      </x:c>
      <x:c r="AJ295" s="8"/>
      <x:c r="AK295" s="8"/>
      <x:c r="AL295" s="8" t="n">
        <x:v>0.139</x:v>
      </x:c>
      <x:c r="AM295" s="8" t="n">
        <x:v>7.139</x:v>
      </x:c>
      <x:c r="AN295" s="8" t="n">
        <x:v>0.727</x:v>
      </x:c>
      <x:c r="AO295" s="8" t="n">
        <x:v>7.318</x:v>
      </x:c>
      <x:c r="AP295" s="8" t="n">
        <x:v>0.727</x:v>
      </x:c>
      <x:c r="AQ295" s="8" t="n">
        <x:v>7.318</x:v>
      </x:c>
      <x:c r="AR295" s="8" t="n">
        <x:v>0.247</x:v>
      </x:c>
      <x:c r="AS295" s="8" t="n">
        <x:v>6.506</x:v>
      </x:c>
      <x:c r="AT295" s="8" t="n">
        <x:v>0.157</x:v>
      </x:c>
      <x:c r="AU295" s="8" t="n">
        <x:v>5.315</x:v>
      </x:c>
      <x:c r="AV295" s="8"/>
      <x:c r="AW295" s="8"/>
      <x:c r="AX295" s="8"/>
      <x:c r="AY295" s="8"/>
      <x:c r="AZ295" s="8"/>
      <x:c r="BA295" s="8"/>
      <x:c r="BB295" s="8" t="n">
        <x:f>LET(m,MIN(IF(D295&gt;0,D295,1E+99),IF(F295&gt;0,F295,1E+99),IF(H295&gt;0,H295,1E+99),IF(J295&gt;0,J295,1E+99),IF(L295&gt;0,L295,1E+99),IF(N295&gt;0,N295,1E+99),IF(P295&gt;0,P295,1E+99),IF(R295&gt;0,R295,1E+99),IF(T295&gt;0,T295,1E+99),IF(V295&gt;0,V295,1E+99),IF(X295&gt;0,X295,1E+99),IF(Z295&gt;0,Z295,1E+99),IF(AB295&gt;0,AB295,1E+99),IF(AD295&gt;0,AD295,1E+99),IF(AF295&gt;0,AF295,1E+99),IF(AH295&gt;0,AH295,1E+99),IF(AJ295&gt;0,AJ295,1E+99),IF(AL295&gt;0,AL295,1E+99),IF(AN295&gt;0,AN295,1E+99),IF(AP295&gt;0,AP295,1E+99),IF(AR295&gt;0,AR295,1E+99),IF(AT295&gt;0,AT295,1E+99),IF(AV295&gt;0,AV295,1E+99),IF(AX295&gt;0,AX295,1E+99),IF(AZ295&gt;0,AZ295,1E+99)),IF(m=1E+99,"",m))</x:f>
        <x:v>0.089</x:v>
      </x:c>
      <x:c r="BC295" s="12" t="e">
        <x:f>IF(BB295="","",INDEX({"v1.4.20","v1.4.20","v1.4.21","v1.4.21","v1.4.23","v1.4.23","v1.4.26","v1.4.26","v1.4.26.1","v1.4.26.1","v1.4.27","v1.4.27","v1.4.29","v1.4.29","v1.4.30","v1.4.30","v1.4.31","v1.4.31","v1.4.33","v1.4.33","v1.4.35","v1.4.35.2","v1.5","v1.5.1","v1.5.1"},MATCH(BB295,CHOOSE({1,2,3,4,5,6,7,8,9,10,11,12,13,14,15,16,17,18,19,20,21,22,23,24,25},D295,F295,H295,J295,L295,N295,P295,R295,T295,V295,X295,Z295,AB295,AD295,AF295,AH295,AJ295,AL295,AN295,AP295,AR295,AT295,AV295,AX295,AZ295),0)))</x:f>
      </x:c>
      <x:c r="BD295" s="14" t="n">
        <x:f>LET(m,MIN(IF(E295&gt;0,E295,1E+99),IF(G295&gt;0,G295,1E+99),IF(I295&gt;0,I295,1E+99),IF(K295&gt;0,K295,1E+99),IF(M295&gt;0,M295,1E+99),IF(O295&gt;0,O295,1E+99),IF(Q295&gt;0,Q295,1E+99),IF(S295&gt;0,S295,1E+99),IF(U295&gt;0,U295,1E+99),IF(W295&gt;0,W295,1E+99),IF(Y295&gt;0,Y295,1E+99),IF(AA295&gt;0,AA295,1E+99),IF(AC295&gt;0,AC295,1E+99),IF(AE295&gt;0,AE295,1E+99),IF(AG295&gt;0,AG295,1E+99),IF(AI295&gt;0,AI295,1E+99),IF(AK295&gt;0,AK295,1E+99),IF(AM295&gt;0,AM295,1E+99),IF(AO295&gt;0,AO295,1E+99),IF(AQ295&gt;0,AQ295,1E+99),IF(AS295&gt;0,AS295,1E+99),IF(AU295&gt;0,AU295,1E+99),IF(AW295&gt;0,AW295,1E+99),IF(AY295&gt;0,AY295,1E+99),IF(BA295&gt;0,BA295,1E+99)),IF(m=1E+99,"",m))</x:f>
        <x:v>5.315</x:v>
      </x:c>
      <x:c r="BE295" s="16" t="e">
        <x:f>IF(BD295="","",INDEX({"v1.4.20","v1.4.20","v1.4.21","v1.4.21","v1.4.23","v1.4.23","v1.4.26","v1.4.26","v1.4.26.1","v1.4.26.1","v1.4.27","v1.4.27","v1.4.29","v1.4.29","v1.4.30","v1.4.30","v1.4.31","v1.4.31","v1.4.33","v1.4.33","v1.4.35","v1.4.35.2","v1.5","v1.5.1","v1.5.1"},MATCH(BD295,CHOOSE({1,2,3,4,5,6,7,8,9,10,11,12,13,14,15,16,17,18,19,20,21,22,23,24,25},E295,G295,I295,K295,M295,O295,Q295,S295,U295,W295,Y295,AA295,AC295,AE295,AG295,AI295,AK295,AM295,AO295,AQ295,AS295,AU295,AW295,AY295,BA295),0)))</x:f>
      </x:c>
      <x:c r="BF295" s="10" t="n">
        <x:f>IFERROR((AX295-BB295)/BB295,"")</x:f>
        <x:v>-1</x:v>
      </x:c>
      <x:c r="BG295" s="10" t="n">
        <x:f>IFERROR((AY295-BD295)/BD295,"")</x:f>
        <x:v>-1</x:v>
      </x:c>
    </x:row>
    <x:row r="296">
      <x:c r="A296" t="str">
        <x:v>Unlocked Care Plan</x:v>
      </x:c>
      <x:c r="B296" t="str">
        <x:v>Validate Templates</x:v>
      </x:c>
      <x:c r="C296" t="str">
        <x:v>Quick validated: Template - Unlocked Care Plan</x:v>
      </x:c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8"/>
      <x:c r="U296" s="8"/>
      <x:c r="V296" s="8"/>
      <x:c r="W296" s="8"/>
      <x:c r="X296" s="8"/>
      <x:c r="Y296" s="8"/>
      <x:c r="Z296" s="8"/>
      <x:c r="AA296" s="8"/>
      <x:c r="AB296" s="8"/>
      <x:c r="AC296" s="8"/>
      <x:c r="AD296" s="8"/>
      <x:c r="AE296" s="8"/>
      <x:c r="AF296" s="8"/>
      <x:c r="AG296" s="8"/>
      <x:c r="AH296" s="8"/>
      <x:c r="AI296" s="8"/>
      <x:c r="AJ296" s="8"/>
      <x:c r="AK296" s="8"/>
      <x:c r="AL296" s="8"/>
      <x:c r="AM296" s="8"/>
      <x:c r="AN296" s="8"/>
      <x:c r="AO296" s="8"/>
      <x:c r="AP296" s="8"/>
      <x:c r="AQ296" s="8"/>
      <x:c r="AR296" s="8"/>
      <x:c r="AS296" s="8"/>
      <x:c r="AT296" s="8"/>
      <x:c r="AU296" s="8"/>
      <x:c r="AV296" s="8" t="n">
        <x:v>0.957</x:v>
      </x:c>
      <x:c r="AW296" s="8" t="n">
        <x:v>10.044</x:v>
      </x:c>
      <x:c r="AX296" s="8" t="n">
        <x:v>1.624</x:v>
      </x:c>
      <x:c r="AY296" s="8" t="n">
        <x:v>9.784</x:v>
      </x:c>
      <x:c r="AZ296" s="8" t="n">
        <x:v>1.624</x:v>
      </x:c>
      <x:c r="BA296" s="8" t="n">
        <x:v>9.784</x:v>
      </x:c>
      <x:c r="BB296" s="8" t="n">
        <x:f>LET(m,MIN(IF(D296&gt;0,D296,1E+99),IF(F296&gt;0,F296,1E+99),IF(H296&gt;0,H296,1E+99),IF(J296&gt;0,J296,1E+99),IF(L296&gt;0,L296,1E+99),IF(N296&gt;0,N296,1E+99),IF(P296&gt;0,P296,1E+99),IF(R296&gt;0,R296,1E+99),IF(T296&gt;0,T296,1E+99),IF(V296&gt;0,V296,1E+99),IF(X296&gt;0,X296,1E+99),IF(Z296&gt;0,Z296,1E+99),IF(AB296&gt;0,AB296,1E+99),IF(AD296&gt;0,AD296,1E+99),IF(AF296&gt;0,AF296,1E+99),IF(AH296&gt;0,AH296,1E+99),IF(AJ296&gt;0,AJ296,1E+99),IF(AL296&gt;0,AL296,1E+99),IF(AN296&gt;0,AN296,1E+99),IF(AP296&gt;0,AP296,1E+99),IF(AR296&gt;0,AR296,1E+99),IF(AT296&gt;0,AT296,1E+99),IF(AV296&gt;0,AV296,1E+99),IF(AX296&gt;0,AX296,1E+99),IF(AZ296&gt;0,AZ296,1E+99)),IF(m=1E+99,"",m))</x:f>
        <x:v>0.957</x:v>
      </x:c>
      <x:c r="BC296" s="12" t="e">
        <x:f>IF(BB296="","",INDEX({"v1.4.20","v1.4.20","v1.4.21","v1.4.21","v1.4.23","v1.4.23","v1.4.26","v1.4.26","v1.4.26.1","v1.4.26.1","v1.4.27","v1.4.27","v1.4.29","v1.4.29","v1.4.30","v1.4.30","v1.4.31","v1.4.31","v1.4.33","v1.4.33","v1.4.35","v1.4.35.2","v1.5","v1.5.1","v1.5.1"},MATCH(BB296,CHOOSE({1,2,3,4,5,6,7,8,9,10,11,12,13,14,15,16,17,18,19,20,21,22,23,24,25},D296,F296,H296,J296,L296,N296,P296,R296,T296,V296,X296,Z296,AB296,AD296,AF296,AH296,AJ296,AL296,AN296,AP296,AR296,AT296,AV296,AX296,AZ296),0)))</x:f>
      </x:c>
      <x:c r="BD296" s="14" t="n">
        <x:f>LET(m,MIN(IF(E296&gt;0,E296,1E+99),IF(G296&gt;0,G296,1E+99),IF(I296&gt;0,I296,1E+99),IF(K296&gt;0,K296,1E+99),IF(M296&gt;0,M296,1E+99),IF(O296&gt;0,O296,1E+99),IF(Q296&gt;0,Q296,1E+99),IF(S296&gt;0,S296,1E+99),IF(U296&gt;0,U296,1E+99),IF(W296&gt;0,W296,1E+99),IF(Y296&gt;0,Y296,1E+99),IF(AA296&gt;0,AA296,1E+99),IF(AC296&gt;0,AC296,1E+99),IF(AE296&gt;0,AE296,1E+99),IF(AG296&gt;0,AG296,1E+99),IF(AI296&gt;0,AI296,1E+99),IF(AK296&gt;0,AK296,1E+99),IF(AM296&gt;0,AM296,1E+99),IF(AO296&gt;0,AO296,1E+99),IF(AQ296&gt;0,AQ296,1E+99),IF(AS296&gt;0,AS296,1E+99),IF(AU296&gt;0,AU296,1E+99),IF(AW296&gt;0,AW296,1E+99),IF(AY296&gt;0,AY296,1E+99),IF(BA296&gt;0,BA296,1E+99)),IF(m=1E+99,"",m))</x:f>
        <x:v>9.784</x:v>
      </x:c>
      <x:c r="BE296" s="16" t="e">
        <x:f>IF(BD296="","",INDEX({"v1.4.20","v1.4.20","v1.4.21","v1.4.21","v1.4.23","v1.4.23","v1.4.26","v1.4.26","v1.4.26.1","v1.4.26.1","v1.4.27","v1.4.27","v1.4.29","v1.4.29","v1.4.30","v1.4.30","v1.4.31","v1.4.31","v1.4.33","v1.4.33","v1.4.35","v1.4.35.2","v1.5","v1.5.1","v1.5.1"},MATCH(BD296,CHOOSE({1,2,3,4,5,6,7,8,9,10,11,12,13,14,15,16,17,18,19,20,21,22,23,24,25},E296,G296,I296,K296,M296,O296,Q296,S296,U296,W296,Y296,AA296,AC296,AE296,AG296,AI296,AK296,AM296,AO296,AQ296,AS296,AU296,AW296,AY296,BA296),0)))</x:f>
      </x:c>
      <x:c r="BF296" s="10" t="n">
        <x:f>IFERROR((AX296-BB296)/BB296,"")</x:f>
        <x:v>0.6969696969696971</x:v>
      </x:c>
      <x:c r="BG296" s="10" t="n">
        <x:f>IFERROR((AY296-BD296)/BD296,"")</x:f>
        <x:v>0</x:v>
      </x:c>
    </x:row>
    <x:row r="297">
      <x:c r="A297" t="str">
        <x:v>Unlocked Care Plan</x:v>
      </x:c>
      <x:c r="B297" t="str">
        <x:v>Validate Templates</x:v>
      </x:c>
      <x:c r="C297" t="str">
        <x:v>Validated: Template - Unlocked Care Plan</x:v>
      </x:c>
      <x:c r="D297" s="8" t="n">
        <x:v>0.308</x:v>
      </x:c>
      <x:c r="E297" s="8" t="n">
        <x:v>7.763</x:v>
      </x:c>
      <x:c r="F297" s="8"/>
      <x:c r="G297" s="8"/>
      <x:c r="H297" s="8" t="n">
        <x:v>0.433</x:v>
      </x:c>
      <x:c r="I297" s="8" t="n">
        <x:v>6.628</x:v>
      </x:c>
      <x:c r="J297" s="8" t="n">
        <x:v>0.433</x:v>
      </x:c>
      <x:c r="K297" s="8" t="n">
        <x:v>6.628</x:v>
      </x:c>
      <x:c r="L297" s="8" t="n">
        <x:v>0.293</x:v>
      </x:c>
      <x:c r="M297" s="8" t="n">
        <x:v>7.406</x:v>
      </x:c>
      <x:c r="N297" s="8" t="n">
        <x:v>0.293</x:v>
      </x:c>
      <x:c r="O297" s="8" t="n">
        <x:v>7.406</x:v>
      </x:c>
      <x:c r="P297" s="8" t="n">
        <x:v>0.204</x:v>
      </x:c>
      <x:c r="Q297" s="8" t="n">
        <x:v>6.296</x:v>
      </x:c>
      <x:c r="R297" s="8" t="n">
        <x:v>0.204</x:v>
      </x:c>
      <x:c r="S297" s="8" t="n">
        <x:v>6.296</x:v>
      </x:c>
      <x:c r="T297" s="8" t="n">
        <x:v>0.313</x:v>
      </x:c>
      <x:c r="U297" s="8" t="n">
        <x:v>6.477</x:v>
      </x:c>
      <x:c r="V297" s="8" t="n">
        <x:v>0.313</x:v>
      </x:c>
      <x:c r="W297" s="8" t="n">
        <x:v>6.477</x:v>
      </x:c>
      <x:c r="X297" s="8" t="n">
        <x:v>0.196</x:v>
      </x:c>
      <x:c r="Y297" s="8" t="n">
        <x:v>6.541</x:v>
      </x:c>
      <x:c r="Z297" s="8" t="n">
        <x:v>0.196</x:v>
      </x:c>
      <x:c r="AA297" s="8" t="n">
        <x:v>6.541</x:v>
      </x:c>
      <x:c r="AB297" s="8" t="n">
        <x:v>0.475</x:v>
      </x:c>
      <x:c r="AC297" s="8" t="n">
        <x:v>7.494</x:v>
      </x:c>
      <x:c r="AD297" s="8" t="n">
        <x:v>0.475</x:v>
      </x:c>
      <x:c r="AE297" s="8" t="n">
        <x:v>7.494</x:v>
      </x:c>
      <x:c r="AF297" s="8" t="n">
        <x:v>0.381</x:v>
      </x:c>
      <x:c r="AG297" s="8" t="n">
        <x:v>6.836</x:v>
      </x:c>
      <x:c r="AH297" s="8" t="n">
        <x:v>0.381</x:v>
      </x:c>
      <x:c r="AI297" s="8" t="n">
        <x:v>6.836</x:v>
      </x:c>
      <x:c r="AJ297" s="8"/>
      <x:c r="AK297" s="8"/>
      <x:c r="AL297" s="8" t="n">
        <x:v>0.234</x:v>
      </x:c>
      <x:c r="AM297" s="8" t="n">
        <x:v>7.373</x:v>
      </x:c>
      <x:c r="AN297" s="8" t="n">
        <x:v>0.135</x:v>
      </x:c>
      <x:c r="AO297" s="8" t="n">
        <x:v>7.453</x:v>
      </x:c>
      <x:c r="AP297" s="8" t="n">
        <x:v>0.135</x:v>
      </x:c>
      <x:c r="AQ297" s="8" t="n">
        <x:v>7.453</x:v>
      </x:c>
      <x:c r="AR297" s="8" t="n">
        <x:v>0.297</x:v>
      </x:c>
      <x:c r="AS297" s="8" t="n">
        <x:v>6.803</x:v>
      </x:c>
      <x:c r="AT297" s="8" t="n">
        <x:v>0.192</x:v>
      </x:c>
      <x:c r="AU297" s="8" t="n">
        <x:v>5.507</x:v>
      </x:c>
      <x:c r="AV297" s="8"/>
      <x:c r="AW297" s="8"/>
      <x:c r="AX297" s="8"/>
      <x:c r="AY297" s="8"/>
      <x:c r="AZ297" s="8"/>
      <x:c r="BA297" s="8"/>
      <x:c r="BB297" s="8" t="n">
        <x:f>LET(m,MIN(IF(D297&gt;0,D297,1E+99),IF(F297&gt;0,F297,1E+99),IF(H297&gt;0,H297,1E+99),IF(J297&gt;0,J297,1E+99),IF(L297&gt;0,L297,1E+99),IF(N297&gt;0,N297,1E+99),IF(P297&gt;0,P297,1E+99),IF(R297&gt;0,R297,1E+99),IF(T297&gt;0,T297,1E+99),IF(V297&gt;0,V297,1E+99),IF(X297&gt;0,X297,1E+99),IF(Z297&gt;0,Z297,1E+99),IF(AB297&gt;0,AB297,1E+99),IF(AD297&gt;0,AD297,1E+99),IF(AF297&gt;0,AF297,1E+99),IF(AH297&gt;0,AH297,1E+99),IF(AJ297&gt;0,AJ297,1E+99),IF(AL297&gt;0,AL297,1E+99),IF(AN297&gt;0,AN297,1E+99),IF(AP297&gt;0,AP297,1E+99),IF(AR297&gt;0,AR297,1E+99),IF(AT297&gt;0,AT297,1E+99),IF(AV297&gt;0,AV297,1E+99),IF(AX297&gt;0,AX297,1E+99),IF(AZ297&gt;0,AZ297,1E+99)),IF(m=1E+99,"",m))</x:f>
        <x:v>0.135</x:v>
      </x:c>
      <x:c r="BC297" s="12" t="e">
        <x:f>IF(BB297="","",INDEX({"v1.4.20","v1.4.20","v1.4.21","v1.4.21","v1.4.23","v1.4.23","v1.4.26","v1.4.26","v1.4.26.1","v1.4.26.1","v1.4.27","v1.4.27","v1.4.29","v1.4.29","v1.4.30","v1.4.30","v1.4.31","v1.4.31","v1.4.33","v1.4.33","v1.4.35","v1.4.35.2","v1.5","v1.5.1","v1.5.1"},MATCH(BB297,CHOOSE({1,2,3,4,5,6,7,8,9,10,11,12,13,14,15,16,17,18,19,20,21,22,23,24,25},D297,F297,H297,J297,L297,N297,P297,R297,T297,V297,X297,Z297,AB297,AD297,AF297,AH297,AJ297,AL297,AN297,AP297,AR297,AT297,AV297,AX297,AZ297),0)))</x:f>
      </x:c>
      <x:c r="BD297" s="14" t="n">
        <x:f>LET(m,MIN(IF(E297&gt;0,E297,1E+99),IF(G297&gt;0,G297,1E+99),IF(I297&gt;0,I297,1E+99),IF(K297&gt;0,K297,1E+99),IF(M297&gt;0,M297,1E+99),IF(O297&gt;0,O297,1E+99),IF(Q297&gt;0,Q297,1E+99),IF(S297&gt;0,S297,1E+99),IF(U297&gt;0,U297,1E+99),IF(W297&gt;0,W297,1E+99),IF(Y297&gt;0,Y297,1E+99),IF(AA297&gt;0,AA297,1E+99),IF(AC297&gt;0,AC297,1E+99),IF(AE297&gt;0,AE297,1E+99),IF(AG297&gt;0,AG297,1E+99),IF(AI297&gt;0,AI297,1E+99),IF(AK297&gt;0,AK297,1E+99),IF(AM297&gt;0,AM297,1E+99),IF(AO297&gt;0,AO297,1E+99),IF(AQ297&gt;0,AQ297,1E+99),IF(AS297&gt;0,AS297,1E+99),IF(AU297&gt;0,AU297,1E+99),IF(AW297&gt;0,AW297,1E+99),IF(AY297&gt;0,AY297,1E+99),IF(BA297&gt;0,BA297,1E+99)),IF(m=1E+99,"",m))</x:f>
        <x:v>5.507</x:v>
      </x:c>
      <x:c r="BE297" s="16" t="e">
        <x:f>IF(BD297="","",INDEX({"v1.4.20","v1.4.20","v1.4.21","v1.4.21","v1.4.23","v1.4.23","v1.4.26","v1.4.26","v1.4.26.1","v1.4.26.1","v1.4.27","v1.4.27","v1.4.29","v1.4.29","v1.4.30","v1.4.30","v1.4.31","v1.4.31","v1.4.33","v1.4.33","v1.4.35","v1.4.35.2","v1.5","v1.5.1","v1.5.1"},MATCH(BD297,CHOOSE({1,2,3,4,5,6,7,8,9,10,11,12,13,14,15,16,17,18,19,20,21,22,23,24,25},E297,G297,I297,K297,M297,O297,Q297,S297,U297,W297,Y297,AA297,AC297,AE297,AG297,AI297,AK297,AM297,AO297,AQ297,AS297,AU297,AW297,AY297,BA297),0)))</x:f>
      </x:c>
      <x:c r="BF297" s="10" t="n">
        <x:f>IFERROR((AX297-BB297)/BB297,"")</x:f>
        <x:v>-1</x:v>
      </x:c>
      <x:c r="BG297" s="10" t="n">
        <x:f>IFERROR((AY297-BD297)/BD297,"")</x:f>
        <x:v>-1</x:v>
      </x:c>
    </x:row>
    <x:row r="298">
      <x:c r="A298" t="str">
        <x:v>Demo P</x:v>
      </x:c>
      <x:c r="B298" t="str">
        <x:v>Validate Templates</x:v>
      </x:c>
      <x:c r="C298" t="str">
        <x:v>Quick validated: Template - Demo P</x:v>
      </x:c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8"/>
      <x:c r="U298" s="8"/>
      <x:c r="V298" s="8"/>
      <x:c r="W298" s="8"/>
      <x:c r="X298" s="8"/>
      <x:c r="Y298" s="8"/>
      <x:c r="Z298" s="8"/>
      <x:c r="AA298" s="8"/>
      <x:c r="AB298" s="8"/>
      <x:c r="AC298" s="8"/>
      <x:c r="AD298" s="8"/>
      <x:c r="AE298" s="8"/>
      <x:c r="AF298" s="8"/>
      <x:c r="AG298" s="8"/>
      <x:c r="AH298" s="8"/>
      <x:c r="AI298" s="8"/>
      <x:c r="AJ298" s="8"/>
      <x:c r="AK298" s="8"/>
      <x:c r="AL298" s="8"/>
      <x:c r="AM298" s="8"/>
      <x:c r="AN298" s="8"/>
      <x:c r="AO298" s="8"/>
      <x:c r="AP298" s="8"/>
      <x:c r="AQ298" s="8"/>
      <x:c r="AR298" s="8"/>
      <x:c r="AS298" s="8"/>
      <x:c r="AT298" s="8"/>
      <x:c r="AU298" s="8"/>
      <x:c r="AV298" s="8" t="n">
        <x:v>0.65</x:v>
      </x:c>
      <x:c r="AW298" s="8" t="n">
        <x:v>10.694</x:v>
      </x:c>
      <x:c r="AX298" s="8" t="n">
        <x:v>0.81</x:v>
      </x:c>
      <x:c r="AY298" s="8" t="n">
        <x:v>10.594</x:v>
      </x:c>
      <x:c r="AZ298" s="8" t="n">
        <x:v>0.81</x:v>
      </x:c>
      <x:c r="BA298" s="8" t="n">
        <x:v>10.594</x:v>
      </x:c>
      <x:c r="BB298" s="8" t="n">
        <x:f>LET(m,MIN(IF(D298&gt;0,D298,1E+99),IF(F298&gt;0,F298,1E+99),IF(H298&gt;0,H298,1E+99),IF(J298&gt;0,J298,1E+99),IF(L298&gt;0,L298,1E+99),IF(N298&gt;0,N298,1E+99),IF(P298&gt;0,P298,1E+99),IF(R298&gt;0,R298,1E+99),IF(T298&gt;0,T298,1E+99),IF(V298&gt;0,V298,1E+99),IF(X298&gt;0,X298,1E+99),IF(Z298&gt;0,Z298,1E+99),IF(AB298&gt;0,AB298,1E+99),IF(AD298&gt;0,AD298,1E+99),IF(AF298&gt;0,AF298,1E+99),IF(AH298&gt;0,AH298,1E+99),IF(AJ298&gt;0,AJ298,1E+99),IF(AL298&gt;0,AL298,1E+99),IF(AN298&gt;0,AN298,1E+99),IF(AP298&gt;0,AP298,1E+99),IF(AR298&gt;0,AR298,1E+99),IF(AT298&gt;0,AT298,1E+99),IF(AV298&gt;0,AV298,1E+99),IF(AX298&gt;0,AX298,1E+99),IF(AZ298&gt;0,AZ298,1E+99)),IF(m=1E+99,"",m))</x:f>
        <x:v>0.65</x:v>
      </x:c>
      <x:c r="BC298" s="12" t="e">
        <x:f>IF(BB298="","",INDEX({"v1.4.20","v1.4.20","v1.4.21","v1.4.21","v1.4.23","v1.4.23","v1.4.26","v1.4.26","v1.4.26.1","v1.4.26.1","v1.4.27","v1.4.27","v1.4.29","v1.4.29","v1.4.30","v1.4.30","v1.4.31","v1.4.31","v1.4.33","v1.4.33","v1.4.35","v1.4.35.2","v1.5","v1.5.1","v1.5.1"},MATCH(BB298,CHOOSE({1,2,3,4,5,6,7,8,9,10,11,12,13,14,15,16,17,18,19,20,21,22,23,24,25},D298,F298,H298,J298,L298,N298,P298,R298,T298,V298,X298,Z298,AB298,AD298,AF298,AH298,AJ298,AL298,AN298,AP298,AR298,AT298,AV298,AX298,AZ298),0)))</x:f>
      </x:c>
      <x:c r="BD298" s="14" t="n">
        <x:f>LET(m,MIN(IF(E298&gt;0,E298,1E+99),IF(G298&gt;0,G298,1E+99),IF(I298&gt;0,I298,1E+99),IF(K298&gt;0,K298,1E+99),IF(M298&gt;0,M298,1E+99),IF(O298&gt;0,O298,1E+99),IF(Q298&gt;0,Q298,1E+99),IF(S298&gt;0,S298,1E+99),IF(U298&gt;0,U298,1E+99),IF(W298&gt;0,W298,1E+99),IF(Y298&gt;0,Y298,1E+99),IF(AA298&gt;0,AA298,1E+99),IF(AC298&gt;0,AC298,1E+99),IF(AE298&gt;0,AE298,1E+99),IF(AG298&gt;0,AG298,1E+99),IF(AI298&gt;0,AI298,1E+99),IF(AK298&gt;0,AK298,1E+99),IF(AM298&gt;0,AM298,1E+99),IF(AO298&gt;0,AO298,1E+99),IF(AQ298&gt;0,AQ298,1E+99),IF(AS298&gt;0,AS298,1E+99),IF(AU298&gt;0,AU298,1E+99),IF(AW298&gt;0,AW298,1E+99),IF(AY298&gt;0,AY298,1E+99),IF(BA298&gt;0,BA298,1E+99)),IF(m=1E+99,"",m))</x:f>
        <x:v>10.594</x:v>
      </x:c>
      <x:c r="BE298" s="16" t="e">
        <x:f>IF(BD298="","",INDEX({"v1.4.20","v1.4.20","v1.4.21","v1.4.21","v1.4.23","v1.4.23","v1.4.26","v1.4.26","v1.4.26.1","v1.4.26.1","v1.4.27","v1.4.27","v1.4.29","v1.4.29","v1.4.30","v1.4.30","v1.4.31","v1.4.31","v1.4.33","v1.4.33","v1.4.35","v1.4.35.2","v1.5","v1.5.1","v1.5.1"},MATCH(BD298,CHOOSE({1,2,3,4,5,6,7,8,9,10,11,12,13,14,15,16,17,18,19,20,21,22,23,24,25},E298,G298,I298,K298,M298,O298,Q298,S298,U298,W298,Y298,AA298,AC298,AE298,AG298,AI298,AK298,AM298,AO298,AQ298,AS298,AU298,AW298,AY298,BA298),0)))</x:f>
      </x:c>
      <x:c r="BF298" s="10" t="n">
        <x:f>IFERROR((AX298-BB298)/BB298,"")</x:f>
        <x:v>0.2461538461538462</x:v>
      </x:c>
      <x:c r="BG298" s="10" t="n">
        <x:f>IFERROR((AY298-BD298)/BD298,"")</x:f>
        <x:v>0</x:v>
      </x:c>
    </x:row>
    <x:row r="299">
      <x:c r="A299" t="str">
        <x:v>Demo P</x:v>
      </x:c>
      <x:c r="B299" t="str">
        <x:v>Validate Templates</x:v>
      </x:c>
      <x:c r="C299" t="str">
        <x:v>Validated: Template - Demo P</x:v>
      </x:c>
      <x:c r="D299" s="8" t="n">
        <x:v>0.213</x:v>
      </x:c>
      <x:c r="E299" s="8" t="n">
        <x:v>7.976</x:v>
      </x:c>
      <x:c r="F299" s="8"/>
      <x:c r="G299" s="8"/>
      <x:c r="H299" s="8" t="n">
        <x:v>0.248</x:v>
      </x:c>
      <x:c r="I299" s="8" t="n">
        <x:v>6.876</x:v>
      </x:c>
      <x:c r="J299" s="8" t="n">
        <x:v>0.248</x:v>
      </x:c>
      <x:c r="K299" s="8" t="n">
        <x:v>6.876</x:v>
      </x:c>
      <x:c r="L299" s="8" t="n">
        <x:v>0.241</x:v>
      </x:c>
      <x:c r="M299" s="8" t="n">
        <x:v>7.647</x:v>
      </x:c>
      <x:c r="N299" s="8" t="n">
        <x:v>0.241</x:v>
      </x:c>
      <x:c r="O299" s="8" t="n">
        <x:v>7.647</x:v>
      </x:c>
      <x:c r="P299" s="8" t="n">
        <x:v>0.164</x:v>
      </x:c>
      <x:c r="Q299" s="8" t="n">
        <x:v>6.46</x:v>
      </x:c>
      <x:c r="R299" s="8" t="n">
        <x:v>0.164</x:v>
      </x:c>
      <x:c r="S299" s="8" t="n">
        <x:v>6.46</x:v>
      </x:c>
      <x:c r="T299" s="8" t="n">
        <x:v>0.309</x:v>
      </x:c>
      <x:c r="U299" s="8" t="n">
        <x:v>6.786</x:v>
      </x:c>
      <x:c r="V299" s="8" t="n">
        <x:v>0.309</x:v>
      </x:c>
      <x:c r="W299" s="8" t="n">
        <x:v>6.786</x:v>
      </x:c>
      <x:c r="X299" s="8" t="n">
        <x:v>0.154</x:v>
      </x:c>
      <x:c r="Y299" s="8" t="n">
        <x:v>6.695</x:v>
      </x:c>
      <x:c r="Z299" s="8" t="n">
        <x:v>0.154</x:v>
      </x:c>
      <x:c r="AA299" s="8" t="n">
        <x:v>6.695</x:v>
      </x:c>
      <x:c r="AB299" s="8" t="n">
        <x:v>0.305</x:v>
      </x:c>
      <x:c r="AC299" s="8" t="n">
        <x:v>7.799</x:v>
      </x:c>
      <x:c r="AD299" s="8" t="n">
        <x:v>0.305</x:v>
      </x:c>
      <x:c r="AE299" s="8" t="n">
        <x:v>7.799</x:v>
      </x:c>
      <x:c r="AF299" s="8" t="n">
        <x:v>0.209</x:v>
      </x:c>
      <x:c r="AG299" s="8" t="n">
        <x:v>7.045</x:v>
      </x:c>
      <x:c r="AH299" s="8" t="n">
        <x:v>0.209</x:v>
      </x:c>
      <x:c r="AI299" s="8" t="n">
        <x:v>7.045</x:v>
      </x:c>
      <x:c r="AJ299" s="8"/>
      <x:c r="AK299" s="8"/>
      <x:c r="AL299" s="8" t="n">
        <x:v>0.563</x:v>
      </x:c>
      <x:c r="AM299" s="8" t="n">
        <x:v>7.936</x:v>
      </x:c>
      <x:c r="AN299" s="8" t="n">
        <x:v>0.995</x:v>
      </x:c>
      <x:c r="AO299" s="8" t="n">
        <x:v>8.448</x:v>
      </x:c>
      <x:c r="AP299" s="8" t="n">
        <x:v>0.995</x:v>
      </x:c>
      <x:c r="AQ299" s="8" t="n">
        <x:v>8.448</x:v>
      </x:c>
      <x:c r="AR299" s="8" t="n">
        <x:v>0.262</x:v>
      </x:c>
      <x:c r="AS299" s="8" t="n">
        <x:v>7.065</x:v>
      </x:c>
      <x:c r="AT299" s="8" t="n">
        <x:v>0.242</x:v>
      </x:c>
      <x:c r="AU299" s="8" t="n">
        <x:v>5.749</x:v>
      </x:c>
      <x:c r="AV299" s="8"/>
      <x:c r="AW299" s="8"/>
      <x:c r="AX299" s="8"/>
      <x:c r="AY299" s="8"/>
      <x:c r="AZ299" s="8"/>
      <x:c r="BA299" s="8"/>
      <x:c r="BB299" s="8" t="n">
        <x:f>LET(m,MIN(IF(D299&gt;0,D299,1E+99),IF(F299&gt;0,F299,1E+99),IF(H299&gt;0,H299,1E+99),IF(J299&gt;0,J299,1E+99),IF(L299&gt;0,L299,1E+99),IF(N299&gt;0,N299,1E+99),IF(P299&gt;0,P299,1E+99),IF(R299&gt;0,R299,1E+99),IF(T299&gt;0,T299,1E+99),IF(V299&gt;0,V299,1E+99),IF(X299&gt;0,X299,1E+99),IF(Z299&gt;0,Z299,1E+99),IF(AB299&gt;0,AB299,1E+99),IF(AD299&gt;0,AD299,1E+99),IF(AF299&gt;0,AF299,1E+99),IF(AH299&gt;0,AH299,1E+99),IF(AJ299&gt;0,AJ299,1E+99),IF(AL299&gt;0,AL299,1E+99),IF(AN299&gt;0,AN299,1E+99),IF(AP299&gt;0,AP299,1E+99),IF(AR299&gt;0,AR299,1E+99),IF(AT299&gt;0,AT299,1E+99),IF(AV299&gt;0,AV299,1E+99),IF(AX299&gt;0,AX299,1E+99),IF(AZ299&gt;0,AZ299,1E+99)),IF(m=1E+99,"",m))</x:f>
        <x:v>0.154</x:v>
      </x:c>
      <x:c r="BC299" s="12" t="e">
        <x:f>IF(BB299="","",INDEX({"v1.4.20","v1.4.20","v1.4.21","v1.4.21","v1.4.23","v1.4.23","v1.4.26","v1.4.26","v1.4.26.1","v1.4.26.1","v1.4.27","v1.4.27","v1.4.29","v1.4.29","v1.4.30","v1.4.30","v1.4.31","v1.4.31","v1.4.33","v1.4.33","v1.4.35","v1.4.35.2","v1.5","v1.5.1","v1.5.1"},MATCH(BB299,CHOOSE({1,2,3,4,5,6,7,8,9,10,11,12,13,14,15,16,17,18,19,20,21,22,23,24,25},D299,F299,H299,J299,L299,N299,P299,R299,T299,V299,X299,Z299,AB299,AD299,AF299,AH299,AJ299,AL299,AN299,AP299,AR299,AT299,AV299,AX299,AZ299),0)))</x:f>
      </x:c>
      <x:c r="BD299" s="14" t="n">
        <x:f>LET(m,MIN(IF(E299&gt;0,E299,1E+99),IF(G299&gt;0,G299,1E+99),IF(I299&gt;0,I299,1E+99),IF(K299&gt;0,K299,1E+99),IF(M299&gt;0,M299,1E+99),IF(O299&gt;0,O299,1E+99),IF(Q299&gt;0,Q299,1E+99),IF(S299&gt;0,S299,1E+99),IF(U299&gt;0,U299,1E+99),IF(W299&gt;0,W299,1E+99),IF(Y299&gt;0,Y299,1E+99),IF(AA299&gt;0,AA299,1E+99),IF(AC299&gt;0,AC299,1E+99),IF(AE299&gt;0,AE299,1E+99),IF(AG299&gt;0,AG299,1E+99),IF(AI299&gt;0,AI299,1E+99),IF(AK299&gt;0,AK299,1E+99),IF(AM299&gt;0,AM299,1E+99),IF(AO299&gt;0,AO299,1E+99),IF(AQ299&gt;0,AQ299,1E+99),IF(AS299&gt;0,AS299,1E+99),IF(AU299&gt;0,AU299,1E+99),IF(AW299&gt;0,AW299,1E+99),IF(AY299&gt;0,AY299,1E+99),IF(BA299&gt;0,BA299,1E+99)),IF(m=1E+99,"",m))</x:f>
        <x:v>5.749</x:v>
      </x:c>
      <x:c r="BE299" s="16" t="e">
        <x:f>IF(BD299="","",INDEX({"v1.4.20","v1.4.20","v1.4.21","v1.4.21","v1.4.23","v1.4.23","v1.4.26","v1.4.26","v1.4.26.1","v1.4.26.1","v1.4.27","v1.4.27","v1.4.29","v1.4.29","v1.4.30","v1.4.30","v1.4.31","v1.4.31","v1.4.33","v1.4.33","v1.4.35","v1.4.35.2","v1.5","v1.5.1","v1.5.1"},MATCH(BD299,CHOOSE({1,2,3,4,5,6,7,8,9,10,11,12,13,14,15,16,17,18,19,20,21,22,23,24,25},E299,G299,I299,K299,M299,O299,Q299,S299,U299,W299,Y299,AA299,AC299,AE299,AG299,AI299,AK299,AM299,AO299,AQ299,AS299,AU299,AW299,AY299,BA299),0)))</x:f>
      </x:c>
      <x:c r="BF299" s="10" t="n">
        <x:f>IFERROR((AX299-BB299)/BB299,"")</x:f>
        <x:v>-1</x:v>
      </x:c>
      <x:c r="BG299" s="10" t="n">
        <x:f>IFERROR((AY299-BD299)/BD299,"")</x:f>
        <x:v>-1</x:v>
      </x:c>
    </x:row>
    <x:row r="300">
      <x:c r="A300" t="str">
        <x:v>Master List</x:v>
      </x:c>
      <x:c r="B300" t="str">
        <x:v>Validate Templates</x:v>
      </x:c>
      <x:c r="C300" t="str">
        <x:v>Quick validated: Template - Master List</x:v>
      </x:c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8"/>
      <x:c r="U300" s="8"/>
      <x:c r="V300" s="8"/>
      <x:c r="W300" s="8"/>
      <x:c r="X300" s="8"/>
      <x:c r="Y300" s="8"/>
      <x:c r="Z300" s="8"/>
      <x:c r="AA300" s="8"/>
      <x:c r="AB300" s="8"/>
      <x:c r="AC300" s="8"/>
      <x:c r="AD300" s="8"/>
      <x:c r="AE300" s="8"/>
      <x:c r="AF300" s="8"/>
      <x:c r="AG300" s="8"/>
      <x:c r="AH300" s="8"/>
      <x:c r="AI300" s="8"/>
      <x:c r="AJ300" s="8"/>
      <x:c r="AK300" s="8"/>
      <x:c r="AL300" s="8"/>
      <x:c r="AM300" s="8"/>
      <x:c r="AN300" s="8"/>
      <x:c r="AO300" s="8"/>
      <x:c r="AP300" s="8"/>
      <x:c r="AQ300" s="8"/>
      <x:c r="AR300" s="8"/>
      <x:c r="AS300" s="8"/>
      <x:c r="AT300" s="8"/>
      <x:c r="AU300" s="8"/>
      <x:c r="AV300" s="8" t="n">
        <x:v>0.648</x:v>
      </x:c>
      <x:c r="AW300" s="8" t="n">
        <x:v>11.342</x:v>
      </x:c>
      <x:c r="AX300" s="8" t="n">
        <x:v>1.385</x:v>
      </x:c>
      <x:c r="AY300" s="8" t="n">
        <x:v>11.979</x:v>
      </x:c>
      <x:c r="AZ300" s="8" t="n">
        <x:v>1.385</x:v>
      </x:c>
      <x:c r="BA300" s="8" t="n">
        <x:v>11.979</x:v>
      </x:c>
      <x:c r="BB300" s="8" t="n">
        <x:f>LET(m,MIN(IF(D300&gt;0,D300,1E+99),IF(F300&gt;0,F300,1E+99),IF(H300&gt;0,H300,1E+99),IF(J300&gt;0,J300,1E+99),IF(L300&gt;0,L300,1E+99),IF(N300&gt;0,N300,1E+99),IF(P300&gt;0,P300,1E+99),IF(R300&gt;0,R300,1E+99),IF(T300&gt;0,T300,1E+99),IF(V300&gt;0,V300,1E+99),IF(X300&gt;0,X300,1E+99),IF(Z300&gt;0,Z300,1E+99),IF(AB300&gt;0,AB300,1E+99),IF(AD300&gt;0,AD300,1E+99),IF(AF300&gt;0,AF300,1E+99),IF(AH300&gt;0,AH300,1E+99),IF(AJ300&gt;0,AJ300,1E+99),IF(AL300&gt;0,AL300,1E+99),IF(AN300&gt;0,AN300,1E+99),IF(AP300&gt;0,AP300,1E+99),IF(AR300&gt;0,AR300,1E+99),IF(AT300&gt;0,AT300,1E+99),IF(AV300&gt;0,AV300,1E+99),IF(AX300&gt;0,AX300,1E+99),IF(AZ300&gt;0,AZ300,1E+99)),IF(m=1E+99,"",m))</x:f>
        <x:v>0.648</x:v>
      </x:c>
      <x:c r="BC300" s="12" t="e">
        <x:f>IF(BB300="","",INDEX({"v1.4.20","v1.4.20","v1.4.21","v1.4.21","v1.4.23","v1.4.23","v1.4.26","v1.4.26","v1.4.26.1","v1.4.26.1","v1.4.27","v1.4.27","v1.4.29","v1.4.29","v1.4.30","v1.4.30","v1.4.31","v1.4.31","v1.4.33","v1.4.33","v1.4.35","v1.4.35.2","v1.5","v1.5.1","v1.5.1"},MATCH(BB300,CHOOSE({1,2,3,4,5,6,7,8,9,10,11,12,13,14,15,16,17,18,19,20,21,22,23,24,25},D300,F300,H300,J300,L300,N300,P300,R300,T300,V300,X300,Z300,AB300,AD300,AF300,AH300,AJ300,AL300,AN300,AP300,AR300,AT300,AV300,AX300,AZ300),0)))</x:f>
      </x:c>
      <x:c r="BD300" s="14" t="n">
        <x:f>LET(m,MIN(IF(E300&gt;0,E300,1E+99),IF(G300&gt;0,G300,1E+99),IF(I300&gt;0,I300,1E+99),IF(K300&gt;0,K300,1E+99),IF(M300&gt;0,M300,1E+99),IF(O300&gt;0,O300,1E+99),IF(Q300&gt;0,Q300,1E+99),IF(S300&gt;0,S300,1E+99),IF(U300&gt;0,U300,1E+99),IF(W300&gt;0,W300,1E+99),IF(Y300&gt;0,Y300,1E+99),IF(AA300&gt;0,AA300,1E+99),IF(AC300&gt;0,AC300,1E+99),IF(AE300&gt;0,AE300,1E+99),IF(AG300&gt;0,AG300,1E+99),IF(AI300&gt;0,AI300,1E+99),IF(AK300&gt;0,AK300,1E+99),IF(AM300&gt;0,AM300,1E+99),IF(AO300&gt;0,AO300,1E+99),IF(AQ300&gt;0,AQ300,1E+99),IF(AS300&gt;0,AS300,1E+99),IF(AU300&gt;0,AU300,1E+99),IF(AW300&gt;0,AW300,1E+99),IF(AY300&gt;0,AY300,1E+99),IF(BA300&gt;0,BA300,1E+99)),IF(m=1E+99,"",m))</x:f>
        <x:v>11.342</x:v>
      </x:c>
      <x:c r="BE300" s="16" t="e">
        <x:f>IF(BD300="","",INDEX({"v1.4.20","v1.4.20","v1.4.21","v1.4.21","v1.4.23","v1.4.23","v1.4.26","v1.4.26","v1.4.26.1","v1.4.26.1","v1.4.27","v1.4.27","v1.4.29","v1.4.29","v1.4.30","v1.4.30","v1.4.31","v1.4.31","v1.4.33","v1.4.33","v1.4.35","v1.4.35.2","v1.5","v1.5.1","v1.5.1"},MATCH(BD300,CHOOSE({1,2,3,4,5,6,7,8,9,10,11,12,13,14,15,16,17,18,19,20,21,22,23,24,25},E300,G300,I300,K300,M300,O300,Q300,S300,U300,W300,Y300,AA300,AC300,AE300,AG300,AI300,AK300,AM300,AO300,AQ300,AS300,AU300,AW300,AY300,BA300),0)))</x:f>
      </x:c>
      <x:c r="BF300" s="10" t="n">
        <x:f>IFERROR((AX300-BB300)/BB300,"")</x:f>
        <x:v>1.1373456790123457</x:v>
      </x:c>
      <x:c r="BG300" s="10" t="n">
        <x:f>IFERROR((AY300-BD300)/BD300,"")</x:f>
        <x:v>0.056162934226767644</x:v>
      </x:c>
    </x:row>
    <x:row r="301">
      <x:c r="A301" t="str">
        <x:v>Master List</x:v>
      </x:c>
      <x:c r="B301" t="str">
        <x:v>Validate Templates</x:v>
      </x:c>
      <x:c r="C301" t="str">
        <x:v>Validated: Template - Master List</x:v>
      </x:c>
      <x:c r="D301" s="8" t="n">
        <x:v>0.219</x:v>
      </x:c>
      <x:c r="E301" s="8" t="n">
        <x:v>8.195</x:v>
      </x:c>
      <x:c r="F301" s="8"/>
      <x:c r="G301" s="8"/>
      <x:c r="H301" s="8" t="n">
        <x:v>0.351</x:v>
      </x:c>
      <x:c r="I301" s="8" t="n">
        <x:v>7.227</x:v>
      </x:c>
      <x:c r="J301" s="8" t="n">
        <x:v>0.351</x:v>
      </x:c>
      <x:c r="K301" s="8" t="n">
        <x:v>7.227</x:v>
      </x:c>
      <x:c r="L301" s="8" t="n">
        <x:v>0.244</x:v>
      </x:c>
      <x:c r="M301" s="8" t="n">
        <x:v>7.891</x:v>
      </x:c>
      <x:c r="N301" s="8" t="n">
        <x:v>0.244</x:v>
      </x:c>
      <x:c r="O301" s="8" t="n">
        <x:v>7.891</x:v>
      </x:c>
      <x:c r="P301" s="8" t="n">
        <x:v>0.121</x:v>
      </x:c>
      <x:c r="Q301" s="8" t="n">
        <x:v>6.581</x:v>
      </x:c>
      <x:c r="R301" s="8" t="n">
        <x:v>0.121</x:v>
      </x:c>
      <x:c r="S301" s="8" t="n">
        <x:v>6.581</x:v>
      </x:c>
      <x:c r="T301" s="8" t="n">
        <x:v>0.669</x:v>
      </x:c>
      <x:c r="U301" s="8" t="n">
        <x:v>7.455</x:v>
      </x:c>
      <x:c r="V301" s="8" t="n">
        <x:v>0.669</x:v>
      </x:c>
      <x:c r="W301" s="8" t="n">
        <x:v>7.455</x:v>
      </x:c>
      <x:c r="X301" s="8" t="n">
        <x:v>0.174</x:v>
      </x:c>
      <x:c r="Y301" s="8" t="n">
        <x:v>6.869</x:v>
      </x:c>
      <x:c r="Z301" s="8" t="n">
        <x:v>0.174</x:v>
      </x:c>
      <x:c r="AA301" s="8" t="n">
        <x:v>6.869</x:v>
      </x:c>
      <x:c r="AB301" s="8" t="n">
        <x:v>0.278</x:v>
      </x:c>
      <x:c r="AC301" s="8" t="n">
        <x:v>8.077</x:v>
      </x:c>
      <x:c r="AD301" s="8" t="n">
        <x:v>0.278</x:v>
      </x:c>
      <x:c r="AE301" s="8" t="n">
        <x:v>8.077</x:v>
      </x:c>
      <x:c r="AF301" s="8" t="n">
        <x:v>0.207</x:v>
      </x:c>
      <x:c r="AG301" s="8" t="n">
        <x:v>7.252</x:v>
      </x:c>
      <x:c r="AH301" s="8" t="n">
        <x:v>0.207</x:v>
      </x:c>
      <x:c r="AI301" s="8" t="n">
        <x:v>7.252</x:v>
      </x:c>
      <x:c r="AJ301" s="8"/>
      <x:c r="AK301" s="8"/>
      <x:c r="AL301" s="8" t="n">
        <x:v>0.179</x:v>
      </x:c>
      <x:c r="AM301" s="8" t="n">
        <x:v>8.115</x:v>
      </x:c>
      <x:c r="AN301" s="8" t="n">
        <x:v>0.153</x:v>
      </x:c>
      <x:c r="AO301" s="8" t="n">
        <x:v>8.601</x:v>
      </x:c>
      <x:c r="AP301" s="8" t="n">
        <x:v>0.153</x:v>
      </x:c>
      <x:c r="AQ301" s="8" t="n">
        <x:v>8.601</x:v>
      </x:c>
      <x:c r="AR301" s="8" t="n">
        <x:v>0.297</x:v>
      </x:c>
      <x:c r="AS301" s="8" t="n">
        <x:v>7.362</x:v>
      </x:c>
      <x:c r="AT301" s="8" t="n">
        <x:v>0.202</x:v>
      </x:c>
      <x:c r="AU301" s="8" t="n">
        <x:v>5.951</x:v>
      </x:c>
      <x:c r="AV301" s="8"/>
      <x:c r="AW301" s="8"/>
      <x:c r="AX301" s="8"/>
      <x:c r="AY301" s="8"/>
      <x:c r="AZ301" s="8"/>
      <x:c r="BA301" s="8"/>
      <x:c r="BB301" s="8" t="n">
        <x:f>LET(m,MIN(IF(D301&gt;0,D301,1E+99),IF(F301&gt;0,F301,1E+99),IF(H301&gt;0,H301,1E+99),IF(J301&gt;0,J301,1E+99),IF(L301&gt;0,L301,1E+99),IF(N301&gt;0,N301,1E+99),IF(P301&gt;0,P301,1E+99),IF(R301&gt;0,R301,1E+99),IF(T301&gt;0,T301,1E+99),IF(V301&gt;0,V301,1E+99),IF(X301&gt;0,X301,1E+99),IF(Z301&gt;0,Z301,1E+99),IF(AB301&gt;0,AB301,1E+99),IF(AD301&gt;0,AD301,1E+99),IF(AF301&gt;0,AF301,1E+99),IF(AH301&gt;0,AH301,1E+99),IF(AJ301&gt;0,AJ301,1E+99),IF(AL301&gt;0,AL301,1E+99),IF(AN301&gt;0,AN301,1E+99),IF(AP301&gt;0,AP301,1E+99),IF(AR301&gt;0,AR301,1E+99),IF(AT301&gt;0,AT301,1E+99),IF(AV301&gt;0,AV301,1E+99),IF(AX301&gt;0,AX301,1E+99),IF(AZ301&gt;0,AZ301,1E+99)),IF(m=1E+99,"",m))</x:f>
        <x:v>0.121</x:v>
      </x:c>
      <x:c r="BC301" s="12" t="e">
        <x:f>IF(BB301="","",INDEX({"v1.4.20","v1.4.20","v1.4.21","v1.4.21","v1.4.23","v1.4.23","v1.4.26","v1.4.26","v1.4.26.1","v1.4.26.1","v1.4.27","v1.4.27","v1.4.29","v1.4.29","v1.4.30","v1.4.30","v1.4.31","v1.4.31","v1.4.33","v1.4.33","v1.4.35","v1.4.35.2","v1.5","v1.5.1","v1.5.1"},MATCH(BB301,CHOOSE({1,2,3,4,5,6,7,8,9,10,11,12,13,14,15,16,17,18,19,20,21,22,23,24,25},D301,F301,H301,J301,L301,N301,P301,R301,T301,V301,X301,Z301,AB301,AD301,AF301,AH301,AJ301,AL301,AN301,AP301,AR301,AT301,AV301,AX301,AZ301),0)))</x:f>
      </x:c>
      <x:c r="BD301" s="14" t="n">
        <x:f>LET(m,MIN(IF(E301&gt;0,E301,1E+99),IF(G301&gt;0,G301,1E+99),IF(I301&gt;0,I301,1E+99),IF(K301&gt;0,K301,1E+99),IF(M301&gt;0,M301,1E+99),IF(O301&gt;0,O301,1E+99),IF(Q301&gt;0,Q301,1E+99),IF(S301&gt;0,S301,1E+99),IF(U301&gt;0,U301,1E+99),IF(W301&gt;0,W301,1E+99),IF(Y301&gt;0,Y301,1E+99),IF(AA301&gt;0,AA301,1E+99),IF(AC301&gt;0,AC301,1E+99),IF(AE301&gt;0,AE301,1E+99),IF(AG301&gt;0,AG301,1E+99),IF(AI301&gt;0,AI301,1E+99),IF(AK301&gt;0,AK301,1E+99),IF(AM301&gt;0,AM301,1E+99),IF(AO301&gt;0,AO301,1E+99),IF(AQ301&gt;0,AQ301,1E+99),IF(AS301&gt;0,AS301,1E+99),IF(AU301&gt;0,AU301,1E+99),IF(AW301&gt;0,AW301,1E+99),IF(AY301&gt;0,AY301,1E+99),IF(BA301&gt;0,BA301,1E+99)),IF(m=1E+99,"",m))</x:f>
        <x:v>5.951</x:v>
      </x:c>
      <x:c r="BE301" s="16" t="e">
        <x:f>IF(BD301="","",INDEX({"v1.4.20","v1.4.20","v1.4.21","v1.4.21","v1.4.23","v1.4.23","v1.4.26","v1.4.26","v1.4.26.1","v1.4.26.1","v1.4.27","v1.4.27","v1.4.29","v1.4.29","v1.4.30","v1.4.30","v1.4.31","v1.4.31","v1.4.33","v1.4.33","v1.4.35","v1.4.35.2","v1.5","v1.5.1","v1.5.1"},MATCH(BD301,CHOOSE({1,2,3,4,5,6,7,8,9,10,11,12,13,14,15,16,17,18,19,20,21,22,23,24,25},E301,G301,I301,K301,M301,O301,Q301,S301,U301,W301,Y301,AA301,AC301,AE301,AG301,AI301,AK301,AM301,AO301,AQ301,AS301,AU301,AW301,AY301,BA301),0)))</x:f>
      </x:c>
      <x:c r="BF301" s="10" t="n">
        <x:f>IFERROR((AX301-BB301)/BB301,"")</x:f>
        <x:v>-1</x:v>
      </x:c>
      <x:c r="BG301" s="10" t="n">
        <x:f>IFERROR((AY301-BD301)/BD301,"")</x:f>
        <x:v>-1</x:v>
      </x:c>
    </x:row>
    <x:row r="302">
      <x:c r="A302" t="str">
        <x:v>Monthly Change</x:v>
      </x:c>
      <x:c r="B302" t="str">
        <x:v>Validate Templates</x:v>
      </x:c>
      <x:c r="C302" t="str">
        <x:v>Quick validated: Template - Monthly Change</x:v>
      </x:c>
      <x:c r="D302" s="8"/>
      <x:c r="E302" s="8"/>
      <x:c r="F302" s="8"/>
      <x:c r="G302" s="8"/>
      <x:c r="H302" s="8"/>
      <x:c r="I302" s="8"/>
      <x:c r="J302" s="8"/>
      <x:c r="K302" s="8"/>
      <x:c r="L302" s="8"/>
      <x:c r="M302" s="8"/>
      <x:c r="N302" s="8"/>
      <x:c r="O302" s="8"/>
      <x:c r="P302" s="8"/>
      <x:c r="Q302" s="8"/>
      <x:c r="R302" s="8"/>
      <x:c r="S302" s="8"/>
      <x:c r="T302" s="8"/>
      <x:c r="U302" s="8"/>
      <x:c r="V302" s="8"/>
      <x:c r="W302" s="8"/>
      <x:c r="X302" s="8"/>
      <x:c r="Y302" s="8"/>
      <x:c r="Z302" s="8"/>
      <x:c r="AA302" s="8"/>
      <x:c r="AB302" s="8"/>
      <x:c r="AC302" s="8"/>
      <x:c r="AD302" s="8"/>
      <x:c r="AE302" s="8"/>
      <x:c r="AF302" s="8"/>
      <x:c r="AG302" s="8"/>
      <x:c r="AH302" s="8"/>
      <x:c r="AI302" s="8"/>
      <x:c r="AJ302" s="8"/>
      <x:c r="AK302" s="8"/>
      <x:c r="AL302" s="8"/>
      <x:c r="AM302" s="8"/>
      <x:c r="AN302" s="8"/>
      <x:c r="AO302" s="8"/>
      <x:c r="AP302" s="8"/>
      <x:c r="AQ302" s="8"/>
      <x:c r="AR302" s="8"/>
      <x:c r="AS302" s="8"/>
      <x:c r="AT302" s="8"/>
      <x:c r="AU302" s="8"/>
      <x:c r="AV302" s="8" t="n">
        <x:v>0.788</x:v>
      </x:c>
      <x:c r="AW302" s="8" t="n">
        <x:v>12.13</x:v>
      </x:c>
      <x:c r="AX302" s="8" t="n">
        <x:v>0.715</x:v>
      </x:c>
      <x:c r="AY302" s="8" t="n">
        <x:v>12.694</x:v>
      </x:c>
      <x:c r="AZ302" s="8" t="n">
        <x:v>0.715</x:v>
      </x:c>
      <x:c r="BA302" s="8" t="n">
        <x:v>12.694</x:v>
      </x:c>
      <x:c r="BB302" s="8" t="n">
        <x:f>LET(m,MIN(IF(D302&gt;0,D302,1E+99),IF(F302&gt;0,F302,1E+99),IF(H302&gt;0,H302,1E+99),IF(J302&gt;0,J302,1E+99),IF(L302&gt;0,L302,1E+99),IF(N302&gt;0,N302,1E+99),IF(P302&gt;0,P302,1E+99),IF(R302&gt;0,R302,1E+99),IF(T302&gt;0,T302,1E+99),IF(V302&gt;0,V302,1E+99),IF(X302&gt;0,X302,1E+99),IF(Z302&gt;0,Z302,1E+99),IF(AB302&gt;0,AB302,1E+99),IF(AD302&gt;0,AD302,1E+99),IF(AF302&gt;0,AF302,1E+99),IF(AH302&gt;0,AH302,1E+99),IF(AJ302&gt;0,AJ302,1E+99),IF(AL302&gt;0,AL302,1E+99),IF(AN302&gt;0,AN302,1E+99),IF(AP302&gt;0,AP302,1E+99),IF(AR302&gt;0,AR302,1E+99),IF(AT302&gt;0,AT302,1E+99),IF(AV302&gt;0,AV302,1E+99),IF(AX302&gt;0,AX302,1E+99),IF(AZ302&gt;0,AZ302,1E+99)),IF(m=1E+99,"",m))</x:f>
        <x:v>0.715</x:v>
      </x:c>
      <x:c r="BC302" s="12" t="e">
        <x:f>IF(BB302="","",INDEX({"v1.4.20","v1.4.20","v1.4.21","v1.4.21","v1.4.23","v1.4.23","v1.4.26","v1.4.26","v1.4.26.1","v1.4.26.1","v1.4.27","v1.4.27","v1.4.29","v1.4.29","v1.4.30","v1.4.30","v1.4.31","v1.4.31","v1.4.33","v1.4.33","v1.4.35","v1.4.35.2","v1.5","v1.5.1","v1.5.1"},MATCH(BB302,CHOOSE({1,2,3,4,5,6,7,8,9,10,11,12,13,14,15,16,17,18,19,20,21,22,23,24,25},D302,F302,H302,J302,L302,N302,P302,R302,T302,V302,X302,Z302,AB302,AD302,AF302,AH302,AJ302,AL302,AN302,AP302,AR302,AT302,AV302,AX302,AZ302),0)))</x:f>
      </x:c>
      <x:c r="BD302" s="14" t="n">
        <x:f>LET(m,MIN(IF(E302&gt;0,E302,1E+99),IF(G302&gt;0,G302,1E+99),IF(I302&gt;0,I302,1E+99),IF(K302&gt;0,K302,1E+99),IF(M302&gt;0,M302,1E+99),IF(O302&gt;0,O302,1E+99),IF(Q302&gt;0,Q302,1E+99),IF(S302&gt;0,S302,1E+99),IF(U302&gt;0,U302,1E+99),IF(W302&gt;0,W302,1E+99),IF(Y302&gt;0,Y302,1E+99),IF(AA302&gt;0,AA302,1E+99),IF(AC302&gt;0,AC302,1E+99),IF(AE302&gt;0,AE302,1E+99),IF(AG302&gt;0,AG302,1E+99),IF(AI302&gt;0,AI302,1E+99),IF(AK302&gt;0,AK302,1E+99),IF(AM302&gt;0,AM302,1E+99),IF(AO302&gt;0,AO302,1E+99),IF(AQ302&gt;0,AQ302,1E+99),IF(AS302&gt;0,AS302,1E+99),IF(AU302&gt;0,AU302,1E+99),IF(AW302&gt;0,AW302,1E+99),IF(AY302&gt;0,AY302,1E+99),IF(BA302&gt;0,BA302,1E+99)),IF(m=1E+99,"",m))</x:f>
        <x:v>12.13</x:v>
      </x:c>
      <x:c r="BE302" s="16" t="e">
        <x:f>IF(BD302="","",INDEX({"v1.4.20","v1.4.20","v1.4.21","v1.4.21","v1.4.23","v1.4.23","v1.4.26","v1.4.26","v1.4.26.1","v1.4.26.1","v1.4.27","v1.4.27","v1.4.29","v1.4.29","v1.4.30","v1.4.30","v1.4.31","v1.4.31","v1.4.33","v1.4.33","v1.4.35","v1.4.35.2","v1.5","v1.5.1","v1.5.1"},MATCH(BD302,CHOOSE({1,2,3,4,5,6,7,8,9,10,11,12,13,14,15,16,17,18,19,20,21,22,23,24,25},E302,G302,I302,K302,M302,O302,Q302,S302,U302,W302,Y302,AA302,AC302,AE302,AG302,AI302,AK302,AM302,AO302,AQ302,AS302,AU302,AW302,AY302,BA302),0)))</x:f>
      </x:c>
      <x:c r="BF302" s="10" t="n">
        <x:f>IFERROR((AX302-BB302)/BB302,"")</x:f>
        <x:v>0</x:v>
      </x:c>
      <x:c r="BG302" s="10" t="n">
        <x:f>IFERROR((AY302-BD302)/BD302,"")</x:f>
        <x:v>0.04649629018961253</x:v>
      </x:c>
    </x:row>
    <x:row r="303">
      <x:c r="A303" t="str">
        <x:v>Monthly Change</x:v>
      </x:c>
      <x:c r="B303" t="str">
        <x:v>Validate Templates</x:v>
      </x:c>
      <x:c r="C303" t="str">
        <x:v>Validated: Template - Monthly Change</x:v>
      </x:c>
      <x:c r="D303" s="8" t="n">
        <x:v>0.183</x:v>
      </x:c>
      <x:c r="E303" s="8" t="n">
        <x:v>8.378</x:v>
      </x:c>
      <x:c r="F303" s="8"/>
      <x:c r="G303" s="8"/>
      <x:c r="H303" s="8" t="n">
        <x:v>0.272</x:v>
      </x:c>
      <x:c r="I303" s="8" t="n">
        <x:v>7.499</x:v>
      </x:c>
      <x:c r="J303" s="8" t="n">
        <x:v>0.272</x:v>
      </x:c>
      <x:c r="K303" s="8" t="n">
        <x:v>7.499</x:v>
      </x:c>
      <x:c r="L303" s="8" t="n">
        <x:v>0.213</x:v>
      </x:c>
      <x:c r="M303" s="8" t="n">
        <x:v>8.104</x:v>
      </x:c>
      <x:c r="N303" s="8" t="n">
        <x:v>0.213</x:v>
      </x:c>
      <x:c r="O303" s="8" t="n">
        <x:v>8.104</x:v>
      </x:c>
      <x:c r="P303" s="8" t="n">
        <x:v>0.173</x:v>
      </x:c>
      <x:c r="Q303" s="8" t="n">
        <x:v>6.754</x:v>
      </x:c>
      <x:c r="R303" s="8" t="n">
        <x:v>0.173</x:v>
      </x:c>
      <x:c r="S303" s="8" t="n">
        <x:v>6.754</x:v>
      </x:c>
      <x:c r="T303" s="8" t="n">
        <x:v>0.306</x:v>
      </x:c>
      <x:c r="U303" s="8" t="n">
        <x:v>7.761</x:v>
      </x:c>
      <x:c r="V303" s="8" t="n">
        <x:v>0.306</x:v>
      </x:c>
      <x:c r="W303" s="8" t="n">
        <x:v>7.761</x:v>
      </x:c>
      <x:c r="X303" s="8" t="n">
        <x:v>0.202</x:v>
      </x:c>
      <x:c r="Y303" s="8" t="n">
        <x:v>7.071</x:v>
      </x:c>
      <x:c r="Z303" s="8" t="n">
        <x:v>0.202</x:v>
      </x:c>
      <x:c r="AA303" s="8" t="n">
        <x:v>7.071</x:v>
      </x:c>
      <x:c r="AB303" s="8" t="n">
        <x:v>0.295</x:v>
      </x:c>
      <x:c r="AC303" s="8" t="n">
        <x:v>8.372</x:v>
      </x:c>
      <x:c r="AD303" s="8" t="n">
        <x:v>0.295</x:v>
      </x:c>
      <x:c r="AE303" s="8" t="n">
        <x:v>8.372</x:v>
      </x:c>
      <x:c r="AF303" s="8" t="n">
        <x:v>0.224</x:v>
      </x:c>
      <x:c r="AG303" s="8" t="n">
        <x:v>7.476</x:v>
      </x:c>
      <x:c r="AH303" s="8" t="n">
        <x:v>0.224</x:v>
      </x:c>
      <x:c r="AI303" s="8" t="n">
        <x:v>7.476</x:v>
      </x:c>
      <x:c r="AJ303" s="8"/>
      <x:c r="AK303" s="8"/>
      <x:c r="AL303" s="8" t="n">
        <x:v>0.188</x:v>
      </x:c>
      <x:c r="AM303" s="8" t="n">
        <x:v>8.303</x:v>
      </x:c>
      <x:c r="AN303" s="8" t="n">
        <x:v>0.166</x:v>
      </x:c>
      <x:c r="AO303" s="8" t="n">
        <x:v>8.767</x:v>
      </x:c>
      <x:c r="AP303" s="8" t="n">
        <x:v>0.166</x:v>
      </x:c>
      <x:c r="AQ303" s="8" t="n">
        <x:v>8.767</x:v>
      </x:c>
      <x:c r="AR303" s="8" t="n">
        <x:v>0.351</x:v>
      </x:c>
      <x:c r="AS303" s="8" t="n">
        <x:v>7.713</x:v>
      </x:c>
      <x:c r="AT303" s="8" t="n">
        <x:v>0.201</x:v>
      </x:c>
      <x:c r="AU303" s="8" t="n">
        <x:v>6.152</x:v>
      </x:c>
      <x:c r="AV303" s="8"/>
      <x:c r="AW303" s="8"/>
      <x:c r="AX303" s="8"/>
      <x:c r="AY303" s="8"/>
      <x:c r="AZ303" s="8"/>
      <x:c r="BA303" s="8"/>
      <x:c r="BB303" s="8" t="n">
        <x:f>LET(m,MIN(IF(D303&gt;0,D303,1E+99),IF(F303&gt;0,F303,1E+99),IF(H303&gt;0,H303,1E+99),IF(J303&gt;0,J303,1E+99),IF(L303&gt;0,L303,1E+99),IF(N303&gt;0,N303,1E+99),IF(P303&gt;0,P303,1E+99),IF(R303&gt;0,R303,1E+99),IF(T303&gt;0,T303,1E+99),IF(V303&gt;0,V303,1E+99),IF(X303&gt;0,X303,1E+99),IF(Z303&gt;0,Z303,1E+99),IF(AB303&gt;0,AB303,1E+99),IF(AD303&gt;0,AD303,1E+99),IF(AF303&gt;0,AF303,1E+99),IF(AH303&gt;0,AH303,1E+99),IF(AJ303&gt;0,AJ303,1E+99),IF(AL303&gt;0,AL303,1E+99),IF(AN303&gt;0,AN303,1E+99),IF(AP303&gt;0,AP303,1E+99),IF(AR303&gt;0,AR303,1E+99),IF(AT303&gt;0,AT303,1E+99),IF(AV303&gt;0,AV303,1E+99),IF(AX303&gt;0,AX303,1E+99),IF(AZ303&gt;0,AZ303,1E+99)),IF(m=1E+99,"",m))</x:f>
        <x:v>0.166</x:v>
      </x:c>
      <x:c r="BC303" s="12" t="e">
        <x:f>IF(BB303="","",INDEX({"v1.4.20","v1.4.20","v1.4.21","v1.4.21","v1.4.23","v1.4.23","v1.4.26","v1.4.26","v1.4.26.1","v1.4.26.1","v1.4.27","v1.4.27","v1.4.29","v1.4.29","v1.4.30","v1.4.30","v1.4.31","v1.4.31","v1.4.33","v1.4.33","v1.4.35","v1.4.35.2","v1.5","v1.5.1","v1.5.1"},MATCH(BB303,CHOOSE({1,2,3,4,5,6,7,8,9,10,11,12,13,14,15,16,17,18,19,20,21,22,23,24,25},D303,F303,H303,J303,L303,N303,P303,R303,T303,V303,X303,Z303,AB303,AD303,AF303,AH303,AJ303,AL303,AN303,AP303,AR303,AT303,AV303,AX303,AZ303),0)))</x:f>
      </x:c>
      <x:c r="BD303" s="14" t="n">
        <x:f>LET(m,MIN(IF(E303&gt;0,E303,1E+99),IF(G303&gt;0,G303,1E+99),IF(I303&gt;0,I303,1E+99),IF(K303&gt;0,K303,1E+99),IF(M303&gt;0,M303,1E+99),IF(O303&gt;0,O303,1E+99),IF(Q303&gt;0,Q303,1E+99),IF(S303&gt;0,S303,1E+99),IF(U303&gt;0,U303,1E+99),IF(W303&gt;0,W303,1E+99),IF(Y303&gt;0,Y303,1E+99),IF(AA303&gt;0,AA303,1E+99),IF(AC303&gt;0,AC303,1E+99),IF(AE303&gt;0,AE303,1E+99),IF(AG303&gt;0,AG303,1E+99),IF(AI303&gt;0,AI303,1E+99),IF(AK303&gt;0,AK303,1E+99),IF(AM303&gt;0,AM303,1E+99),IF(AO303&gt;0,AO303,1E+99),IF(AQ303&gt;0,AQ303,1E+99),IF(AS303&gt;0,AS303,1E+99),IF(AU303&gt;0,AU303,1E+99),IF(AW303&gt;0,AW303,1E+99),IF(AY303&gt;0,AY303,1E+99),IF(BA303&gt;0,BA303,1E+99)),IF(m=1E+99,"",m))</x:f>
        <x:v>6.152</x:v>
      </x:c>
      <x:c r="BE303" s="16" t="e">
        <x:f>IF(BD303="","",INDEX({"v1.4.20","v1.4.20","v1.4.21","v1.4.21","v1.4.23","v1.4.23","v1.4.26","v1.4.26","v1.4.26.1","v1.4.26.1","v1.4.27","v1.4.27","v1.4.29","v1.4.29","v1.4.30","v1.4.30","v1.4.31","v1.4.31","v1.4.33","v1.4.33","v1.4.35","v1.4.35.2","v1.5","v1.5.1","v1.5.1"},MATCH(BD303,CHOOSE({1,2,3,4,5,6,7,8,9,10,11,12,13,14,15,16,17,18,19,20,21,22,23,24,25},E303,G303,I303,K303,M303,O303,Q303,S303,U303,W303,Y303,AA303,AC303,AE303,AG303,AI303,AK303,AM303,AO303,AQ303,AS303,AU303,AW303,AY303,BA303),0)))</x:f>
      </x:c>
      <x:c r="BF303" s="10" t="n">
        <x:f>IFERROR((AX303-BB303)/BB303,"")</x:f>
        <x:v>-1</x:v>
      </x:c>
      <x:c r="BG303" s="10" t="n">
        <x:f>IFERROR((AY303-BD303)/BD303,"")</x:f>
        <x:v>-1</x:v>
      </x:c>
    </x:row>
    <x:row r="304">
      <x:c r="A304" t="str">
        <x:v>Disenrolled Exclusion</x:v>
      </x:c>
      <x:c r="B304" t="str">
        <x:v>Validate Templates</x:v>
      </x:c>
      <x:c r="C304" t="str">
        <x:v>Quick validated: Template - Disenrolled Exclusion</x:v>
      </x:c>
      <x:c r="D304" s="8"/>
      <x:c r="E304" s="8"/>
      <x:c r="F304" s="8"/>
      <x:c r="G304" s="8"/>
      <x:c r="H304" s="8"/>
      <x:c r="I304" s="8"/>
      <x:c r="J304" s="8"/>
      <x:c r="K304" s="8"/>
      <x:c r="L304" s="8"/>
      <x:c r="M304" s="8"/>
      <x:c r="N304" s="8"/>
      <x:c r="O304" s="8"/>
      <x:c r="P304" s="8"/>
      <x:c r="Q304" s="8"/>
      <x:c r="R304" s="8"/>
      <x:c r="S304" s="8"/>
      <x:c r="T304" s="8"/>
      <x:c r="U304" s="8"/>
      <x:c r="V304" s="8"/>
      <x:c r="W304" s="8"/>
      <x:c r="X304" s="8"/>
      <x:c r="Y304" s="8"/>
      <x:c r="Z304" s="8"/>
      <x:c r="AA304" s="8"/>
      <x:c r="AB304" s="8"/>
      <x:c r="AC304" s="8"/>
      <x:c r="AD304" s="8"/>
      <x:c r="AE304" s="8"/>
      <x:c r="AF304" s="8"/>
      <x:c r="AG304" s="8"/>
      <x:c r="AH304" s="8"/>
      <x:c r="AI304" s="8"/>
      <x:c r="AJ304" s="8"/>
      <x:c r="AK304" s="8"/>
      <x:c r="AL304" s="8"/>
      <x:c r="AM304" s="8"/>
      <x:c r="AN304" s="8"/>
      <x:c r="AO304" s="8"/>
      <x:c r="AP304" s="8"/>
      <x:c r="AQ304" s="8"/>
      <x:c r="AR304" s="8"/>
      <x:c r="AS304" s="8"/>
      <x:c r="AT304" s="8"/>
      <x:c r="AU304" s="8"/>
      <x:c r="AV304" s="8" t="n">
        <x:v>0.603</x:v>
      </x:c>
      <x:c r="AW304" s="8" t="n">
        <x:v>12.733</x:v>
      </x:c>
      <x:c r="AX304" s="8" t="n">
        <x:v>0.57</x:v>
      </x:c>
      <x:c r="AY304" s="8" t="n">
        <x:v>13.264</x:v>
      </x:c>
      <x:c r="AZ304" s="8" t="n">
        <x:v>0.57</x:v>
      </x:c>
      <x:c r="BA304" s="8" t="n">
        <x:v>13.264</x:v>
      </x:c>
      <x:c r="BB304" s="8" t="n">
        <x:f>LET(m,MIN(IF(D304&gt;0,D304,1E+99),IF(F304&gt;0,F304,1E+99),IF(H304&gt;0,H304,1E+99),IF(J304&gt;0,J304,1E+99),IF(L304&gt;0,L304,1E+99),IF(N304&gt;0,N304,1E+99),IF(P304&gt;0,P304,1E+99),IF(R304&gt;0,R304,1E+99),IF(T304&gt;0,T304,1E+99),IF(V304&gt;0,V304,1E+99),IF(X304&gt;0,X304,1E+99),IF(Z304&gt;0,Z304,1E+99),IF(AB304&gt;0,AB304,1E+99),IF(AD304&gt;0,AD304,1E+99),IF(AF304&gt;0,AF304,1E+99),IF(AH304&gt;0,AH304,1E+99),IF(AJ304&gt;0,AJ304,1E+99),IF(AL304&gt;0,AL304,1E+99),IF(AN304&gt;0,AN304,1E+99),IF(AP304&gt;0,AP304,1E+99),IF(AR304&gt;0,AR304,1E+99),IF(AT304&gt;0,AT304,1E+99),IF(AV304&gt;0,AV304,1E+99),IF(AX304&gt;0,AX304,1E+99),IF(AZ304&gt;0,AZ304,1E+99)),IF(m=1E+99,"",m))</x:f>
        <x:v>0.57</x:v>
      </x:c>
      <x:c r="BC304" s="12" t="e">
        <x:f>IF(BB304="","",INDEX({"v1.4.20","v1.4.20","v1.4.21","v1.4.21","v1.4.23","v1.4.23","v1.4.26","v1.4.26","v1.4.26.1","v1.4.26.1","v1.4.27","v1.4.27","v1.4.29","v1.4.29","v1.4.30","v1.4.30","v1.4.31","v1.4.31","v1.4.33","v1.4.33","v1.4.35","v1.4.35.2","v1.5","v1.5.1","v1.5.1"},MATCH(BB304,CHOOSE({1,2,3,4,5,6,7,8,9,10,11,12,13,14,15,16,17,18,19,20,21,22,23,24,25},D304,F304,H304,J304,L304,N304,P304,R304,T304,V304,X304,Z304,AB304,AD304,AF304,AH304,AJ304,AL304,AN304,AP304,AR304,AT304,AV304,AX304,AZ304),0)))</x:f>
      </x:c>
      <x:c r="BD304" s="14" t="n">
        <x:f>LET(m,MIN(IF(E304&gt;0,E304,1E+99),IF(G304&gt;0,G304,1E+99),IF(I304&gt;0,I304,1E+99),IF(K304&gt;0,K304,1E+99),IF(M304&gt;0,M304,1E+99),IF(O304&gt;0,O304,1E+99),IF(Q304&gt;0,Q304,1E+99),IF(S304&gt;0,S304,1E+99),IF(U304&gt;0,U304,1E+99),IF(W304&gt;0,W304,1E+99),IF(Y304&gt;0,Y304,1E+99),IF(AA304&gt;0,AA304,1E+99),IF(AC304&gt;0,AC304,1E+99),IF(AE304&gt;0,AE304,1E+99),IF(AG304&gt;0,AG304,1E+99),IF(AI304&gt;0,AI304,1E+99),IF(AK304&gt;0,AK304,1E+99),IF(AM304&gt;0,AM304,1E+99),IF(AO304&gt;0,AO304,1E+99),IF(AQ304&gt;0,AQ304,1E+99),IF(AS304&gt;0,AS304,1E+99),IF(AU304&gt;0,AU304,1E+99),IF(AW304&gt;0,AW304,1E+99),IF(AY304&gt;0,AY304,1E+99),IF(BA304&gt;0,BA304,1E+99)),IF(m=1E+99,"",m))</x:f>
        <x:v>12.733</x:v>
      </x:c>
      <x:c r="BE304" s="16" t="e">
        <x:f>IF(BD304="","",INDEX({"v1.4.20","v1.4.20","v1.4.21","v1.4.21","v1.4.23","v1.4.23","v1.4.26","v1.4.26","v1.4.26.1","v1.4.26.1","v1.4.27","v1.4.27","v1.4.29","v1.4.29","v1.4.30","v1.4.30","v1.4.31","v1.4.31","v1.4.33","v1.4.33","v1.4.35","v1.4.35.2","v1.5","v1.5.1","v1.5.1"},MATCH(BD304,CHOOSE({1,2,3,4,5,6,7,8,9,10,11,12,13,14,15,16,17,18,19,20,21,22,23,24,25},E304,G304,I304,K304,M304,O304,Q304,S304,U304,W304,Y304,AA304,AC304,AE304,AG304,AI304,AK304,AM304,AO304,AQ304,AS304,AU304,AW304,AY304,BA304),0)))</x:f>
      </x:c>
      <x:c r="BF304" s="10" t="n">
        <x:f>IFERROR((AX304-BB304)/BB304,"")</x:f>
        <x:v>0</x:v>
      </x:c>
      <x:c r="BG304" s="10" t="n">
        <x:f>IFERROR((AY304-BD304)/BD304,"")</x:f>
        <x:v>0.04170266237336046</x:v>
      </x:c>
    </x:row>
    <x:row r="305">
      <x:c r="A305" t="str">
        <x:v>Disenrolled Exclusion</x:v>
      </x:c>
      <x:c r="B305" t="str">
        <x:v>Validate Templates</x:v>
      </x:c>
      <x:c r="C305" t="str">
        <x:v>Validated: Template - Disenrolled Exclusion</x:v>
      </x:c>
      <x:c r="D305" s="8" t="n">
        <x:v>0.218</x:v>
      </x:c>
      <x:c r="E305" s="8" t="n">
        <x:v>8.596</x:v>
      </x:c>
      <x:c r="F305" s="8"/>
      <x:c r="G305" s="8"/>
      <x:c r="H305" s="8" t="n">
        <x:v>0.239</x:v>
      </x:c>
      <x:c r="I305" s="8" t="n">
        <x:v>7.738</x:v>
      </x:c>
      <x:c r="J305" s="8" t="n">
        <x:v>0.239</x:v>
      </x:c>
      <x:c r="K305" s="8" t="n">
        <x:v>7.738</x:v>
      </x:c>
      <x:c r="L305" s="8" t="n">
        <x:v>0.223</x:v>
      </x:c>
      <x:c r="M305" s="8" t="n">
        <x:v>8.327</x:v>
      </x:c>
      <x:c r="N305" s="8" t="n">
        <x:v>0.223</x:v>
      </x:c>
      <x:c r="O305" s="8" t="n">
        <x:v>8.327</x:v>
      </x:c>
      <x:c r="P305" s="8" t="n">
        <x:v>0.115</x:v>
      </x:c>
      <x:c r="Q305" s="8" t="n">
        <x:v>6.869</x:v>
      </x:c>
      <x:c r="R305" s="8" t="n">
        <x:v>0.115</x:v>
      </x:c>
      <x:c r="S305" s="8" t="n">
        <x:v>6.869</x:v>
      </x:c>
      <x:c r="T305" s="8" t="n">
        <x:v>0.268</x:v>
      </x:c>
      <x:c r="U305" s="8" t="n">
        <x:v>8.029</x:v>
      </x:c>
      <x:c r="V305" s="8" t="n">
        <x:v>0.268</x:v>
      </x:c>
      <x:c r="W305" s="8" t="n">
        <x:v>8.029</x:v>
      </x:c>
      <x:c r="X305" s="8" t="n">
        <x:v>0.14</x:v>
      </x:c>
      <x:c r="Y305" s="8" t="n">
        <x:v>7.211</x:v>
      </x:c>
      <x:c r="Z305" s="8" t="n">
        <x:v>0.14</x:v>
      </x:c>
      <x:c r="AA305" s="8" t="n">
        <x:v>7.211</x:v>
      </x:c>
      <x:c r="AB305" s="8" t="n">
        <x:v>0.267</x:v>
      </x:c>
      <x:c r="AC305" s="8" t="n">
        <x:v>8.639</x:v>
      </x:c>
      <x:c r="AD305" s="8" t="n">
        <x:v>0.267</x:v>
      </x:c>
      <x:c r="AE305" s="8" t="n">
        <x:v>8.639</x:v>
      </x:c>
      <x:c r="AF305" s="8" t="n">
        <x:v>0.183</x:v>
      </x:c>
      <x:c r="AG305" s="8" t="n">
        <x:v>7.659</x:v>
      </x:c>
      <x:c r="AH305" s="8" t="n">
        <x:v>0.183</x:v>
      </x:c>
      <x:c r="AI305" s="8" t="n">
        <x:v>7.659</x:v>
      </x:c>
      <x:c r="AJ305" s="8"/>
      <x:c r="AK305" s="8"/>
      <x:c r="AL305" s="8" t="n">
        <x:v>0.162</x:v>
      </x:c>
      <x:c r="AM305" s="8" t="n">
        <x:v>8.465</x:v>
      </x:c>
      <x:c r="AN305" s="8" t="n">
        <x:v>0.26</x:v>
      </x:c>
      <x:c r="AO305" s="8" t="n">
        <x:v>9.027</x:v>
      </x:c>
      <x:c r="AP305" s="8" t="n">
        <x:v>0.26</x:v>
      </x:c>
      <x:c r="AQ305" s="8" t="n">
        <x:v>9.027</x:v>
      </x:c>
      <x:c r="AR305" s="8" t="n">
        <x:v>0.298</x:v>
      </x:c>
      <x:c r="AS305" s="8" t="n">
        <x:v>8.011</x:v>
      </x:c>
      <x:c r="AT305" s="8" t="n">
        <x:v>0.165</x:v>
      </x:c>
      <x:c r="AU305" s="8" t="n">
        <x:v>6.317</x:v>
      </x:c>
      <x:c r="AV305" s="8"/>
      <x:c r="AW305" s="8"/>
      <x:c r="AX305" s="8"/>
      <x:c r="AY305" s="8"/>
      <x:c r="AZ305" s="8"/>
      <x:c r="BA305" s="8"/>
      <x:c r="BB305" s="8" t="n">
        <x:f>LET(m,MIN(IF(D305&gt;0,D305,1E+99),IF(F305&gt;0,F305,1E+99),IF(H305&gt;0,H305,1E+99),IF(J305&gt;0,J305,1E+99),IF(L305&gt;0,L305,1E+99),IF(N305&gt;0,N305,1E+99),IF(P305&gt;0,P305,1E+99),IF(R305&gt;0,R305,1E+99),IF(T305&gt;0,T305,1E+99),IF(V305&gt;0,V305,1E+99),IF(X305&gt;0,X305,1E+99),IF(Z305&gt;0,Z305,1E+99),IF(AB305&gt;0,AB305,1E+99),IF(AD305&gt;0,AD305,1E+99),IF(AF305&gt;0,AF305,1E+99),IF(AH305&gt;0,AH305,1E+99),IF(AJ305&gt;0,AJ305,1E+99),IF(AL305&gt;0,AL305,1E+99),IF(AN305&gt;0,AN305,1E+99),IF(AP305&gt;0,AP305,1E+99),IF(AR305&gt;0,AR305,1E+99),IF(AT305&gt;0,AT305,1E+99),IF(AV305&gt;0,AV305,1E+99),IF(AX305&gt;0,AX305,1E+99),IF(AZ305&gt;0,AZ305,1E+99)),IF(m=1E+99,"",m))</x:f>
        <x:v>0.115</x:v>
      </x:c>
      <x:c r="BC305" s="12" t="e">
        <x:f>IF(BB305="","",INDEX({"v1.4.20","v1.4.20","v1.4.21","v1.4.21","v1.4.23","v1.4.23","v1.4.26","v1.4.26","v1.4.26.1","v1.4.26.1","v1.4.27","v1.4.27","v1.4.29","v1.4.29","v1.4.30","v1.4.30","v1.4.31","v1.4.31","v1.4.33","v1.4.33","v1.4.35","v1.4.35.2","v1.5","v1.5.1","v1.5.1"},MATCH(BB305,CHOOSE({1,2,3,4,5,6,7,8,9,10,11,12,13,14,15,16,17,18,19,20,21,22,23,24,25},D305,F305,H305,J305,L305,N305,P305,R305,T305,V305,X305,Z305,AB305,AD305,AF305,AH305,AJ305,AL305,AN305,AP305,AR305,AT305,AV305,AX305,AZ305),0)))</x:f>
      </x:c>
      <x:c r="BD305" s="14" t="n">
        <x:f>LET(m,MIN(IF(E305&gt;0,E305,1E+99),IF(G305&gt;0,G305,1E+99),IF(I305&gt;0,I305,1E+99),IF(K305&gt;0,K305,1E+99),IF(M305&gt;0,M305,1E+99),IF(O305&gt;0,O305,1E+99),IF(Q305&gt;0,Q305,1E+99),IF(S305&gt;0,S305,1E+99),IF(U305&gt;0,U305,1E+99),IF(W305&gt;0,W305,1E+99),IF(Y305&gt;0,Y305,1E+99),IF(AA305&gt;0,AA305,1E+99),IF(AC305&gt;0,AC305,1E+99),IF(AE305&gt;0,AE305,1E+99),IF(AG305&gt;0,AG305,1E+99),IF(AI305&gt;0,AI305,1E+99),IF(AK305&gt;0,AK305,1E+99),IF(AM305&gt;0,AM305,1E+99),IF(AO305&gt;0,AO305,1E+99),IF(AQ305&gt;0,AQ305,1E+99),IF(AS305&gt;0,AS305,1E+99),IF(AU305&gt;0,AU305,1E+99),IF(AW305&gt;0,AW305,1E+99),IF(AY305&gt;0,AY305,1E+99),IF(BA305&gt;0,BA305,1E+99)),IF(m=1E+99,"",m))</x:f>
        <x:v>6.317</x:v>
      </x:c>
      <x:c r="BE305" s="16" t="e">
        <x:f>IF(BD305="","",INDEX({"v1.4.20","v1.4.20","v1.4.21","v1.4.21","v1.4.23","v1.4.23","v1.4.26","v1.4.26","v1.4.26.1","v1.4.26.1","v1.4.27","v1.4.27","v1.4.29","v1.4.29","v1.4.30","v1.4.30","v1.4.31","v1.4.31","v1.4.33","v1.4.33","v1.4.35","v1.4.35.2","v1.5","v1.5.1","v1.5.1"},MATCH(BD305,CHOOSE({1,2,3,4,5,6,7,8,9,10,11,12,13,14,15,16,17,18,19,20,21,22,23,24,25},E305,G305,I305,K305,M305,O305,Q305,S305,U305,W305,Y305,AA305,AC305,AE305,AG305,AI305,AK305,AM305,AO305,AQ305,AS305,AU305,AW305,AY305,BA305),0)))</x:f>
      </x:c>
      <x:c r="BF305" s="10" t="n">
        <x:f>IFERROR((AX305-BB305)/BB305,"")</x:f>
        <x:v>-1</x:v>
      </x:c>
      <x:c r="BG305" s="10" t="n">
        <x:f>IFERROR((AY305-BD305)/BD305,"")</x:f>
        <x:v>-1</x:v>
      </x:c>
    </x:row>
    <x:row r="306">
      <x:c r="A306" t="str">
        <x:v>Master List Change Log</x:v>
      </x:c>
      <x:c r="B306" t="str">
        <x:v>Validate Templates</x:v>
      </x:c>
      <x:c r="C306" t="str">
        <x:v>Quick validated: Template - Master List Change Log</x:v>
      </x:c>
      <x:c r="D306" s="8"/>
      <x:c r="E306" s="8"/>
      <x:c r="F306" s="8"/>
      <x:c r="G306" s="8"/>
      <x:c r="H306" s="8"/>
      <x:c r="I306" s="8"/>
      <x:c r="J306" s="8"/>
      <x:c r="K306" s="8"/>
      <x:c r="L306" s="8"/>
      <x:c r="M306" s="8"/>
      <x:c r="N306" s="8"/>
      <x:c r="O306" s="8"/>
      <x:c r="P306" s="8"/>
      <x:c r="Q306" s="8"/>
      <x:c r="R306" s="8"/>
      <x:c r="S306" s="8"/>
      <x:c r="T306" s="8"/>
      <x:c r="U306" s="8"/>
      <x:c r="V306" s="8"/>
      <x:c r="W306" s="8"/>
      <x:c r="X306" s="8"/>
      <x:c r="Y306" s="8"/>
      <x:c r="Z306" s="8"/>
      <x:c r="AA306" s="8"/>
      <x:c r="AB306" s="8"/>
      <x:c r="AC306" s="8"/>
      <x:c r="AD306" s="8"/>
      <x:c r="AE306" s="8"/>
      <x:c r="AF306" s="8"/>
      <x:c r="AG306" s="8"/>
      <x:c r="AH306" s="8"/>
      <x:c r="AI306" s="8"/>
      <x:c r="AJ306" s="8"/>
      <x:c r="AK306" s="8"/>
      <x:c r="AL306" s="8"/>
      <x:c r="AM306" s="8"/>
      <x:c r="AN306" s="8"/>
      <x:c r="AO306" s="8"/>
      <x:c r="AP306" s="8"/>
      <x:c r="AQ306" s="8"/>
      <x:c r="AR306" s="8"/>
      <x:c r="AS306" s="8"/>
      <x:c r="AT306" s="8"/>
      <x:c r="AU306" s="8"/>
      <x:c r="AV306" s="8" t="n">
        <x:v>0.851</x:v>
      </x:c>
      <x:c r="AW306" s="8" t="n">
        <x:v>13.584</x:v>
      </x:c>
      <x:c r="AX306" s="8" t="n">
        <x:v>0.595</x:v>
      </x:c>
      <x:c r="AY306" s="8" t="n">
        <x:v>13.859</x:v>
      </x:c>
      <x:c r="AZ306" s="8" t="n">
        <x:v>0.595</x:v>
      </x:c>
      <x:c r="BA306" s="8" t="n">
        <x:v>13.859</x:v>
      </x:c>
      <x:c r="BB306" s="8" t="n">
        <x:f>LET(m,MIN(IF(D306&gt;0,D306,1E+99),IF(F306&gt;0,F306,1E+99),IF(H306&gt;0,H306,1E+99),IF(J306&gt;0,J306,1E+99),IF(L306&gt;0,L306,1E+99),IF(N306&gt;0,N306,1E+99),IF(P306&gt;0,P306,1E+99),IF(R306&gt;0,R306,1E+99),IF(T306&gt;0,T306,1E+99),IF(V306&gt;0,V306,1E+99),IF(X306&gt;0,X306,1E+99),IF(Z306&gt;0,Z306,1E+99),IF(AB306&gt;0,AB306,1E+99),IF(AD306&gt;0,AD306,1E+99),IF(AF306&gt;0,AF306,1E+99),IF(AH306&gt;0,AH306,1E+99),IF(AJ306&gt;0,AJ306,1E+99),IF(AL306&gt;0,AL306,1E+99),IF(AN306&gt;0,AN306,1E+99),IF(AP306&gt;0,AP306,1E+99),IF(AR306&gt;0,AR306,1E+99),IF(AT306&gt;0,AT306,1E+99),IF(AV306&gt;0,AV306,1E+99),IF(AX306&gt;0,AX306,1E+99),IF(AZ306&gt;0,AZ306,1E+99)),IF(m=1E+99,"",m))</x:f>
        <x:v>0.595</x:v>
      </x:c>
      <x:c r="BC306" s="12" t="e">
        <x:f>IF(BB306="","",INDEX({"v1.4.20","v1.4.20","v1.4.21","v1.4.21","v1.4.23","v1.4.23","v1.4.26","v1.4.26","v1.4.26.1","v1.4.26.1","v1.4.27","v1.4.27","v1.4.29","v1.4.29","v1.4.30","v1.4.30","v1.4.31","v1.4.31","v1.4.33","v1.4.33","v1.4.35","v1.4.35.2","v1.5","v1.5.1","v1.5.1"},MATCH(BB306,CHOOSE({1,2,3,4,5,6,7,8,9,10,11,12,13,14,15,16,17,18,19,20,21,22,23,24,25},D306,F306,H306,J306,L306,N306,P306,R306,T306,V306,X306,Z306,AB306,AD306,AF306,AH306,AJ306,AL306,AN306,AP306,AR306,AT306,AV306,AX306,AZ306),0)))</x:f>
      </x:c>
      <x:c r="BD306" s="14" t="n">
        <x:f>LET(m,MIN(IF(E306&gt;0,E306,1E+99),IF(G306&gt;0,G306,1E+99),IF(I306&gt;0,I306,1E+99),IF(K306&gt;0,K306,1E+99),IF(M306&gt;0,M306,1E+99),IF(O306&gt;0,O306,1E+99),IF(Q306&gt;0,Q306,1E+99),IF(S306&gt;0,S306,1E+99),IF(U306&gt;0,U306,1E+99),IF(W306&gt;0,W306,1E+99),IF(Y306&gt;0,Y306,1E+99),IF(AA306&gt;0,AA306,1E+99),IF(AC306&gt;0,AC306,1E+99),IF(AE306&gt;0,AE306,1E+99),IF(AG306&gt;0,AG306,1E+99),IF(AI306&gt;0,AI306,1E+99),IF(AK306&gt;0,AK306,1E+99),IF(AM306&gt;0,AM306,1E+99),IF(AO306&gt;0,AO306,1E+99),IF(AQ306&gt;0,AQ306,1E+99),IF(AS306&gt;0,AS306,1E+99),IF(AU306&gt;0,AU306,1E+99),IF(AW306&gt;0,AW306,1E+99),IF(AY306&gt;0,AY306,1E+99),IF(BA306&gt;0,BA306,1E+99)),IF(m=1E+99,"",m))</x:f>
        <x:v>13.584</x:v>
      </x:c>
      <x:c r="BE306" s="16" t="e">
        <x:f>IF(BD306="","",INDEX({"v1.4.20","v1.4.20","v1.4.21","v1.4.21","v1.4.23","v1.4.23","v1.4.26","v1.4.26","v1.4.26.1","v1.4.26.1","v1.4.27","v1.4.27","v1.4.29","v1.4.29","v1.4.30","v1.4.30","v1.4.31","v1.4.31","v1.4.33","v1.4.33","v1.4.35","v1.4.35.2","v1.5","v1.5.1","v1.5.1"},MATCH(BD306,CHOOSE({1,2,3,4,5,6,7,8,9,10,11,12,13,14,15,16,17,18,19,20,21,22,23,24,25},E306,G306,I306,K306,M306,O306,Q306,S306,U306,W306,Y306,AA306,AC306,AE306,AG306,AI306,AK306,AM306,AO306,AQ306,AS306,AU306,AW306,AY306,BA306),0)))</x:f>
      </x:c>
      <x:c r="BF306" s="10" t="n">
        <x:f>IFERROR((AX306-BB306)/BB306,"")</x:f>
        <x:v>0</x:v>
      </x:c>
      <x:c r="BG306" s="10" t="n">
        <x:f>IFERROR((AY306-BD306)/BD306,"")</x:f>
        <x:v>0.020244405182567753</x:v>
      </x:c>
    </x:row>
    <x:row r="307">
      <x:c r="A307" t="str">
        <x:v>Master List Change Log</x:v>
      </x:c>
      <x:c r="B307" t="str">
        <x:v>Validate Templates</x:v>
      </x:c>
      <x:c r="C307" t="str">
        <x:v>Validated: Template - Master List Change Log</x:v>
      </x:c>
      <x:c r="D307" s="8" t="n">
        <x:v>0.141</x:v>
      </x:c>
      <x:c r="E307" s="8" t="n">
        <x:v>8.737</x:v>
      </x:c>
      <x:c r="F307" s="8"/>
      <x:c r="G307" s="8"/>
      <x:c r="H307" s="8" t="n">
        <x:v>0.302</x:v>
      </x:c>
      <x:c r="I307" s="8" t="n">
        <x:v>8.04</x:v>
      </x:c>
      <x:c r="J307" s="8" t="n">
        <x:v>0.302</x:v>
      </x:c>
      <x:c r="K307" s="8" t="n">
        <x:v>8.04</x:v>
      </x:c>
      <x:c r="L307" s="8" t="n">
        <x:v>0.163</x:v>
      </x:c>
      <x:c r="M307" s="8" t="n">
        <x:v>8.49</x:v>
      </x:c>
      <x:c r="N307" s="8" t="n">
        <x:v>0.163</x:v>
      </x:c>
      <x:c r="O307" s="8" t="n">
        <x:v>8.49</x:v>
      </x:c>
      <x:c r="P307" s="8" t="n">
        <x:v>0.242</x:v>
      </x:c>
      <x:c r="Q307" s="8" t="n">
        <x:v>7.111</x:v>
      </x:c>
      <x:c r="R307" s="8" t="n">
        <x:v>0.242</x:v>
      </x:c>
      <x:c r="S307" s="8" t="n">
        <x:v>7.111</x:v>
      </x:c>
      <x:c r="T307" s="8" t="n">
        <x:v>0.254</x:v>
      </x:c>
      <x:c r="U307" s="8" t="n">
        <x:v>8.283</x:v>
      </x:c>
      <x:c r="V307" s="8" t="n">
        <x:v>0.254</x:v>
      </x:c>
      <x:c r="W307" s="8" t="n">
        <x:v>8.283</x:v>
      </x:c>
      <x:c r="X307" s="8" t="n">
        <x:v>0.133</x:v>
      </x:c>
      <x:c r="Y307" s="8" t="n">
        <x:v>7.344</x:v>
      </x:c>
      <x:c r="Z307" s="8" t="n">
        <x:v>0.133</x:v>
      </x:c>
      <x:c r="AA307" s="8" t="n">
        <x:v>7.344</x:v>
      </x:c>
      <x:c r="AB307" s="8" t="n">
        <x:v>0.223</x:v>
      </x:c>
      <x:c r="AC307" s="8" t="n">
        <x:v>8.862</x:v>
      </x:c>
      <x:c r="AD307" s="8" t="n">
        <x:v>0.223</x:v>
      </x:c>
      <x:c r="AE307" s="8" t="n">
        <x:v>8.862</x:v>
      </x:c>
      <x:c r="AF307" s="8" t="n">
        <x:v>0.192</x:v>
      </x:c>
      <x:c r="AG307" s="8" t="n">
        <x:v>7.851</x:v>
      </x:c>
      <x:c r="AH307" s="8" t="n">
        <x:v>0.192</x:v>
      </x:c>
      <x:c r="AI307" s="8" t="n">
        <x:v>7.851</x:v>
      </x:c>
      <x:c r="AJ307" s="8"/>
      <x:c r="AK307" s="8"/>
      <x:c r="AL307" s="8" t="n">
        <x:v>0.16</x:v>
      </x:c>
      <x:c r="AM307" s="8" t="n">
        <x:v>8.625</x:v>
      </x:c>
      <x:c r="AN307" s="8" t="n">
        <x:v>0.11</x:v>
      </x:c>
      <x:c r="AO307" s="8" t="n">
        <x:v>9.137</x:v>
      </x:c>
      <x:c r="AP307" s="8" t="n">
        <x:v>0.11</x:v>
      </x:c>
      <x:c r="AQ307" s="8" t="n">
        <x:v>9.137</x:v>
      </x:c>
      <x:c r="AR307" s="8" t="n">
        <x:v>0.901</x:v>
      </x:c>
      <x:c r="AS307" s="8" t="n">
        <x:v>8.912</x:v>
      </x:c>
      <x:c r="AT307" s="8" t="n">
        <x:v>0.163</x:v>
      </x:c>
      <x:c r="AU307" s="8" t="n">
        <x:v>6.48</x:v>
      </x:c>
      <x:c r="AV307" s="8"/>
      <x:c r="AW307" s="8"/>
      <x:c r="AX307" s="8"/>
      <x:c r="AY307" s="8"/>
      <x:c r="AZ307" s="8"/>
      <x:c r="BA307" s="8"/>
      <x:c r="BB307" s="8" t="n">
        <x:f>LET(m,MIN(IF(D307&gt;0,D307,1E+99),IF(F307&gt;0,F307,1E+99),IF(H307&gt;0,H307,1E+99),IF(J307&gt;0,J307,1E+99),IF(L307&gt;0,L307,1E+99),IF(N307&gt;0,N307,1E+99),IF(P307&gt;0,P307,1E+99),IF(R307&gt;0,R307,1E+99),IF(T307&gt;0,T307,1E+99),IF(V307&gt;0,V307,1E+99),IF(X307&gt;0,X307,1E+99),IF(Z307&gt;0,Z307,1E+99),IF(AB307&gt;0,AB307,1E+99),IF(AD307&gt;0,AD307,1E+99),IF(AF307&gt;0,AF307,1E+99),IF(AH307&gt;0,AH307,1E+99),IF(AJ307&gt;0,AJ307,1E+99),IF(AL307&gt;0,AL307,1E+99),IF(AN307&gt;0,AN307,1E+99),IF(AP307&gt;0,AP307,1E+99),IF(AR307&gt;0,AR307,1E+99),IF(AT307&gt;0,AT307,1E+99),IF(AV307&gt;0,AV307,1E+99),IF(AX307&gt;0,AX307,1E+99),IF(AZ307&gt;0,AZ307,1E+99)),IF(m=1E+99,"",m))</x:f>
        <x:v>0.11</x:v>
      </x:c>
      <x:c r="BC307" s="12" t="e">
        <x:f>IF(BB307="","",INDEX({"v1.4.20","v1.4.20","v1.4.21","v1.4.21","v1.4.23","v1.4.23","v1.4.26","v1.4.26","v1.4.26.1","v1.4.26.1","v1.4.27","v1.4.27","v1.4.29","v1.4.29","v1.4.30","v1.4.30","v1.4.31","v1.4.31","v1.4.33","v1.4.33","v1.4.35","v1.4.35.2","v1.5","v1.5.1","v1.5.1"},MATCH(BB307,CHOOSE({1,2,3,4,5,6,7,8,9,10,11,12,13,14,15,16,17,18,19,20,21,22,23,24,25},D307,F307,H307,J307,L307,N307,P307,R307,T307,V307,X307,Z307,AB307,AD307,AF307,AH307,AJ307,AL307,AN307,AP307,AR307,AT307,AV307,AX307,AZ307),0)))</x:f>
      </x:c>
      <x:c r="BD307" s="14" t="n">
        <x:f>LET(m,MIN(IF(E307&gt;0,E307,1E+99),IF(G307&gt;0,G307,1E+99),IF(I307&gt;0,I307,1E+99),IF(K307&gt;0,K307,1E+99),IF(M307&gt;0,M307,1E+99),IF(O307&gt;0,O307,1E+99),IF(Q307&gt;0,Q307,1E+99),IF(S307&gt;0,S307,1E+99),IF(U307&gt;0,U307,1E+99),IF(W307&gt;0,W307,1E+99),IF(Y307&gt;0,Y307,1E+99),IF(AA307&gt;0,AA307,1E+99),IF(AC307&gt;0,AC307,1E+99),IF(AE307&gt;0,AE307,1E+99),IF(AG307&gt;0,AG307,1E+99),IF(AI307&gt;0,AI307,1E+99),IF(AK307&gt;0,AK307,1E+99),IF(AM307&gt;0,AM307,1E+99),IF(AO307&gt;0,AO307,1E+99),IF(AQ307&gt;0,AQ307,1E+99),IF(AS307&gt;0,AS307,1E+99),IF(AU307&gt;0,AU307,1E+99),IF(AW307&gt;0,AW307,1E+99),IF(AY307&gt;0,AY307,1E+99),IF(BA307&gt;0,BA307,1E+99)),IF(m=1E+99,"",m))</x:f>
        <x:v>6.48</x:v>
      </x:c>
      <x:c r="BE307" s="16" t="e">
        <x:f>IF(BD307="","",INDEX({"v1.4.20","v1.4.20","v1.4.21","v1.4.21","v1.4.23","v1.4.23","v1.4.26","v1.4.26","v1.4.26.1","v1.4.26.1","v1.4.27","v1.4.27","v1.4.29","v1.4.29","v1.4.30","v1.4.30","v1.4.31","v1.4.31","v1.4.33","v1.4.33","v1.4.35","v1.4.35.2","v1.5","v1.5.1","v1.5.1"},MATCH(BD307,CHOOSE({1,2,3,4,5,6,7,8,9,10,11,12,13,14,15,16,17,18,19,20,21,22,23,24,25},E307,G307,I307,K307,M307,O307,Q307,S307,U307,W307,Y307,AA307,AC307,AE307,AG307,AI307,AK307,AM307,AO307,AQ307,AS307,AU307,AW307,AY307,BA307),0)))</x:f>
      </x:c>
      <x:c r="BF307" s="10" t="n">
        <x:f>IFERROR((AX307-BB307)/BB307,"")</x:f>
        <x:v>-1</x:v>
      </x:c>
      <x:c r="BG307" s="10" t="n">
        <x:f>IFERROR((AY307-BD307)/BD307,"")</x:f>
        <x:v>-1</x:v>
      </x:c>
    </x:row>
    <x:row r="308">
      <x:c r="A308" t="str"/>
      <x:c r="B308" t="str">
        <x:v>Template Header Audit</x:v>
      </x:c>
      <x:c r="C308" t="str">
        <x:v>Start</x:v>
      </x:c>
      <x:c r="D308" s="8"/>
      <x:c r="E308" s="8"/>
      <x:c r="F308" s="8"/>
      <x:c r="G308" s="8"/>
      <x:c r="H308" s="8"/>
      <x:c r="I308" s="8"/>
      <x:c r="J308" s="8"/>
      <x:c r="K308" s="8"/>
      <x:c r="L308" s="8" t="n">
        <x:v>0</x:v>
      </x:c>
      <x:c r="M308" s="8" t="n">
        <x:v>0</x:v>
      </x:c>
      <x:c r="N308" s="8" t="n">
        <x:v>0</x:v>
      </x:c>
      <x:c r="O308" s="8" t="n">
        <x:v>0</x:v>
      </x:c>
      <x:c r="P308" s="8" t="n">
        <x:v>0</x:v>
      </x:c>
      <x:c r="Q308" s="8" t="n">
        <x:v>0</x:v>
      </x:c>
      <x:c r="R308" s="8" t="n">
        <x:v>0</x:v>
      </x:c>
      <x:c r="S308" s="8" t="n">
        <x:v>0</x:v>
      </x:c>
      <x:c r="T308" s="8" t="n">
        <x:v>0</x:v>
      </x:c>
      <x:c r="U308" s="8" t="n">
        <x:v>0</x:v>
      </x:c>
      <x:c r="V308" s="8" t="n">
        <x:v>0</x:v>
      </x:c>
      <x:c r="W308" s="8" t="n">
        <x:v>0</x:v>
      </x:c>
      <x:c r="X308" s="8" t="n">
        <x:v>0</x:v>
      </x:c>
      <x:c r="Y308" s="8" t="n">
        <x:v>0</x:v>
      </x:c>
      <x:c r="Z308" s="8" t="n">
        <x:v>0</x:v>
      </x:c>
      <x:c r="AA308" s="8" t="n">
        <x:v>0</x:v>
      </x:c>
      <x:c r="AB308" s="8" t="n">
        <x:v>0</x:v>
      </x:c>
      <x:c r="AC308" s="8" t="n">
        <x:v>0</x:v>
      </x:c>
      <x:c r="AD308" s="8" t="n">
        <x:v>0</x:v>
      </x:c>
      <x:c r="AE308" s="8" t="n">
        <x:v>0</x:v>
      </x:c>
      <x:c r="AF308" s="8" t="n">
        <x:v>0</x:v>
      </x:c>
      <x:c r="AG308" s="8" t="n">
        <x:v>0</x:v>
      </x:c>
      <x:c r="AH308" s="8" t="n">
        <x:v>0</x:v>
      </x:c>
      <x:c r="AI308" s="8" t="n">
        <x:v>0</x:v>
      </x:c>
      <x:c r="AJ308" s="8"/>
      <x:c r="AK308" s="8"/>
      <x:c r="AL308" s="8" t="n">
        <x:v>0</x:v>
      </x:c>
      <x:c r="AM308" s="8" t="n">
        <x:v>0</x:v>
      </x:c>
      <x:c r="AN308" s="8" t="n">
        <x:v>0</x:v>
      </x:c>
      <x:c r="AO308" s="8" t="n">
        <x:v>0</x:v>
      </x:c>
      <x:c r="AP308" s="8" t="n">
        <x:v>0</x:v>
      </x:c>
      <x:c r="AQ308" s="8" t="n">
        <x:v>0</x:v>
      </x:c>
      <x:c r="AR308" s="8" t="n">
        <x:v>0</x:v>
      </x:c>
      <x:c r="AS308" s="8" t="n">
        <x:v>0</x:v>
      </x:c>
      <x:c r="AT308" s="8" t="n">
        <x:v>0</x:v>
      </x:c>
      <x:c r="AU308" s="8" t="n">
        <x:v>0</x:v>
      </x:c>
      <x:c r="AV308" s="8" t="n">
        <x:v>0</x:v>
      </x:c>
      <x:c r="AW308" s="8" t="n">
        <x:v>0</x:v>
      </x:c>
      <x:c r="AX308" s="8" t="n">
        <x:v>0</x:v>
      </x:c>
      <x:c r="AY308" s="8" t="n">
        <x:v>0</x:v>
      </x:c>
      <x:c r="AZ308" s="8" t="n">
        <x:v>0</x:v>
      </x:c>
      <x:c r="BA308" s="8" t="n">
        <x:v>0</x:v>
      </x:c>
      <x:c r="BB308" s="8" t="str">
        <x:f>LET(m,MIN(IF(D308&gt;0,D308,1E+99),IF(F308&gt;0,F308,1E+99),IF(H308&gt;0,H308,1E+99),IF(J308&gt;0,J308,1E+99),IF(L308&gt;0,L308,1E+99),IF(N308&gt;0,N308,1E+99),IF(P308&gt;0,P308,1E+99),IF(R308&gt;0,R308,1E+99),IF(T308&gt;0,T308,1E+99),IF(V308&gt;0,V308,1E+99),IF(X308&gt;0,X308,1E+99),IF(Z308&gt;0,Z308,1E+99),IF(AB308&gt;0,AB308,1E+99),IF(AD308&gt;0,AD308,1E+99),IF(AF308&gt;0,AF308,1E+99),IF(AH308&gt;0,AH308,1E+99),IF(AJ308&gt;0,AJ308,1E+99),IF(AL308&gt;0,AL308,1E+99),IF(AN308&gt;0,AN308,1E+99),IF(AP308&gt;0,AP308,1E+99),IF(AR308&gt;0,AR308,1E+99),IF(AT308&gt;0,AT308,1E+99),IF(AV308&gt;0,AV308,1E+99),IF(AX308&gt;0,AX308,1E+99),IF(AZ308&gt;0,AZ308,1E+99)),IF(m=1E+99,"",m))</x:f>
      </x:c>
      <x:c r="BC308" s="12" t="str">
        <x:f>IF(BB308="","",INDEX({"v1.4.20","v1.4.20","v1.4.21","v1.4.21","v1.4.23","v1.4.23","v1.4.26","v1.4.26","v1.4.26.1","v1.4.26.1","v1.4.27","v1.4.27","v1.4.29","v1.4.29","v1.4.30","v1.4.30","v1.4.31","v1.4.31","v1.4.33","v1.4.33","v1.4.35","v1.4.35.2","v1.5","v1.5.1","v1.5.1"},MATCH(BB308,CHOOSE({1,2,3,4,5,6,7,8,9,10,11,12,13,14,15,16,17,18,19,20,21,22,23,24,25},D308,F308,H308,J308,L308,N308,P308,R308,T308,V308,X308,Z308,AB308,AD308,AF308,AH308,AJ308,AL308,AN308,AP308,AR308,AT308,AV308,AX308,AZ308),0)))</x:f>
      </x:c>
      <x:c r="BD308" s="14" t="str">
        <x:f>LET(m,MIN(IF(E308&gt;0,E308,1E+99),IF(G308&gt;0,G308,1E+99),IF(I308&gt;0,I308,1E+99),IF(K308&gt;0,K308,1E+99),IF(M308&gt;0,M308,1E+99),IF(O308&gt;0,O308,1E+99),IF(Q308&gt;0,Q308,1E+99),IF(S308&gt;0,S308,1E+99),IF(U308&gt;0,U308,1E+99),IF(W308&gt;0,W308,1E+99),IF(Y308&gt;0,Y308,1E+99),IF(AA308&gt;0,AA308,1E+99),IF(AC308&gt;0,AC308,1E+99),IF(AE308&gt;0,AE308,1E+99),IF(AG308&gt;0,AG308,1E+99),IF(AI308&gt;0,AI308,1E+99),IF(AK308&gt;0,AK308,1E+99),IF(AM308&gt;0,AM308,1E+99),IF(AO308&gt;0,AO308,1E+99),IF(AQ308&gt;0,AQ308,1E+99),IF(AS308&gt;0,AS308,1E+99),IF(AU308&gt;0,AU308,1E+99),IF(AW308&gt;0,AW308,1E+99),IF(AY308&gt;0,AY308,1E+99),IF(BA308&gt;0,BA308,1E+99)),IF(m=1E+99,"",m))</x:f>
      </x:c>
      <x:c r="BE308" s="16" t="str">
        <x:f>IF(BD308="","",INDEX({"v1.4.20","v1.4.20","v1.4.21","v1.4.21","v1.4.23","v1.4.23","v1.4.26","v1.4.26","v1.4.26.1","v1.4.26.1","v1.4.27","v1.4.27","v1.4.29","v1.4.29","v1.4.30","v1.4.30","v1.4.31","v1.4.31","v1.4.33","v1.4.33","v1.4.35","v1.4.35.2","v1.5","v1.5.1","v1.5.1"},MATCH(BD308,CHOOSE({1,2,3,4,5,6,7,8,9,10,11,12,13,14,15,16,17,18,19,20,21,22,23,24,25},E308,G308,I308,K308,M308,O308,Q308,S308,U308,W308,Y308,AA308,AC308,AE308,AG308,AI308,AK308,AM308,AO308,AQ308,AS308,AU308,AW308,AY308,BA308),0)))</x:f>
      </x:c>
      <x:c r="BF308" s="10" t="str">
        <x:f>IFERROR((AX308-BB308)/BB308,"")</x:f>
      </x:c>
      <x:c r="BG308" s="10" t="str">
        <x:f>IFERROR((AY308-BD308)/BD308,"")</x:f>
      </x:c>
    </x:row>
    <x:row r="309">
      <x:c r="A309" t="str"/>
      <x:c r="B309" t="str">
        <x:v>Template Header Audit</x:v>
      </x:c>
      <x:c r="C309" t="str">
        <x:v>Dashboard loaded</x:v>
      </x:c>
      <x:c r="D309" s="8"/>
      <x:c r="E309" s="8"/>
      <x:c r="F309" s="8"/>
      <x:c r="G309" s="8"/>
      <x:c r="H309" s="8"/>
      <x:c r="I309" s="8"/>
      <x:c r="J309" s="8"/>
      <x:c r="K309" s="8"/>
      <x:c r="L309" s="8" t="n">
        <x:v>0.257</x:v>
      </x:c>
      <x:c r="M309" s="8" t="n">
        <x:v>0.257</x:v>
      </x:c>
      <x:c r="N309" s="8" t="n">
        <x:v>0.257</x:v>
      </x:c>
      <x:c r="O309" s="8" t="n">
        <x:v>0.257</x:v>
      </x:c>
      <x:c r="P309" s="8" t="n">
        <x:v>0.144</x:v>
      </x:c>
      <x:c r="Q309" s="8" t="n">
        <x:v>0.144</x:v>
      </x:c>
      <x:c r="R309" s="8" t="n">
        <x:v>0.144</x:v>
      </x:c>
      <x:c r="S309" s="8" t="n">
        <x:v>0.144</x:v>
      </x:c>
      <x:c r="T309" s="8" t="n">
        <x:v>0.342</x:v>
      </x:c>
      <x:c r="U309" s="8" t="n">
        <x:v>0.342</x:v>
      </x:c>
      <x:c r="V309" s="8" t="n">
        <x:v>0.342</x:v>
      </x:c>
      <x:c r="W309" s="8" t="n">
        <x:v>0.342</x:v>
      </x:c>
      <x:c r="X309" s="8" t="n">
        <x:v>0.197</x:v>
      </x:c>
      <x:c r="Y309" s="8" t="n">
        <x:v>0.197</x:v>
      </x:c>
      <x:c r="Z309" s="8" t="n">
        <x:v>0.197</x:v>
      </x:c>
      <x:c r="AA309" s="8" t="n">
        <x:v>0.197</x:v>
      </x:c>
      <x:c r="AB309" s="8" t="n">
        <x:v>0.688</x:v>
      </x:c>
      <x:c r="AC309" s="8" t="n">
        <x:v>0.688</x:v>
      </x:c>
      <x:c r="AD309" s="8" t="n">
        <x:v>0.688</x:v>
      </x:c>
      <x:c r="AE309" s="8" t="n">
        <x:v>0.688</x:v>
      </x:c>
      <x:c r="AF309" s="8" t="n">
        <x:v>0.285</x:v>
      </x:c>
      <x:c r="AG309" s="8" t="n">
        <x:v>0.285</x:v>
      </x:c>
      <x:c r="AH309" s="8" t="n">
        <x:v>0.285</x:v>
      </x:c>
      <x:c r="AI309" s="8" t="n">
        <x:v>0.285</x:v>
      </x:c>
      <x:c r="AJ309" s="8"/>
      <x:c r="AK309" s="8"/>
      <x:c r="AL309" s="8" t="n">
        <x:v>0.195</x:v>
      </x:c>
      <x:c r="AM309" s="8" t="n">
        <x:v>0.195</x:v>
      </x:c>
      <x:c r="AN309" s="8" t="n">
        <x:v>0.17</x:v>
      </x:c>
      <x:c r="AO309" s="8" t="n">
        <x:v>0.17</x:v>
      </x:c>
      <x:c r="AP309" s="8" t="n">
        <x:v>0.17</x:v>
      </x:c>
      <x:c r="AQ309" s="8" t="n">
        <x:v>0.17</x:v>
      </x:c>
      <x:c r="AR309" s="8" t="n">
        <x:v>0.349</x:v>
      </x:c>
      <x:c r="AS309" s="8" t="n">
        <x:v>0.349</x:v>
      </x:c>
      <x:c r="AT309" s="8" t="n">
        <x:v>0.186</x:v>
      </x:c>
      <x:c r="AU309" s="8" t="n">
        <x:v>0.186</x:v>
      </x:c>
      <x:c r="AV309" s="8" t="n">
        <x:v>0.355</x:v>
      </x:c>
      <x:c r="AW309" s="8" t="n">
        <x:v>0.355</x:v>
      </x:c>
      <x:c r="AX309" s="8" t="n">
        <x:v>0.327</x:v>
      </x:c>
      <x:c r="AY309" s="8" t="n">
        <x:v>0.327</x:v>
      </x:c>
      <x:c r="AZ309" s="8" t="n">
        <x:v>0.327</x:v>
      </x:c>
      <x:c r="BA309" s="8" t="n">
        <x:v>0.327</x:v>
      </x:c>
      <x:c r="BB309" s="8" t="n">
        <x:f>LET(m,MIN(IF(D309&gt;0,D309,1E+99),IF(F309&gt;0,F309,1E+99),IF(H309&gt;0,H309,1E+99),IF(J309&gt;0,J309,1E+99),IF(L309&gt;0,L309,1E+99),IF(N309&gt;0,N309,1E+99),IF(P309&gt;0,P309,1E+99),IF(R309&gt;0,R309,1E+99),IF(T309&gt;0,T309,1E+99),IF(V309&gt;0,V309,1E+99),IF(X309&gt;0,X309,1E+99),IF(Z309&gt;0,Z309,1E+99),IF(AB309&gt;0,AB309,1E+99),IF(AD309&gt;0,AD309,1E+99),IF(AF309&gt;0,AF309,1E+99),IF(AH309&gt;0,AH309,1E+99),IF(AJ309&gt;0,AJ309,1E+99),IF(AL309&gt;0,AL309,1E+99),IF(AN309&gt;0,AN309,1E+99),IF(AP309&gt;0,AP309,1E+99),IF(AR309&gt;0,AR309,1E+99),IF(AT309&gt;0,AT309,1E+99),IF(AV309&gt;0,AV309,1E+99),IF(AX309&gt;0,AX309,1E+99),IF(AZ309&gt;0,AZ309,1E+99)),IF(m=1E+99,"",m))</x:f>
        <x:v>0.144</x:v>
      </x:c>
      <x:c r="BC309" s="12" t="e">
        <x:f>IF(BB309="","",INDEX({"v1.4.20","v1.4.20","v1.4.21","v1.4.21","v1.4.23","v1.4.23","v1.4.26","v1.4.26","v1.4.26.1","v1.4.26.1","v1.4.27","v1.4.27","v1.4.29","v1.4.29","v1.4.30","v1.4.30","v1.4.31","v1.4.31","v1.4.33","v1.4.33","v1.4.35","v1.4.35.2","v1.5","v1.5.1","v1.5.1"},MATCH(BB309,CHOOSE({1,2,3,4,5,6,7,8,9,10,11,12,13,14,15,16,17,18,19,20,21,22,23,24,25},D309,F309,H309,J309,L309,N309,P309,R309,T309,V309,X309,Z309,AB309,AD309,AF309,AH309,AJ309,AL309,AN309,AP309,AR309,AT309,AV309,AX309,AZ309),0)))</x:f>
      </x:c>
      <x:c r="BD309" s="14" t="n">
        <x:f>LET(m,MIN(IF(E309&gt;0,E309,1E+99),IF(G309&gt;0,G309,1E+99),IF(I309&gt;0,I309,1E+99),IF(K309&gt;0,K309,1E+99),IF(M309&gt;0,M309,1E+99),IF(O309&gt;0,O309,1E+99),IF(Q309&gt;0,Q309,1E+99),IF(S309&gt;0,S309,1E+99),IF(U309&gt;0,U309,1E+99),IF(W309&gt;0,W309,1E+99),IF(Y309&gt;0,Y309,1E+99),IF(AA309&gt;0,AA309,1E+99),IF(AC309&gt;0,AC309,1E+99),IF(AE309&gt;0,AE309,1E+99),IF(AG309&gt;0,AG309,1E+99),IF(AI309&gt;0,AI309,1E+99),IF(AK309&gt;0,AK309,1E+99),IF(AM309&gt;0,AM309,1E+99),IF(AO309&gt;0,AO309,1E+99),IF(AQ309&gt;0,AQ309,1E+99),IF(AS309&gt;0,AS309,1E+99),IF(AU309&gt;0,AU309,1E+99),IF(AW309&gt;0,AW309,1E+99),IF(AY309&gt;0,AY309,1E+99),IF(BA309&gt;0,BA309,1E+99)),IF(m=1E+99,"",m))</x:f>
        <x:v>0.144</x:v>
      </x:c>
      <x:c r="BE309" s="16" t="e">
        <x:f>IF(BD309="","",INDEX({"v1.4.20","v1.4.20","v1.4.21","v1.4.21","v1.4.23","v1.4.23","v1.4.26","v1.4.26","v1.4.26.1","v1.4.26.1","v1.4.27","v1.4.27","v1.4.29","v1.4.29","v1.4.30","v1.4.30","v1.4.31","v1.4.31","v1.4.33","v1.4.33","v1.4.35","v1.4.35.2","v1.5","v1.5.1","v1.5.1"},MATCH(BD309,CHOOSE({1,2,3,4,5,6,7,8,9,10,11,12,13,14,15,16,17,18,19,20,21,22,23,24,25},E309,G309,I309,K309,M309,O309,Q309,S309,U309,W309,Y309,AA309,AC309,AE309,AG309,AI309,AK309,AM309,AO309,AQ309,AS309,AU309,AW309,AY309,BA309),0)))</x:f>
      </x:c>
      <x:c r="BF309" s="10" t="n">
        <x:f>IFERROR((AX309-BB309)/BB309,"")</x:f>
        <x:v>1.2708333333333337</x:v>
      </x:c>
      <x:c r="BG309" s="10" t="n">
        <x:f>IFERROR((AY309-BD309)/BD309,"")</x:f>
        <x:v>1.2708333333333337</x:v>
      </x:c>
    </x:row>
    <x:row r="310">
      <x:c r="A310" t="str"/>
      <x:c r="B310" t="str">
        <x:v>Template Header Audit</x:v>
      </x:c>
      <x:c r="C310" t="str">
        <x:v>Dashboard Quality Section B saved</x:v>
      </x:c>
      <x:c r="D310" s="8"/>
      <x:c r="E310" s="8"/>
      <x:c r="F310" s="8"/>
      <x:c r="G310" s="8"/>
      <x:c r="H310" s="8"/>
      <x:c r="I310" s="8"/>
      <x:c r="J310" s="8"/>
      <x:c r="K310" s="8"/>
      <x:c r="L310" s="8" t="n">
        <x:v>10.634</x:v>
      </x:c>
      <x:c r="M310" s="8" t="n">
        <x:v>10.891</x:v>
      </x:c>
      <x:c r="N310" s="8" t="n">
        <x:v>10.634</x:v>
      </x:c>
      <x:c r="O310" s="8" t="n">
        <x:v>10.891</x:v>
      </x:c>
      <x:c r="P310" s="8" t="n">
        <x:v>6.033</x:v>
      </x:c>
      <x:c r="Q310" s="8" t="n">
        <x:v>6.177</x:v>
      </x:c>
      <x:c r="R310" s="8" t="n">
        <x:v>6.033</x:v>
      </x:c>
      <x:c r="S310" s="8" t="n">
        <x:v>6.177</x:v>
      </x:c>
      <x:c r="T310" s="8" t="n">
        <x:v>12.24</x:v>
      </x:c>
      <x:c r="U310" s="8" t="n">
        <x:v>12.582</x:v>
      </x:c>
      <x:c r="V310" s="8" t="n">
        <x:v>12.24</x:v>
      </x:c>
      <x:c r="W310" s="8" t="n">
        <x:v>12.582</x:v>
      </x:c>
      <x:c r="X310" s="8" t="n">
        <x:v>7.726</x:v>
      </x:c>
      <x:c r="Y310" s="8" t="n">
        <x:v>7.923</x:v>
      </x:c>
      <x:c r="Z310" s="8" t="n">
        <x:v>7.726</x:v>
      </x:c>
      <x:c r="AA310" s="8" t="n">
        <x:v>7.923</x:v>
      </x:c>
      <x:c r="AB310" s="8" t="n">
        <x:v>10.357</x:v>
      </x:c>
      <x:c r="AC310" s="8" t="n">
        <x:v>11.045</x:v>
      </x:c>
      <x:c r="AD310" s="8" t="n">
        <x:v>10.357</x:v>
      </x:c>
      <x:c r="AE310" s="8" t="n">
        <x:v>11.045</x:v>
      </x:c>
      <x:c r="AF310" s="8" t="n">
        <x:v>10.326</x:v>
      </x:c>
      <x:c r="AG310" s="8" t="n">
        <x:v>10.611</x:v>
      </x:c>
      <x:c r="AH310" s="8" t="n">
        <x:v>10.326</x:v>
      </x:c>
      <x:c r="AI310" s="8" t="n">
        <x:v>10.611</x:v>
      </x:c>
      <x:c r="AJ310" s="8"/>
      <x:c r="AK310" s="8"/>
      <x:c r="AL310" s="8" t="n">
        <x:v>7.4</x:v>
      </x:c>
      <x:c r="AM310" s="8" t="n">
        <x:v>7.595</x:v>
      </x:c>
      <x:c r="AN310" s="8" t="n">
        <x:v>7.629</x:v>
      </x:c>
      <x:c r="AO310" s="8" t="n">
        <x:v>7.799</x:v>
      </x:c>
      <x:c r="AP310" s="8" t="n">
        <x:v>7.629</x:v>
      </x:c>
      <x:c r="AQ310" s="8" t="n">
        <x:v>7.799</x:v>
      </x:c>
      <x:c r="AR310" s="8" t="n">
        <x:v>14.049</x:v>
      </x:c>
      <x:c r="AS310" s="8" t="n">
        <x:v>14.398</x:v>
      </x:c>
      <x:c r="AT310" s="8" t="n">
        <x:v>7.18</x:v>
      </x:c>
      <x:c r="AU310" s="8" t="n">
        <x:v>7.366</x:v>
      </x:c>
      <x:c r="AV310" s="8" t="n">
        <x:v>10.774</x:v>
      </x:c>
      <x:c r="AW310" s="8" t="n">
        <x:v>11.129</x:v>
      </x:c>
      <x:c r="AX310" s="8" t="n">
        <x:v>7.744</x:v>
      </x:c>
      <x:c r="AY310" s="8" t="n">
        <x:v>8.071</x:v>
      </x:c>
      <x:c r="AZ310" s="8" t="n">
        <x:v>7.744</x:v>
      </x:c>
      <x:c r="BA310" s="8" t="n">
        <x:v>8.071</x:v>
      </x:c>
      <x:c r="BB310" s="8" t="n">
        <x:f>LET(m,MIN(IF(D310&gt;0,D310,1E+99),IF(F310&gt;0,F310,1E+99),IF(H310&gt;0,H310,1E+99),IF(J310&gt;0,J310,1E+99),IF(L310&gt;0,L310,1E+99),IF(N310&gt;0,N310,1E+99),IF(P310&gt;0,P310,1E+99),IF(R310&gt;0,R310,1E+99),IF(T310&gt;0,T310,1E+99),IF(V310&gt;0,V310,1E+99),IF(X310&gt;0,X310,1E+99),IF(Z310&gt;0,Z310,1E+99),IF(AB310&gt;0,AB310,1E+99),IF(AD310&gt;0,AD310,1E+99),IF(AF310&gt;0,AF310,1E+99),IF(AH310&gt;0,AH310,1E+99),IF(AJ310&gt;0,AJ310,1E+99),IF(AL310&gt;0,AL310,1E+99),IF(AN310&gt;0,AN310,1E+99),IF(AP310&gt;0,AP310,1E+99),IF(AR310&gt;0,AR310,1E+99),IF(AT310&gt;0,AT310,1E+99),IF(AV310&gt;0,AV310,1E+99),IF(AX310&gt;0,AX310,1E+99),IF(AZ310&gt;0,AZ310,1E+99)),IF(m=1E+99,"",m))</x:f>
        <x:v>6.033</x:v>
      </x:c>
      <x:c r="BC310" s="12" t="e">
        <x:f>IF(BB310="","",INDEX({"v1.4.20","v1.4.20","v1.4.21","v1.4.21","v1.4.23","v1.4.23","v1.4.26","v1.4.26","v1.4.26.1","v1.4.26.1","v1.4.27","v1.4.27","v1.4.29","v1.4.29","v1.4.30","v1.4.30","v1.4.31","v1.4.31","v1.4.33","v1.4.33","v1.4.35","v1.4.35.2","v1.5","v1.5.1","v1.5.1"},MATCH(BB310,CHOOSE({1,2,3,4,5,6,7,8,9,10,11,12,13,14,15,16,17,18,19,20,21,22,23,24,25},D310,F310,H310,J310,L310,N310,P310,R310,T310,V310,X310,Z310,AB310,AD310,AF310,AH310,AJ310,AL310,AN310,AP310,AR310,AT310,AV310,AX310,AZ310),0)))</x:f>
      </x:c>
      <x:c r="BD310" s="14" t="n">
        <x:f>LET(m,MIN(IF(E310&gt;0,E310,1E+99),IF(G310&gt;0,G310,1E+99),IF(I310&gt;0,I310,1E+99),IF(K310&gt;0,K310,1E+99),IF(M310&gt;0,M310,1E+99),IF(O310&gt;0,O310,1E+99),IF(Q310&gt;0,Q310,1E+99),IF(S310&gt;0,S310,1E+99),IF(U310&gt;0,U310,1E+99),IF(W310&gt;0,W310,1E+99),IF(Y310&gt;0,Y310,1E+99),IF(AA310&gt;0,AA310,1E+99),IF(AC310&gt;0,AC310,1E+99),IF(AE310&gt;0,AE310,1E+99),IF(AG310&gt;0,AG310,1E+99),IF(AI310&gt;0,AI310,1E+99),IF(AK310&gt;0,AK310,1E+99),IF(AM310&gt;0,AM310,1E+99),IF(AO310&gt;0,AO310,1E+99),IF(AQ310&gt;0,AQ310,1E+99),IF(AS310&gt;0,AS310,1E+99),IF(AU310&gt;0,AU310,1E+99),IF(AW310&gt;0,AW310,1E+99),IF(AY310&gt;0,AY310,1E+99),IF(BA310&gt;0,BA310,1E+99)),IF(m=1E+99,"",m))</x:f>
        <x:v>6.177</x:v>
      </x:c>
      <x:c r="BE310" s="16" t="e">
        <x:f>IF(BD310="","",INDEX({"v1.4.20","v1.4.20","v1.4.21","v1.4.21","v1.4.23","v1.4.23","v1.4.26","v1.4.26","v1.4.26.1","v1.4.26.1","v1.4.27","v1.4.27","v1.4.29","v1.4.29","v1.4.30","v1.4.30","v1.4.31","v1.4.31","v1.4.33","v1.4.33","v1.4.35","v1.4.35.2","v1.5","v1.5.1","v1.5.1"},MATCH(BD310,CHOOSE({1,2,3,4,5,6,7,8,9,10,11,12,13,14,15,16,17,18,19,20,21,22,23,24,25},E310,G310,I310,K310,M310,O310,Q310,S310,U310,W310,Y310,AA310,AC310,AE310,AG310,AI310,AK310,AM310,AO310,AQ310,AS310,AU310,AW310,AY310,BA310),0)))</x:f>
      </x:c>
      <x:c r="BF310" s="10" t="n">
        <x:f>IFERROR((AX310-BB310)/BB310,"")</x:f>
        <x:v>0.28360682910658036</x:v>
      </x:c>
      <x:c r="BG310" s="10" t="n">
        <x:f>IFERROR((AY310-BD310)/BD310,"")</x:f>
        <x:v>0.30662133721871465</x:v>
      </x:c>
    </x:row>
    <x:row r="311">
      <x:c r="A311" t="str"/>
      <x:c r="B311" t="str">
        <x:v>Template Header Audit</x:v>
      </x:c>
      <x:c r="C311" t="str">
        <x:v>Complete</x:v>
      </x:c>
      <x:c r="D311" s="8"/>
      <x:c r="E311" s="8"/>
      <x:c r="F311" s="8"/>
      <x:c r="G311" s="8"/>
      <x:c r="H311" s="8"/>
      <x:c r="I311" s="8"/>
      <x:c r="J311" s="8"/>
      <x:c r="K311" s="8"/>
      <x:c r="L311" s="8" t="n">
        <x:v>0</x:v>
      </x:c>
      <x:c r="M311" s="8" t="n">
        <x:v>10.891</x:v>
      </x:c>
      <x:c r="N311" s="8" t="n">
        <x:v>0</x:v>
      </x:c>
      <x:c r="O311" s="8" t="n">
        <x:v>10.891</x:v>
      </x:c>
      <x:c r="P311" s="8" t="n">
        <x:v>0</x:v>
      </x:c>
      <x:c r="Q311" s="8" t="n">
        <x:v>6.177</x:v>
      </x:c>
      <x:c r="R311" s="8" t="n">
        <x:v>0</x:v>
      </x:c>
      <x:c r="S311" s="8" t="n">
        <x:v>6.177</x:v>
      </x:c>
      <x:c r="T311" s="8" t="n">
        <x:v>0</x:v>
      </x:c>
      <x:c r="U311" s="8" t="n">
        <x:v>12.582</x:v>
      </x:c>
      <x:c r="V311" s="8" t="n">
        <x:v>0</x:v>
      </x:c>
      <x:c r="W311" s="8" t="n">
        <x:v>12.582</x:v>
      </x:c>
      <x:c r="X311" s="8" t="n">
        <x:v>0</x:v>
      </x:c>
      <x:c r="Y311" s="8" t="n">
        <x:v>7.923</x:v>
      </x:c>
      <x:c r="Z311" s="8" t="n">
        <x:v>0</x:v>
      </x:c>
      <x:c r="AA311" s="8" t="n">
        <x:v>7.923</x:v>
      </x:c>
      <x:c r="AB311" s="8" t="n">
        <x:v>0</x:v>
      </x:c>
      <x:c r="AC311" s="8" t="n">
        <x:v>11.045</x:v>
      </x:c>
      <x:c r="AD311" s="8" t="n">
        <x:v>0</x:v>
      </x:c>
      <x:c r="AE311" s="8" t="n">
        <x:v>11.045</x:v>
      </x:c>
      <x:c r="AF311" s="8" t="n">
        <x:v>0</x:v>
      </x:c>
      <x:c r="AG311" s="8" t="n">
        <x:v>10.611</x:v>
      </x:c>
      <x:c r="AH311" s="8" t="n">
        <x:v>0</x:v>
      </x:c>
      <x:c r="AI311" s="8" t="n">
        <x:v>10.611</x:v>
      </x:c>
      <x:c r="AJ311" s="8"/>
      <x:c r="AK311" s="8"/>
      <x:c r="AL311" s="8" t="n">
        <x:v>0</x:v>
      </x:c>
      <x:c r="AM311" s="8" t="n">
        <x:v>7.595</x:v>
      </x:c>
      <x:c r="AN311" s="8" t="n">
        <x:v>0</x:v>
      </x:c>
      <x:c r="AO311" s="8" t="n">
        <x:v>7.799</x:v>
      </x:c>
      <x:c r="AP311" s="8" t="n">
        <x:v>0</x:v>
      </x:c>
      <x:c r="AQ311" s="8" t="n">
        <x:v>7.799</x:v>
      </x:c>
      <x:c r="AR311" s="8" t="n">
        <x:v>0.001</x:v>
      </x:c>
      <x:c r="AS311" s="8" t="n">
        <x:v>14.399</x:v>
      </x:c>
      <x:c r="AT311" s="8" t="n">
        <x:v>0</x:v>
      </x:c>
      <x:c r="AU311" s="8" t="n">
        <x:v>7.366</x:v>
      </x:c>
      <x:c r="AV311" s="8" t="n">
        <x:v>0</x:v>
      </x:c>
      <x:c r="AW311" s="8" t="n">
        <x:v>11.129</x:v>
      </x:c>
      <x:c r="AX311" s="8" t="n">
        <x:v>0</x:v>
      </x:c>
      <x:c r="AY311" s="8" t="n">
        <x:v>8.071</x:v>
      </x:c>
      <x:c r="AZ311" s="8" t="n">
        <x:v>0</x:v>
      </x:c>
      <x:c r="BA311" s="8" t="n">
        <x:v>8.071</x:v>
      </x:c>
      <x:c r="BB311" s="8" t="n">
        <x:f>LET(m,MIN(IF(D311&gt;0,D311,1E+99),IF(F311&gt;0,F311,1E+99),IF(H311&gt;0,H311,1E+99),IF(J311&gt;0,J311,1E+99),IF(L311&gt;0,L311,1E+99),IF(N311&gt;0,N311,1E+99),IF(P311&gt;0,P311,1E+99),IF(R311&gt;0,R311,1E+99),IF(T311&gt;0,T311,1E+99),IF(V311&gt;0,V311,1E+99),IF(X311&gt;0,X311,1E+99),IF(Z311&gt;0,Z311,1E+99),IF(AB311&gt;0,AB311,1E+99),IF(AD311&gt;0,AD311,1E+99),IF(AF311&gt;0,AF311,1E+99),IF(AH311&gt;0,AH311,1E+99),IF(AJ311&gt;0,AJ311,1E+99),IF(AL311&gt;0,AL311,1E+99),IF(AN311&gt;0,AN311,1E+99),IF(AP311&gt;0,AP311,1E+99),IF(AR311&gt;0,AR311,1E+99),IF(AT311&gt;0,AT311,1E+99),IF(AV311&gt;0,AV311,1E+99),IF(AX311&gt;0,AX311,1E+99),IF(AZ311&gt;0,AZ311,1E+99)),IF(m=1E+99,"",m))</x:f>
        <x:v>0.001</x:v>
      </x:c>
      <x:c r="BC311" s="12" t="e">
        <x:f>IF(BB311="","",INDEX({"v1.4.20","v1.4.20","v1.4.21","v1.4.21","v1.4.23","v1.4.23","v1.4.26","v1.4.26","v1.4.26.1","v1.4.26.1","v1.4.27","v1.4.27","v1.4.29","v1.4.29","v1.4.30","v1.4.30","v1.4.31","v1.4.31","v1.4.33","v1.4.33","v1.4.35","v1.4.35.2","v1.5","v1.5.1","v1.5.1"},MATCH(BB311,CHOOSE({1,2,3,4,5,6,7,8,9,10,11,12,13,14,15,16,17,18,19,20,21,22,23,24,25},D311,F311,H311,J311,L311,N311,P311,R311,T311,V311,X311,Z311,AB311,AD311,AF311,AH311,AJ311,AL311,AN311,AP311,AR311,AT311,AV311,AX311,AZ311),0)))</x:f>
      </x:c>
      <x:c r="BD311" s="14" t="n">
        <x:f>LET(m,MIN(IF(E311&gt;0,E311,1E+99),IF(G311&gt;0,G311,1E+99),IF(I311&gt;0,I311,1E+99),IF(K311&gt;0,K311,1E+99),IF(M311&gt;0,M311,1E+99),IF(O311&gt;0,O311,1E+99),IF(Q311&gt;0,Q311,1E+99),IF(S311&gt;0,S311,1E+99),IF(U311&gt;0,U311,1E+99),IF(W311&gt;0,W311,1E+99),IF(Y311&gt;0,Y311,1E+99),IF(AA311&gt;0,AA311,1E+99),IF(AC311&gt;0,AC311,1E+99),IF(AE311&gt;0,AE311,1E+99),IF(AG311&gt;0,AG311,1E+99),IF(AI311&gt;0,AI311,1E+99),IF(AK311&gt;0,AK311,1E+99),IF(AM311&gt;0,AM311,1E+99),IF(AO311&gt;0,AO311,1E+99),IF(AQ311&gt;0,AQ311,1E+99),IF(AS311&gt;0,AS311,1E+99),IF(AU311&gt;0,AU311,1E+99),IF(AW311&gt;0,AW311,1E+99),IF(AY311&gt;0,AY311,1E+99),IF(BA311&gt;0,BA311,1E+99)),IF(m=1E+99,"",m))</x:f>
        <x:v>6.177</x:v>
      </x:c>
      <x:c r="BE311" s="16" t="e">
        <x:f>IF(BD311="","",INDEX({"v1.4.20","v1.4.20","v1.4.21","v1.4.21","v1.4.23","v1.4.23","v1.4.26","v1.4.26","v1.4.26.1","v1.4.26.1","v1.4.27","v1.4.27","v1.4.29","v1.4.29","v1.4.30","v1.4.30","v1.4.31","v1.4.31","v1.4.33","v1.4.33","v1.4.35","v1.4.35.2","v1.5","v1.5.1","v1.5.1"},MATCH(BD311,CHOOSE({1,2,3,4,5,6,7,8,9,10,11,12,13,14,15,16,17,18,19,20,21,22,23,24,25},E311,G311,I311,K311,M311,O311,Q311,S311,U311,W311,Y311,AA311,AC311,AE311,AG311,AI311,AK311,AM311,AO311,AQ311,AS311,AU311,AW311,AY311,BA311),0)))</x:f>
      </x:c>
      <x:c r="BF311" s="10" t="n">
        <x:f>IFERROR((AX311-BB311)/BB311,"")</x:f>
        <x:v>-1</x:v>
      </x:c>
      <x:c r="BG311" s="10" t="n">
        <x:f>IFERROR((AY311-BD311)/BD311,"")</x:f>
        <x:v>0.30662133721871465</x:v>
      </x:c>
    </x:row>
    <x:row r="312">
      <x:c r="A312" t="str"/>
      <x:c r="B312" t="str">
        <x:v>Framework Test 6 - Date Formatting</x:v>
      </x:c>
      <x:c r="C312" t="str">
        <x:v>Start</x:v>
      </x:c>
      <x:c r="D312" s="8" t="n">
        <x:v>0</x:v>
      </x:c>
      <x:c r="E312" s="8" t="n">
        <x:v>0</x:v>
      </x:c>
      <x:c r="F312" s="8"/>
      <x:c r="G312" s="8"/>
      <x:c r="H312" s="8" t="n">
        <x:v>0</x:v>
      </x:c>
      <x:c r="I312" s="8" t="n">
        <x:v>0</x:v>
      </x:c>
      <x:c r="J312" s="8" t="n">
        <x:v>0</x:v>
      </x:c>
      <x:c r="K312" s="8" t="n">
        <x:v>0</x:v>
      </x:c>
      <x:c r="L312" s="8" t="n">
        <x:v>0</x:v>
      </x:c>
      <x:c r="M312" s="8" t="n">
        <x:v>0</x:v>
      </x:c>
      <x:c r="N312" s="8" t="n">
        <x:v>0</x:v>
      </x:c>
      <x:c r="O312" s="8" t="n">
        <x:v>0</x:v>
      </x:c>
      <x:c r="P312" s="8" t="n">
        <x:v>0</x:v>
      </x:c>
      <x:c r="Q312" s="8" t="n">
        <x:v>0</x:v>
      </x:c>
      <x:c r="R312" s="8" t="n">
        <x:v>0</x:v>
      </x:c>
      <x:c r="S312" s="8" t="n">
        <x:v>0</x:v>
      </x:c>
      <x:c r="T312" s="8" t="n">
        <x:v>0</x:v>
      </x:c>
      <x:c r="U312" s="8" t="n">
        <x:v>0</x:v>
      </x:c>
      <x:c r="V312" s="8" t="n">
        <x:v>0</x:v>
      </x:c>
      <x:c r="W312" s="8" t="n">
        <x:v>0</x:v>
      </x:c>
      <x:c r="X312" s="8" t="n">
        <x:v>0</x:v>
      </x:c>
      <x:c r="Y312" s="8" t="n">
        <x:v>0</x:v>
      </x:c>
      <x:c r="Z312" s="8" t="n">
        <x:v>0</x:v>
      </x:c>
      <x:c r="AA312" s="8" t="n">
        <x:v>0</x:v>
      </x:c>
      <x:c r="AB312" s="8" t="n">
        <x:v>0</x:v>
      </x:c>
      <x:c r="AC312" s="8" t="n">
        <x:v>0</x:v>
      </x:c>
      <x:c r="AD312" s="8" t="n">
        <x:v>0</x:v>
      </x:c>
      <x:c r="AE312" s="8" t="n">
        <x:v>0</x:v>
      </x:c>
      <x:c r="AF312" s="8" t="n">
        <x:v>0</x:v>
      </x:c>
      <x:c r="AG312" s="8" t="n">
        <x:v>0</x:v>
      </x:c>
      <x:c r="AH312" s="8" t="n">
        <x:v>0</x:v>
      </x:c>
      <x:c r="AI312" s="8" t="n">
        <x:v>0</x:v>
      </x:c>
      <x:c r="AJ312" s="8"/>
      <x:c r="AK312" s="8"/>
      <x:c r="AL312" s="8" t="n">
        <x:v>0</x:v>
      </x:c>
      <x:c r="AM312" s="8" t="n">
        <x:v>0</x:v>
      </x:c>
      <x:c r="AN312" s="8" t="n">
        <x:v>0</x:v>
      </x:c>
      <x:c r="AO312" s="8" t="n">
        <x:v>0</x:v>
      </x:c>
      <x:c r="AP312" s="8" t="n">
        <x:v>0</x:v>
      </x:c>
      <x:c r="AQ312" s="8" t="n">
        <x:v>0</x:v>
      </x:c>
      <x:c r="AR312" s="8" t="n">
        <x:v>0</x:v>
      </x:c>
      <x:c r="AS312" s="8" t="n">
        <x:v>0</x:v>
      </x:c>
      <x:c r="AT312" s="8" t="n">
        <x:v>0</x:v>
      </x:c>
      <x:c r="AU312" s="8" t="n">
        <x:v>0</x:v>
      </x:c>
      <x:c r="AV312" s="8" t="n">
        <x:v>0</x:v>
      </x:c>
      <x:c r="AW312" s="8" t="n">
        <x:v>0</x:v>
      </x:c>
      <x:c r="AX312" s="8" t="n">
        <x:v>0</x:v>
      </x:c>
      <x:c r="AY312" s="8" t="n">
        <x:v>0</x:v>
      </x:c>
      <x:c r="AZ312" s="8" t="n">
        <x:v>0</x:v>
      </x:c>
      <x:c r="BA312" s="8" t="n">
        <x:v>0</x:v>
      </x:c>
      <x:c r="BB312" s="8" t="str">
        <x:f>LET(m,MIN(IF(D312&gt;0,D312,1E+99),IF(F312&gt;0,F312,1E+99),IF(H312&gt;0,H312,1E+99),IF(J312&gt;0,J312,1E+99),IF(L312&gt;0,L312,1E+99),IF(N312&gt;0,N312,1E+99),IF(P312&gt;0,P312,1E+99),IF(R312&gt;0,R312,1E+99),IF(T312&gt;0,T312,1E+99),IF(V312&gt;0,V312,1E+99),IF(X312&gt;0,X312,1E+99),IF(Z312&gt;0,Z312,1E+99),IF(AB312&gt;0,AB312,1E+99),IF(AD312&gt;0,AD312,1E+99),IF(AF312&gt;0,AF312,1E+99),IF(AH312&gt;0,AH312,1E+99),IF(AJ312&gt;0,AJ312,1E+99),IF(AL312&gt;0,AL312,1E+99),IF(AN312&gt;0,AN312,1E+99),IF(AP312&gt;0,AP312,1E+99),IF(AR312&gt;0,AR312,1E+99),IF(AT312&gt;0,AT312,1E+99),IF(AV312&gt;0,AV312,1E+99),IF(AX312&gt;0,AX312,1E+99),IF(AZ312&gt;0,AZ312,1E+99)),IF(m=1E+99,"",m))</x:f>
      </x:c>
      <x:c r="BC312" s="12" t="str">
        <x:f>IF(BB312="","",INDEX({"v1.4.20","v1.4.20","v1.4.21","v1.4.21","v1.4.23","v1.4.23","v1.4.26","v1.4.26","v1.4.26.1","v1.4.26.1","v1.4.27","v1.4.27","v1.4.29","v1.4.29","v1.4.30","v1.4.30","v1.4.31","v1.4.31","v1.4.33","v1.4.33","v1.4.35","v1.4.35.2","v1.5","v1.5.1","v1.5.1"},MATCH(BB312,CHOOSE({1,2,3,4,5,6,7,8,9,10,11,12,13,14,15,16,17,18,19,20,21,22,23,24,25},D312,F312,H312,J312,L312,N312,P312,R312,T312,V312,X312,Z312,AB312,AD312,AF312,AH312,AJ312,AL312,AN312,AP312,AR312,AT312,AV312,AX312,AZ312),0)))</x:f>
      </x:c>
      <x:c r="BD312" s="14" t="str">
        <x:f>LET(m,MIN(IF(E312&gt;0,E312,1E+99),IF(G312&gt;0,G312,1E+99),IF(I312&gt;0,I312,1E+99),IF(K312&gt;0,K312,1E+99),IF(M312&gt;0,M312,1E+99),IF(O312&gt;0,O312,1E+99),IF(Q312&gt;0,Q312,1E+99),IF(S312&gt;0,S312,1E+99),IF(U312&gt;0,U312,1E+99),IF(W312&gt;0,W312,1E+99),IF(Y312&gt;0,Y312,1E+99),IF(AA312&gt;0,AA312,1E+99),IF(AC312&gt;0,AC312,1E+99),IF(AE312&gt;0,AE312,1E+99),IF(AG312&gt;0,AG312,1E+99),IF(AI312&gt;0,AI312,1E+99),IF(AK312&gt;0,AK312,1E+99),IF(AM312&gt;0,AM312,1E+99),IF(AO312&gt;0,AO312,1E+99),IF(AQ312&gt;0,AQ312,1E+99),IF(AS312&gt;0,AS312,1E+99),IF(AU312&gt;0,AU312,1E+99),IF(AW312&gt;0,AW312,1E+99),IF(AY312&gt;0,AY312,1E+99),IF(BA312&gt;0,BA312,1E+99)),IF(m=1E+99,"",m))</x:f>
      </x:c>
      <x:c r="BE312" s="16" t="str">
        <x:f>IF(BD312="","",INDEX({"v1.4.20","v1.4.20","v1.4.21","v1.4.21","v1.4.23","v1.4.23","v1.4.26","v1.4.26","v1.4.26.1","v1.4.26.1","v1.4.27","v1.4.27","v1.4.29","v1.4.29","v1.4.30","v1.4.30","v1.4.31","v1.4.31","v1.4.33","v1.4.33","v1.4.35","v1.4.35.2","v1.5","v1.5.1","v1.5.1"},MATCH(BD312,CHOOSE({1,2,3,4,5,6,7,8,9,10,11,12,13,14,15,16,17,18,19,20,21,22,23,24,25},E312,G312,I312,K312,M312,O312,Q312,S312,U312,W312,Y312,AA312,AC312,AE312,AG312,AI312,AK312,AM312,AO312,AQ312,AS312,AU312,AW312,AY312,BA312),0)))</x:f>
      </x:c>
      <x:c r="BF312" s="10" t="str">
        <x:f>IFERROR((AX312-BB312)/BB312,"")</x:f>
      </x:c>
      <x:c r="BG312" s="10" t="str">
        <x:f>IFERROR((AY312-BD312)/BD312,"")</x:f>
      </x:c>
    </x:row>
    <x:row r="313">
      <x:c r="A313" t="str"/>
      <x:c r="B313" t="str">
        <x:v>Framework Test 6 - Date Formatting</x:v>
      </x:c>
      <x:c r="C313" t="str">
        <x:v>Dashboard loaded</x:v>
      </x:c>
      <x:c r="D313" s="8" t="n">
        <x:v>1.127</x:v>
      </x:c>
      <x:c r="E313" s="8" t="n">
        <x:v>1.127</x:v>
      </x:c>
      <x:c r="F313" s="8"/>
      <x:c r="G313" s="8"/>
      <x:c r="H313" s="8" t="n">
        <x:v>0.316</x:v>
      </x:c>
      <x:c r="I313" s="8" t="n">
        <x:v>0.316</x:v>
      </x:c>
      <x:c r="J313" s="8" t="n">
        <x:v>0.316</x:v>
      </x:c>
      <x:c r="K313" s="8" t="n">
        <x:v>0.316</x:v>
      </x:c>
      <x:c r="L313" s="8" t="n">
        <x:v>0.256</x:v>
      </x:c>
      <x:c r="M313" s="8" t="n">
        <x:v>0.256</x:v>
      </x:c>
      <x:c r="N313" s="8" t="n">
        <x:v>0.256</x:v>
      </x:c>
      <x:c r="O313" s="8" t="n">
        <x:v>0.256</x:v>
      </x:c>
      <x:c r="P313" s="8" t="n">
        <x:v>0.123</x:v>
      </x:c>
      <x:c r="Q313" s="8" t="n">
        <x:v>0.123</x:v>
      </x:c>
      <x:c r="R313" s="8" t="n">
        <x:v>0.123</x:v>
      </x:c>
      <x:c r="S313" s="8" t="n">
        <x:v>0.123</x:v>
      </x:c>
      <x:c r="T313" s="8" t="n">
        <x:v>1.324</x:v>
      </x:c>
      <x:c r="U313" s="8" t="n">
        <x:v>1.324</x:v>
      </x:c>
      <x:c r="V313" s="8" t="n">
        <x:v>1.324</x:v>
      </x:c>
      <x:c r="W313" s="8" t="n">
        <x:v>1.324</x:v>
      </x:c>
      <x:c r="X313" s="8" t="n">
        <x:v>0.662</x:v>
      </x:c>
      <x:c r="Y313" s="8" t="n">
        <x:v>0.662</x:v>
      </x:c>
      <x:c r="Z313" s="8" t="n">
        <x:v>0.662</x:v>
      </x:c>
      <x:c r="AA313" s="8" t="n">
        <x:v>0.662</x:v>
      </x:c>
      <x:c r="AB313" s="8" t="n">
        <x:v>0.322</x:v>
      </x:c>
      <x:c r="AC313" s="8" t="n">
        <x:v>0.322</x:v>
      </x:c>
      <x:c r="AD313" s="8" t="n">
        <x:v>0.322</x:v>
      </x:c>
      <x:c r="AE313" s="8" t="n">
        <x:v>0.322</x:v>
      </x:c>
      <x:c r="AF313" s="8" t="n">
        <x:v>0.251</x:v>
      </x:c>
      <x:c r="AG313" s="8" t="n">
        <x:v>0.251</x:v>
      </x:c>
      <x:c r="AH313" s="8" t="n">
        <x:v>0.251</x:v>
      </x:c>
      <x:c r="AI313" s="8" t="n">
        <x:v>0.251</x:v>
      </x:c>
      <x:c r="AJ313" s="8"/>
      <x:c r="AK313" s="8"/>
      <x:c r="AL313" s="8" t="n">
        <x:v>0.2</x:v>
      </x:c>
      <x:c r="AM313" s="8" t="n">
        <x:v>0.2</x:v>
      </x:c>
      <x:c r="AN313" s="8" t="n">
        <x:v>0.174</x:v>
      </x:c>
      <x:c r="AO313" s="8" t="n">
        <x:v>0.174</x:v>
      </x:c>
      <x:c r="AP313" s="8" t="n">
        <x:v>0.174</x:v>
      </x:c>
      <x:c r="AQ313" s="8" t="n">
        <x:v>0.174</x:v>
      </x:c>
      <x:c r="AR313" s="8" t="n">
        <x:v>0.375</x:v>
      </x:c>
      <x:c r="AS313" s="8" t="n">
        <x:v>0.375</x:v>
      </x:c>
      <x:c r="AT313" s="8" t="n">
        <x:v>0.191</x:v>
      </x:c>
      <x:c r="AU313" s="8" t="n">
        <x:v>0.191</x:v>
      </x:c>
      <x:c r="AV313" s="8" t="n">
        <x:v>0.38</x:v>
      </x:c>
      <x:c r="AW313" s="8" t="n">
        <x:v>0.38</x:v>
      </x:c>
      <x:c r="AX313" s="8" t="n">
        <x:v>0.293</x:v>
      </x:c>
      <x:c r="AY313" s="8" t="n">
        <x:v>0.293</x:v>
      </x:c>
      <x:c r="AZ313" s="8" t="n">
        <x:v>0.293</x:v>
      </x:c>
      <x:c r="BA313" s="8" t="n">
        <x:v>0.293</x:v>
      </x:c>
      <x:c r="BB313" s="8" t="n">
        <x:f>LET(m,MIN(IF(D313&gt;0,D313,1E+99),IF(F313&gt;0,F313,1E+99),IF(H313&gt;0,H313,1E+99),IF(J313&gt;0,J313,1E+99),IF(L313&gt;0,L313,1E+99),IF(N313&gt;0,N313,1E+99),IF(P313&gt;0,P313,1E+99),IF(R313&gt;0,R313,1E+99),IF(T313&gt;0,T313,1E+99),IF(V313&gt;0,V313,1E+99),IF(X313&gt;0,X313,1E+99),IF(Z313&gt;0,Z313,1E+99),IF(AB313&gt;0,AB313,1E+99),IF(AD313&gt;0,AD313,1E+99),IF(AF313&gt;0,AF313,1E+99),IF(AH313&gt;0,AH313,1E+99),IF(AJ313&gt;0,AJ313,1E+99),IF(AL313&gt;0,AL313,1E+99),IF(AN313&gt;0,AN313,1E+99),IF(AP313&gt;0,AP313,1E+99),IF(AR313&gt;0,AR313,1E+99),IF(AT313&gt;0,AT313,1E+99),IF(AV313&gt;0,AV313,1E+99),IF(AX313&gt;0,AX313,1E+99),IF(AZ313&gt;0,AZ313,1E+99)),IF(m=1E+99,"",m))</x:f>
        <x:v>0.123</x:v>
      </x:c>
      <x:c r="BC313" s="12" t="e">
        <x:f>IF(BB313="","",INDEX({"v1.4.20","v1.4.20","v1.4.21","v1.4.21","v1.4.23","v1.4.23","v1.4.26","v1.4.26","v1.4.26.1","v1.4.26.1","v1.4.27","v1.4.27","v1.4.29","v1.4.29","v1.4.30","v1.4.30","v1.4.31","v1.4.31","v1.4.33","v1.4.33","v1.4.35","v1.4.35.2","v1.5","v1.5.1","v1.5.1"},MATCH(BB313,CHOOSE({1,2,3,4,5,6,7,8,9,10,11,12,13,14,15,16,17,18,19,20,21,22,23,24,25},D313,F313,H313,J313,L313,N313,P313,R313,T313,V313,X313,Z313,AB313,AD313,AF313,AH313,AJ313,AL313,AN313,AP313,AR313,AT313,AV313,AX313,AZ313),0)))</x:f>
      </x:c>
      <x:c r="BD313" s="14" t="n">
        <x:f>LET(m,MIN(IF(E313&gt;0,E313,1E+99),IF(G313&gt;0,G313,1E+99),IF(I313&gt;0,I313,1E+99),IF(K313&gt;0,K313,1E+99),IF(M313&gt;0,M313,1E+99),IF(O313&gt;0,O313,1E+99),IF(Q313&gt;0,Q313,1E+99),IF(S313&gt;0,S313,1E+99),IF(U313&gt;0,U313,1E+99),IF(W313&gt;0,W313,1E+99),IF(Y313&gt;0,Y313,1E+99),IF(AA313&gt;0,AA313,1E+99),IF(AC313&gt;0,AC313,1E+99),IF(AE313&gt;0,AE313,1E+99),IF(AG313&gt;0,AG313,1E+99),IF(AI313&gt;0,AI313,1E+99),IF(AK313&gt;0,AK313,1E+99),IF(AM313&gt;0,AM313,1E+99),IF(AO313&gt;0,AO313,1E+99),IF(AQ313&gt;0,AQ313,1E+99),IF(AS313&gt;0,AS313,1E+99),IF(AU313&gt;0,AU313,1E+99),IF(AW313&gt;0,AW313,1E+99),IF(AY313&gt;0,AY313,1E+99),IF(BA313&gt;0,BA313,1E+99)),IF(m=1E+99,"",m))</x:f>
        <x:v>0.123</x:v>
      </x:c>
      <x:c r="BE313" s="16" t="e">
        <x:f>IF(BD313="","",INDEX({"v1.4.20","v1.4.20","v1.4.21","v1.4.21","v1.4.23","v1.4.23","v1.4.26","v1.4.26","v1.4.26.1","v1.4.26.1","v1.4.27","v1.4.27","v1.4.29","v1.4.29","v1.4.30","v1.4.30","v1.4.31","v1.4.31","v1.4.33","v1.4.33","v1.4.35","v1.4.35.2","v1.5","v1.5.1","v1.5.1"},MATCH(BD313,CHOOSE({1,2,3,4,5,6,7,8,9,10,11,12,13,14,15,16,17,18,19,20,21,22,23,24,25},E313,G313,I313,K313,M313,O313,Q313,S313,U313,W313,Y313,AA313,AC313,AE313,AG313,AI313,AK313,AM313,AO313,AQ313,AS313,AU313,AW313,AY313,BA313),0)))</x:f>
      </x:c>
      <x:c r="BF313" s="10" t="n">
        <x:f>IFERROR((AX313-BB313)/BB313,"")</x:f>
        <x:v>1.3821138211382114</x:v>
      </x:c>
      <x:c r="BG313" s="10" t="n">
        <x:f>IFERROR((AY313-BD313)/BD313,"")</x:f>
        <x:v>1.3821138211382114</x:v>
      </x:c>
    </x:row>
    <x:row r="314">
      <x:c r="A314" t="str"/>
      <x:c r="B314" t="str">
        <x:v>Framework Test 6 - Date Formatting</x:v>
      </x:c>
      <x:c r="C314" t="str">
        <x:v>Dashboard Quality Section B saved</x:v>
      </x:c>
      <x:c r="D314" s="8" t="n">
        <x:v>0.078</x:v>
      </x:c>
      <x:c r="E314" s="8" t="n">
        <x:v>3.45</x:v>
      </x:c>
      <x:c r="F314" s="8"/>
      <x:c r="G314" s="8"/>
      <x:c r="H314" s="8" t="n">
        <x:v>0.423</x:v>
      </x:c>
      <x:c r="I314" s="8" t="n">
        <x:v>2.177</x:v>
      </x:c>
      <x:c r="J314" s="8" t="n">
        <x:v>0.423</x:v>
      </x:c>
      <x:c r="K314" s="8" t="n">
        <x:v>2.177</x:v>
      </x:c>
      <x:c r="L314" s="8" t="n">
        <x:v>6.41</x:v>
      </x:c>
      <x:c r="M314" s="8" t="n">
        <x:v>7.692</x:v>
      </x:c>
      <x:c r="N314" s="8" t="n">
        <x:v>6.41</x:v>
      </x:c>
      <x:c r="O314" s="8" t="n">
        <x:v>7.692</x:v>
      </x:c>
      <x:c r="P314" s="8" t="n">
        <x:v>4.935</x:v>
      </x:c>
      <x:c r="Q314" s="8" t="n">
        <x:v>6.144</x:v>
      </x:c>
      <x:c r="R314" s="8" t="n">
        <x:v>4.935</x:v>
      </x:c>
      <x:c r="S314" s="8" t="n">
        <x:v>6.144</x:v>
      </x:c>
      <x:c r="T314" s="8" t="n">
        <x:v>10.616</x:v>
      </x:c>
      <x:c r="U314" s="8" t="n">
        <x:v>13.285</x:v>
      </x:c>
      <x:c r="V314" s="8" t="n">
        <x:v>10.616</x:v>
      </x:c>
      <x:c r="W314" s="8" t="n">
        <x:v>13.285</x:v>
      </x:c>
      <x:c r="X314" s="8" t="n">
        <x:v>7.369</x:v>
      </x:c>
      <x:c r="Y314" s="8" t="n">
        <x:v>9.149</x:v>
      </x:c>
      <x:c r="Z314" s="8" t="n">
        <x:v>7.369</x:v>
      </x:c>
      <x:c r="AA314" s="8" t="n">
        <x:v>9.149</x:v>
      </x:c>
      <x:c r="AB314" s="8" t="n">
        <x:v>10.53</x:v>
      </x:c>
      <x:c r="AC314" s="8" t="n">
        <x:v>12.038</x:v>
      </x:c>
      <x:c r="AD314" s="8" t="n">
        <x:v>10.53</x:v>
      </x:c>
      <x:c r="AE314" s="8" t="n">
        <x:v>12.038</x:v>
      </x:c>
      <x:c r="AF314" s="8" t="n">
        <x:v>6.035</x:v>
      </x:c>
      <x:c r="AG314" s="8" t="n">
        <x:v>7.615</x:v>
      </x:c>
      <x:c r="AH314" s="8" t="n">
        <x:v>6.035</x:v>
      </x:c>
      <x:c r="AI314" s="8" t="n">
        <x:v>7.615</x:v>
      </x:c>
      <x:c r="AJ314" s="8"/>
      <x:c r="AK314" s="8"/>
      <x:c r="AL314" s="8" t="n">
        <x:v>6.906</x:v>
      </x:c>
      <x:c r="AM314" s="8" t="n">
        <x:v>7.921</x:v>
      </x:c>
      <x:c r="AN314" s="8" t="n">
        <x:v>7.128</x:v>
      </x:c>
      <x:c r="AO314" s="8" t="n">
        <x:v>9.156</x:v>
      </x:c>
      <x:c r="AP314" s="8" t="n">
        <x:v>7.128</x:v>
      </x:c>
      <x:c r="AQ314" s="8" t="n">
        <x:v>9.156</x:v>
      </x:c>
      <x:c r="AR314" s="8" t="n">
        <x:v>11.235</x:v>
      </x:c>
      <x:c r="AS314" s="8" t="n">
        <x:v>13.459</x:v>
      </x:c>
      <x:c r="AT314" s="8" t="n">
        <x:v>6.825</x:v>
      </x:c>
      <x:c r="AU314" s="8" t="n">
        <x:v>7.851</x:v>
      </x:c>
      <x:c r="AV314" s="8" t="n">
        <x:v>10.988</x:v>
      </x:c>
      <x:c r="AW314" s="8" t="n">
        <x:v>12.531</x:v>
      </x:c>
      <x:c r="AX314" s="8" t="n">
        <x:v>10.28</x:v>
      </x:c>
      <x:c r="AY314" s="8" t="n">
        <x:v>11.649</x:v>
      </x:c>
      <x:c r="AZ314" s="8" t="n">
        <x:v>10.28</x:v>
      </x:c>
      <x:c r="BA314" s="8" t="n">
        <x:v>11.649</x:v>
      </x:c>
      <x:c r="BB314" s="8" t="n">
        <x:f>LET(m,MIN(IF(D314&gt;0,D314,1E+99),IF(F314&gt;0,F314,1E+99),IF(H314&gt;0,H314,1E+99),IF(J314&gt;0,J314,1E+99),IF(L314&gt;0,L314,1E+99),IF(N314&gt;0,N314,1E+99),IF(P314&gt;0,P314,1E+99),IF(R314&gt;0,R314,1E+99),IF(T314&gt;0,T314,1E+99),IF(V314&gt;0,V314,1E+99),IF(X314&gt;0,X314,1E+99),IF(Z314&gt;0,Z314,1E+99),IF(AB314&gt;0,AB314,1E+99),IF(AD314&gt;0,AD314,1E+99),IF(AF314&gt;0,AF314,1E+99),IF(AH314&gt;0,AH314,1E+99),IF(AJ314&gt;0,AJ314,1E+99),IF(AL314&gt;0,AL314,1E+99),IF(AN314&gt;0,AN314,1E+99),IF(AP314&gt;0,AP314,1E+99),IF(AR314&gt;0,AR314,1E+99),IF(AT314&gt;0,AT314,1E+99),IF(AV314&gt;0,AV314,1E+99),IF(AX314&gt;0,AX314,1E+99),IF(AZ314&gt;0,AZ314,1E+99)),IF(m=1E+99,"",m))</x:f>
        <x:v>0.078</x:v>
      </x:c>
      <x:c r="BC314" s="12" t="str">
        <x:f>IF(BB314="","",INDEX({"v1.4.20","v1.4.20","v1.4.21","v1.4.21","v1.4.23","v1.4.23","v1.4.26","v1.4.26","v1.4.26.1","v1.4.26.1","v1.4.27","v1.4.27","v1.4.29","v1.4.29","v1.4.30","v1.4.30","v1.4.31","v1.4.31","v1.4.33","v1.4.33","v1.4.35","v1.4.35.2","v1.5","v1.5.1","v1.5.1"},MATCH(BB314,CHOOSE({1,2,3,4,5,6,7,8,9,10,11,12,13,14,15,16,17,18,19,20,21,22,23,24,25},D314,F314,H314,J314,L314,N314,P314,R314,T314,V314,X314,Z314,AB314,AD314,AF314,AH314,AJ314,AL314,AN314,AP314,AR314,AT314,AV314,AX314,AZ314),0)))</x:f>
        <x:v>v1.4.20</x:v>
      </x:c>
      <x:c r="BD314" s="14" t="n">
        <x:f>LET(m,MIN(IF(E314&gt;0,E314,1E+99),IF(G314&gt;0,G314,1E+99),IF(I314&gt;0,I314,1E+99),IF(K314&gt;0,K314,1E+99),IF(M314&gt;0,M314,1E+99),IF(O314&gt;0,O314,1E+99),IF(Q314&gt;0,Q314,1E+99),IF(S314&gt;0,S314,1E+99),IF(U314&gt;0,U314,1E+99),IF(W314&gt;0,W314,1E+99),IF(Y314&gt;0,Y314,1E+99),IF(AA314&gt;0,AA314,1E+99),IF(AC314&gt;0,AC314,1E+99),IF(AE314&gt;0,AE314,1E+99),IF(AG314&gt;0,AG314,1E+99),IF(AI314&gt;0,AI314,1E+99),IF(AK314&gt;0,AK314,1E+99),IF(AM314&gt;0,AM314,1E+99),IF(AO314&gt;0,AO314,1E+99),IF(AQ314&gt;0,AQ314,1E+99),IF(AS314&gt;0,AS314,1E+99),IF(AU314&gt;0,AU314,1E+99),IF(AW314&gt;0,AW314,1E+99),IF(AY314&gt;0,AY314,1E+99),IF(BA314&gt;0,BA314,1E+99)),IF(m=1E+99,"",m))</x:f>
        <x:v>2.177</x:v>
      </x:c>
      <x:c r="BE314" s="16" t="e">
        <x:f>IF(BD314="","",INDEX({"v1.4.20","v1.4.20","v1.4.21","v1.4.21","v1.4.23","v1.4.23","v1.4.26","v1.4.26","v1.4.26.1","v1.4.26.1","v1.4.27","v1.4.27","v1.4.29","v1.4.29","v1.4.30","v1.4.30","v1.4.31","v1.4.31","v1.4.33","v1.4.33","v1.4.35","v1.4.35.2","v1.5","v1.5.1","v1.5.1"},MATCH(BD314,CHOOSE({1,2,3,4,5,6,7,8,9,10,11,12,13,14,15,16,17,18,19,20,21,22,23,24,25},E314,G314,I314,K314,M314,O314,Q314,S314,U314,W314,Y314,AA314,AC314,AE314,AG314,AI314,AK314,AM314,AO314,AQ314,AS314,AU314,AW314,AY314,BA314),0)))</x:f>
      </x:c>
      <x:c r="BF314" s="10" t="n">
        <x:f>IFERROR((AX314-BB314)/BB314,"")</x:f>
        <x:v>130.7948717948718</x:v>
      </x:c>
      <x:c r="BG314" s="10" t="n">
        <x:f>IFERROR((AY314-BD314)/BD314,"")</x:f>
        <x:v>4.3509416628387685</x:v>
      </x:c>
    </x:row>
    <x:row r="315">
      <x:c r="A315" t="str"/>
      <x:c r="B315" t="str">
        <x:v>Framework Test 6 - Date Formatting</x:v>
      </x:c>
      <x:c r="C315" t="str">
        <x:v>Complete</x:v>
      </x:c>
      <x:c r="D315" s="8" t="n">
        <x:v>0</x:v>
      </x:c>
      <x:c r="E315" s="8" t="n">
        <x:v>3.45</x:v>
      </x:c>
      <x:c r="F315" s="8"/>
      <x:c r="G315" s="8"/>
      <x:c r="H315" s="8" t="n">
        <x:v>0</x:v>
      </x:c>
      <x:c r="I315" s="8" t="n">
        <x:v>2.177</x:v>
      </x:c>
      <x:c r="J315" s="8" t="n">
        <x:v>0</x:v>
      </x:c>
      <x:c r="K315" s="8" t="n">
        <x:v>2.177</x:v>
      </x:c>
      <x:c r="L315" s="8" t="n">
        <x:v>0.001</x:v>
      </x:c>
      <x:c r="M315" s="8" t="n">
        <x:v>7.693</x:v>
      </x:c>
      <x:c r="N315" s="8" t="n">
        <x:v>0.001</x:v>
      </x:c>
      <x:c r="O315" s="8" t="n">
        <x:v>7.693</x:v>
      </x:c>
      <x:c r="P315" s="8" t="n">
        <x:v>0</x:v>
      </x:c>
      <x:c r="Q315" s="8" t="n">
        <x:v>6.144</x:v>
      </x:c>
      <x:c r="R315" s="8" t="n">
        <x:v>0</x:v>
      </x:c>
      <x:c r="S315" s="8" t="n">
        <x:v>6.144</x:v>
      </x:c>
      <x:c r="T315" s="8" t="n">
        <x:v>0</x:v>
      </x:c>
      <x:c r="U315" s="8" t="n">
        <x:v>13.285</x:v>
      </x:c>
      <x:c r="V315" s="8" t="n">
        <x:v>0</x:v>
      </x:c>
      <x:c r="W315" s="8" t="n">
        <x:v>13.285</x:v>
      </x:c>
      <x:c r="X315" s="8" t="n">
        <x:v>0</x:v>
      </x:c>
      <x:c r="Y315" s="8" t="n">
        <x:v>9.149</x:v>
      </x:c>
      <x:c r="Z315" s="8" t="n">
        <x:v>0</x:v>
      </x:c>
      <x:c r="AA315" s="8" t="n">
        <x:v>9.149</x:v>
      </x:c>
      <x:c r="AB315" s="8" t="n">
        <x:v>0</x:v>
      </x:c>
      <x:c r="AC315" s="8" t="n">
        <x:v>12.038</x:v>
      </x:c>
      <x:c r="AD315" s="8" t="n">
        <x:v>0</x:v>
      </x:c>
      <x:c r="AE315" s="8" t="n">
        <x:v>12.038</x:v>
      </x:c>
      <x:c r="AF315" s="8" t="n">
        <x:v>0</x:v>
      </x:c>
      <x:c r="AG315" s="8" t="n">
        <x:v>7.615</x:v>
      </x:c>
      <x:c r="AH315" s="8" t="n">
        <x:v>0</x:v>
      </x:c>
      <x:c r="AI315" s="8" t="n">
        <x:v>7.615</x:v>
      </x:c>
      <x:c r="AJ315" s="8"/>
      <x:c r="AK315" s="8"/>
      <x:c r="AL315" s="8" t="n">
        <x:v>0</x:v>
      </x:c>
      <x:c r="AM315" s="8" t="n">
        <x:v>7.921</x:v>
      </x:c>
      <x:c r="AN315" s="8" t="n">
        <x:v>0</x:v>
      </x:c>
      <x:c r="AO315" s="8" t="n">
        <x:v>9.156</x:v>
      </x:c>
      <x:c r="AP315" s="8" t="n">
        <x:v>0</x:v>
      </x:c>
      <x:c r="AQ315" s="8" t="n">
        <x:v>9.156</x:v>
      </x:c>
      <x:c r="AR315" s="8" t="n">
        <x:v>0</x:v>
      </x:c>
      <x:c r="AS315" s="8" t="n">
        <x:v>13.459</x:v>
      </x:c>
      <x:c r="AT315" s="8" t="n">
        <x:v>0.001</x:v>
      </x:c>
      <x:c r="AU315" s="8" t="n">
        <x:v>7.852</x:v>
      </x:c>
      <x:c r="AV315" s="8" t="n">
        <x:v>0</x:v>
      </x:c>
      <x:c r="AW315" s="8" t="n">
        <x:v>12.531</x:v>
      </x:c>
      <x:c r="AX315" s="8" t="n">
        <x:v>0.001</x:v>
      </x:c>
      <x:c r="AY315" s="8" t="n">
        <x:v>11.65</x:v>
      </x:c>
      <x:c r="AZ315" s="8" t="n">
        <x:v>0.001</x:v>
      </x:c>
      <x:c r="BA315" s="8" t="n">
        <x:v>11.65</x:v>
      </x:c>
      <x:c r="BB315" s="8" t="n">
        <x:f>LET(m,MIN(IF(D315&gt;0,D315,1E+99),IF(F315&gt;0,F315,1E+99),IF(H315&gt;0,H315,1E+99),IF(J315&gt;0,J315,1E+99),IF(L315&gt;0,L315,1E+99),IF(N315&gt;0,N315,1E+99),IF(P315&gt;0,P315,1E+99),IF(R315&gt;0,R315,1E+99),IF(T315&gt;0,T315,1E+99),IF(V315&gt;0,V315,1E+99),IF(X315&gt;0,X315,1E+99),IF(Z315&gt;0,Z315,1E+99),IF(AB315&gt;0,AB315,1E+99),IF(AD315&gt;0,AD315,1E+99),IF(AF315&gt;0,AF315,1E+99),IF(AH315&gt;0,AH315,1E+99),IF(AJ315&gt;0,AJ315,1E+99),IF(AL315&gt;0,AL315,1E+99),IF(AN315&gt;0,AN315,1E+99),IF(AP315&gt;0,AP315,1E+99),IF(AR315&gt;0,AR315,1E+99),IF(AT315&gt;0,AT315,1E+99),IF(AV315&gt;0,AV315,1E+99),IF(AX315&gt;0,AX315,1E+99),IF(AZ315&gt;0,AZ315,1E+99)),IF(m=1E+99,"",m))</x:f>
        <x:v>0.001</x:v>
      </x:c>
      <x:c r="BC315" s="12" t="e">
        <x:f>IF(BB315="","",INDEX({"v1.4.20","v1.4.20","v1.4.21","v1.4.21","v1.4.23","v1.4.23","v1.4.26","v1.4.26","v1.4.26.1","v1.4.26.1","v1.4.27","v1.4.27","v1.4.29","v1.4.29","v1.4.30","v1.4.30","v1.4.31","v1.4.31","v1.4.33","v1.4.33","v1.4.35","v1.4.35.2","v1.5","v1.5.1","v1.5.1"},MATCH(BB315,CHOOSE({1,2,3,4,5,6,7,8,9,10,11,12,13,14,15,16,17,18,19,20,21,22,23,24,25},D315,F315,H315,J315,L315,N315,P315,R315,T315,V315,X315,Z315,AB315,AD315,AF315,AH315,AJ315,AL315,AN315,AP315,AR315,AT315,AV315,AX315,AZ315),0)))</x:f>
      </x:c>
      <x:c r="BD315" s="14" t="n">
        <x:f>LET(m,MIN(IF(E315&gt;0,E315,1E+99),IF(G315&gt;0,G315,1E+99),IF(I315&gt;0,I315,1E+99),IF(K315&gt;0,K315,1E+99),IF(M315&gt;0,M315,1E+99),IF(O315&gt;0,O315,1E+99),IF(Q315&gt;0,Q315,1E+99),IF(S315&gt;0,S315,1E+99),IF(U315&gt;0,U315,1E+99),IF(W315&gt;0,W315,1E+99),IF(Y315&gt;0,Y315,1E+99),IF(AA315&gt;0,AA315,1E+99),IF(AC315&gt;0,AC315,1E+99),IF(AE315&gt;0,AE315,1E+99),IF(AG315&gt;0,AG315,1E+99),IF(AI315&gt;0,AI315,1E+99),IF(AK315&gt;0,AK315,1E+99),IF(AM315&gt;0,AM315,1E+99),IF(AO315&gt;0,AO315,1E+99),IF(AQ315&gt;0,AQ315,1E+99),IF(AS315&gt;0,AS315,1E+99),IF(AU315&gt;0,AU315,1E+99),IF(AW315&gt;0,AW315,1E+99),IF(AY315&gt;0,AY315,1E+99),IF(BA315&gt;0,BA315,1E+99)),IF(m=1E+99,"",m))</x:f>
        <x:v>2.177</x:v>
      </x:c>
      <x:c r="BE315" s="16" t="e">
        <x:f>IF(BD315="","",INDEX({"v1.4.20","v1.4.20","v1.4.21","v1.4.21","v1.4.23","v1.4.23","v1.4.26","v1.4.26","v1.4.26.1","v1.4.26.1","v1.4.27","v1.4.27","v1.4.29","v1.4.29","v1.4.30","v1.4.30","v1.4.31","v1.4.31","v1.4.33","v1.4.33","v1.4.35","v1.4.35.2","v1.5","v1.5.1","v1.5.1"},MATCH(BD315,CHOOSE({1,2,3,4,5,6,7,8,9,10,11,12,13,14,15,16,17,18,19,20,21,22,23,24,25},E315,G315,I315,K315,M315,O315,Q315,S315,U315,W315,Y315,AA315,AC315,AE315,AG315,AI315,AK315,AM315,AO315,AQ315,AS315,AU315,AW315,AY315,BA315),0)))</x:f>
      </x:c>
      <x:c r="BF315" s="10" t="n">
        <x:f>IFERROR((AX315-BB315)/BB315,"")</x:f>
        <x:v>0</x:v>
      </x:c>
      <x:c r="BG315" s="10" t="n">
        <x:f>IFERROR((AY315-BD315)/BD315,"")</x:f>
        <x:v>4.351401010564998</x:v>
      </x:c>
    </x:row>
    <x:row r="316">
      <x:c r="A316" t="str">
        <x:v>Raw Data</x:v>
      </x:c>
      <x:c r="B316" t="str">
        <x:v>Framework Test 6 - Date Formatting</x:v>
      </x:c>
      <x:c r="C316" t="str">
        <x:v>Checked date formats: Template - Raw Data</x:v>
      </x:c>
      <x:c r="D316" s="8" t="n">
        <x:v>0.121</x:v>
      </x:c>
      <x:c r="E316" s="8" t="n">
        <x:v>1.248</x:v>
      </x:c>
      <x:c r="F316" s="8"/>
      <x:c r="G316" s="8"/>
      <x:c r="H316" s="8" t="n">
        <x:v>0.148</x:v>
      </x:c>
      <x:c r="I316" s="8" t="n">
        <x:v>0.464</x:v>
      </x:c>
      <x:c r="J316" s="8" t="n">
        <x:v>0.148</x:v>
      </x:c>
      <x:c r="K316" s="8" t="n">
        <x:v>0.464</x:v>
      </x:c>
      <x:c r="L316" s="8" t="n">
        <x:v>0.141</x:v>
      </x:c>
      <x:c r="M316" s="8" t="n">
        <x:v>0.397</x:v>
      </x:c>
      <x:c r="N316" s="8" t="n">
        <x:v>0.141</x:v>
      </x:c>
      <x:c r="O316" s="8" t="n">
        <x:v>0.397</x:v>
      </x:c>
      <x:c r="P316" s="8" t="n">
        <x:v>0.087</x:v>
      </x:c>
      <x:c r="Q316" s="8" t="n">
        <x:v>0.21</x:v>
      </x:c>
      <x:c r="R316" s="8" t="n">
        <x:v>0.087</x:v>
      </x:c>
      <x:c r="S316" s="8" t="n">
        <x:v>0.21</x:v>
      </x:c>
      <x:c r="T316" s="8" t="n">
        <x:v>0.147</x:v>
      </x:c>
      <x:c r="U316" s="8" t="n">
        <x:v>1.471</x:v>
      </x:c>
      <x:c r="V316" s="8" t="n">
        <x:v>0.147</x:v>
      </x:c>
      <x:c r="W316" s="8" t="n">
        <x:v>1.471</x:v>
      </x:c>
      <x:c r="X316" s="8" t="n">
        <x:v>0.104</x:v>
      </x:c>
      <x:c r="Y316" s="8" t="n">
        <x:v>0.766</x:v>
      </x:c>
      <x:c r="Z316" s="8" t="n">
        <x:v>0.104</x:v>
      </x:c>
      <x:c r="AA316" s="8" t="n">
        <x:v>0.766</x:v>
      </x:c>
      <x:c r="AB316" s="8" t="n">
        <x:v>0.164</x:v>
      </x:c>
      <x:c r="AC316" s="8" t="n">
        <x:v>0.486</x:v>
      </x:c>
      <x:c r="AD316" s="8" t="n">
        <x:v>0.164</x:v>
      </x:c>
      <x:c r="AE316" s="8" t="n">
        <x:v>0.486</x:v>
      </x:c>
      <x:c r="AF316" s="8" t="n">
        <x:v>0.115</x:v>
      </x:c>
      <x:c r="AG316" s="8" t="n">
        <x:v>0.366</x:v>
      </x:c>
      <x:c r="AH316" s="8" t="n">
        <x:v>0.115</x:v>
      </x:c>
      <x:c r="AI316" s="8" t="n">
        <x:v>0.366</x:v>
      </x:c>
      <x:c r="AJ316" s="8"/>
      <x:c r="AK316" s="8"/>
      <x:c r="AL316" s="8" t="n">
        <x:v>0.12</x:v>
      </x:c>
      <x:c r="AM316" s="8" t="n">
        <x:v>0.32</x:v>
      </x:c>
      <x:c r="AN316" s="8" t="n">
        <x:v>0.136</x:v>
      </x:c>
      <x:c r="AO316" s="8" t="n">
        <x:v>0.31</x:v>
      </x:c>
      <x:c r="AP316" s="8" t="n">
        <x:v>0.136</x:v>
      </x:c>
      <x:c r="AQ316" s="8" t="n">
        <x:v>0.31</x:v>
      </x:c>
      <x:c r="AR316" s="8" t="n">
        <x:v>0.185</x:v>
      </x:c>
      <x:c r="AS316" s="8" t="n">
        <x:v>0.56</x:v>
      </x:c>
      <x:c r="AT316" s="8" t="n">
        <x:v>0.126</x:v>
      </x:c>
      <x:c r="AU316" s="8" t="n">
        <x:v>0.317</x:v>
      </x:c>
      <x:c r="AV316" s="8" t="n">
        <x:v>0.175</x:v>
      </x:c>
      <x:c r="AW316" s="8" t="n">
        <x:v>0.555</x:v>
      </x:c>
      <x:c r="AX316" s="8" t="n">
        <x:v>0.152</x:v>
      </x:c>
      <x:c r="AY316" s="8" t="n">
        <x:v>0.445</x:v>
      </x:c>
      <x:c r="AZ316" s="8" t="n">
        <x:v>0.152</x:v>
      </x:c>
      <x:c r="BA316" s="8" t="n">
        <x:v>0.445</x:v>
      </x:c>
      <x:c r="BB316" s="8" t="n">
        <x:f>LET(m,MIN(IF(D316&gt;0,D316,1E+99),IF(F316&gt;0,F316,1E+99),IF(H316&gt;0,H316,1E+99),IF(J316&gt;0,J316,1E+99),IF(L316&gt;0,L316,1E+99),IF(N316&gt;0,N316,1E+99),IF(P316&gt;0,P316,1E+99),IF(R316&gt;0,R316,1E+99),IF(T316&gt;0,T316,1E+99),IF(V316&gt;0,V316,1E+99),IF(X316&gt;0,X316,1E+99),IF(Z316&gt;0,Z316,1E+99),IF(AB316&gt;0,AB316,1E+99),IF(AD316&gt;0,AD316,1E+99),IF(AF316&gt;0,AF316,1E+99),IF(AH316&gt;0,AH316,1E+99),IF(AJ316&gt;0,AJ316,1E+99),IF(AL316&gt;0,AL316,1E+99),IF(AN316&gt;0,AN316,1E+99),IF(AP316&gt;0,AP316,1E+99),IF(AR316&gt;0,AR316,1E+99),IF(AT316&gt;0,AT316,1E+99),IF(AV316&gt;0,AV316,1E+99),IF(AX316&gt;0,AX316,1E+99),IF(AZ316&gt;0,AZ316,1E+99)),IF(m=1E+99,"",m))</x:f>
        <x:v>0.087</x:v>
      </x:c>
      <x:c r="BC316" s="12" t="e">
        <x:f>IF(BB316="","",INDEX({"v1.4.20","v1.4.20","v1.4.21","v1.4.21","v1.4.23","v1.4.23","v1.4.26","v1.4.26","v1.4.26.1","v1.4.26.1","v1.4.27","v1.4.27","v1.4.29","v1.4.29","v1.4.30","v1.4.30","v1.4.31","v1.4.31","v1.4.33","v1.4.33","v1.4.35","v1.4.35.2","v1.5","v1.5.1","v1.5.1"},MATCH(BB316,CHOOSE({1,2,3,4,5,6,7,8,9,10,11,12,13,14,15,16,17,18,19,20,21,22,23,24,25},D316,F316,H316,J316,L316,N316,P316,R316,T316,V316,X316,Z316,AB316,AD316,AF316,AH316,AJ316,AL316,AN316,AP316,AR316,AT316,AV316,AX316,AZ316),0)))</x:f>
      </x:c>
      <x:c r="BD316" s="14" t="n">
        <x:f>LET(m,MIN(IF(E316&gt;0,E316,1E+99),IF(G316&gt;0,G316,1E+99),IF(I316&gt;0,I316,1E+99),IF(K316&gt;0,K316,1E+99),IF(M316&gt;0,M316,1E+99),IF(O316&gt;0,O316,1E+99),IF(Q316&gt;0,Q316,1E+99),IF(S316&gt;0,S316,1E+99),IF(U316&gt;0,U316,1E+99),IF(W316&gt;0,W316,1E+99),IF(Y316&gt;0,Y316,1E+99),IF(AA316&gt;0,AA316,1E+99),IF(AC316&gt;0,AC316,1E+99),IF(AE316&gt;0,AE316,1E+99),IF(AG316&gt;0,AG316,1E+99),IF(AI316&gt;0,AI316,1E+99),IF(AK316&gt;0,AK316,1E+99),IF(AM316&gt;0,AM316,1E+99),IF(AO316&gt;0,AO316,1E+99),IF(AQ316&gt;0,AQ316,1E+99),IF(AS316&gt;0,AS316,1E+99),IF(AU316&gt;0,AU316,1E+99),IF(AW316&gt;0,AW316,1E+99),IF(AY316&gt;0,AY316,1E+99),IF(BA316&gt;0,BA316,1E+99)),IF(m=1E+99,"",m))</x:f>
        <x:v>0.21</x:v>
      </x:c>
      <x:c r="BE316" s="16" t="e">
        <x:f>IF(BD316="","",INDEX({"v1.4.20","v1.4.20","v1.4.21","v1.4.21","v1.4.23","v1.4.23","v1.4.26","v1.4.26","v1.4.26.1","v1.4.26.1","v1.4.27","v1.4.27","v1.4.29","v1.4.29","v1.4.30","v1.4.30","v1.4.31","v1.4.31","v1.4.33","v1.4.33","v1.4.35","v1.4.35.2","v1.5","v1.5.1","v1.5.1"},MATCH(BD316,CHOOSE({1,2,3,4,5,6,7,8,9,10,11,12,13,14,15,16,17,18,19,20,21,22,23,24,25},E316,G316,I316,K316,M316,O316,Q316,S316,U316,W316,Y316,AA316,AC316,AE316,AG316,AI316,AK316,AM316,AO316,AQ316,AS316,AU316,AW316,AY316,BA316),0)))</x:f>
      </x:c>
      <x:c r="BF316" s="10" t="n">
        <x:f>IFERROR((AX316-BB316)/BB316,"")</x:f>
        <x:v>0.7471264367816093</x:v>
      </x:c>
      <x:c r="BG316" s="10" t="n">
        <x:f>IFERROR((AY316-BD316)/BD316,"")</x:f>
        <x:v>1.119047619047619</x:v>
      </x:c>
    </x:row>
    <x:row r="317">
      <x:c r="A317" t="str">
        <x:v>Banner Report</x:v>
      </x:c>
      <x:c r="B317" t="str">
        <x:v>Framework Test 6 - Date Formatting</x:v>
      </x:c>
      <x:c r="C317" t="str">
        <x:v>Checked date formats: Template - Banner Report</x:v>
      </x:c>
      <x:c r="D317" s="8" t="n">
        <x:v>0.003</x:v>
      </x:c>
      <x:c r="E317" s="8" t="n">
        <x:v>1.251</x:v>
      </x:c>
      <x:c r="F317" s="8"/>
      <x:c r="G317" s="8"/>
      <x:c r="H317" s="8" t="n">
        <x:v>0.002</x:v>
      </x:c>
      <x:c r="I317" s="8" t="n">
        <x:v>0.466</x:v>
      </x:c>
      <x:c r="J317" s="8" t="n">
        <x:v>0.002</x:v>
      </x:c>
      <x:c r="K317" s="8" t="n">
        <x:v>0.466</x:v>
      </x:c>
      <x:c r="L317" s="8" t="n">
        <x:v>0.003</x:v>
      </x:c>
      <x:c r="M317" s="8" t="n">
        <x:v>0.4</x:v>
      </x:c>
      <x:c r="N317" s="8" t="n">
        <x:v>0.003</x:v>
      </x:c>
      <x:c r="O317" s="8" t="n">
        <x:v>0.4</x:v>
      </x:c>
      <x:c r="P317" s="8" t="n">
        <x:v>0.004</x:v>
      </x:c>
      <x:c r="Q317" s="8" t="n">
        <x:v>0.214</x:v>
      </x:c>
      <x:c r="R317" s="8" t="n">
        <x:v>0.004</x:v>
      </x:c>
      <x:c r="S317" s="8" t="n">
        <x:v>0.214</x:v>
      </x:c>
      <x:c r="T317" s="8" t="n">
        <x:v>0.003</x:v>
      </x:c>
      <x:c r="U317" s="8" t="n">
        <x:v>1.474</x:v>
      </x:c>
      <x:c r="V317" s="8" t="n">
        <x:v>0.003</x:v>
      </x:c>
      <x:c r="W317" s="8" t="n">
        <x:v>1.474</x:v>
      </x:c>
      <x:c r="X317" s="8" t="n">
        <x:v>0.003</x:v>
      </x:c>
      <x:c r="Y317" s="8" t="n">
        <x:v>0.769</x:v>
      </x:c>
      <x:c r="Z317" s="8" t="n">
        <x:v>0.003</x:v>
      </x:c>
      <x:c r="AA317" s="8" t="n">
        <x:v>0.769</x:v>
      </x:c>
      <x:c r="AB317" s="8" t="n">
        <x:v>0.014</x:v>
      </x:c>
      <x:c r="AC317" s="8" t="n">
        <x:v>0.5</x:v>
      </x:c>
      <x:c r="AD317" s="8" t="n">
        <x:v>0.014</x:v>
      </x:c>
      <x:c r="AE317" s="8" t="n">
        <x:v>0.5</x:v>
      </x:c>
      <x:c r="AF317" s="8" t="n">
        <x:v>0.004</x:v>
      </x:c>
      <x:c r="AG317" s="8" t="n">
        <x:v>0.37</x:v>
      </x:c>
      <x:c r="AH317" s="8" t="n">
        <x:v>0.004</x:v>
      </x:c>
      <x:c r="AI317" s="8" t="n">
        <x:v>0.37</x:v>
      </x:c>
      <x:c r="AJ317" s="8"/>
      <x:c r="AK317" s="8"/>
      <x:c r="AL317" s="8" t="n">
        <x:v>0.003</x:v>
      </x:c>
      <x:c r="AM317" s="8" t="n">
        <x:v>0.323</x:v>
      </x:c>
      <x:c r="AN317" s="8" t="n">
        <x:v>0.003</x:v>
      </x:c>
      <x:c r="AO317" s="8" t="n">
        <x:v>0.313</x:v>
      </x:c>
      <x:c r="AP317" s="8" t="n">
        <x:v>0.003</x:v>
      </x:c>
      <x:c r="AQ317" s="8" t="n">
        <x:v>0.313</x:v>
      </x:c>
      <x:c r="AR317" s="8" t="n">
        <x:v>0.002</x:v>
      </x:c>
      <x:c r="AS317" s="8" t="n">
        <x:v>0.562</x:v>
      </x:c>
      <x:c r="AT317" s="8" t="n">
        <x:v>0.004</x:v>
      </x:c>
      <x:c r="AU317" s="8" t="n">
        <x:v>0.321</x:v>
      </x:c>
      <x:c r="AV317" s="8" t="n">
        <x:v>0.003</x:v>
      </x:c>
      <x:c r="AW317" s="8" t="n">
        <x:v>0.558</x:v>
      </x:c>
      <x:c r="AX317" s="8" t="n">
        <x:v>0.003</x:v>
      </x:c>
      <x:c r="AY317" s="8" t="n">
        <x:v>0.448</x:v>
      </x:c>
      <x:c r="AZ317" s="8" t="n">
        <x:v>0.003</x:v>
      </x:c>
      <x:c r="BA317" s="8" t="n">
        <x:v>0.448</x:v>
      </x:c>
      <x:c r="BB317" s="8" t="n">
        <x:f>LET(m,MIN(IF(D317&gt;0,D317,1E+99),IF(F317&gt;0,F317,1E+99),IF(H317&gt;0,H317,1E+99),IF(J317&gt;0,J317,1E+99),IF(L317&gt;0,L317,1E+99),IF(N317&gt;0,N317,1E+99),IF(P317&gt;0,P317,1E+99),IF(R317&gt;0,R317,1E+99),IF(T317&gt;0,T317,1E+99),IF(V317&gt;0,V317,1E+99),IF(X317&gt;0,X317,1E+99),IF(Z317&gt;0,Z317,1E+99),IF(AB317&gt;0,AB317,1E+99),IF(AD317&gt;0,AD317,1E+99),IF(AF317&gt;0,AF317,1E+99),IF(AH317&gt;0,AH317,1E+99),IF(AJ317&gt;0,AJ317,1E+99),IF(AL317&gt;0,AL317,1E+99),IF(AN317&gt;0,AN317,1E+99),IF(AP317&gt;0,AP317,1E+99),IF(AR317&gt;0,AR317,1E+99),IF(AT317&gt;0,AT317,1E+99),IF(AV317&gt;0,AV317,1E+99),IF(AX317&gt;0,AX317,1E+99),IF(AZ317&gt;0,AZ317,1E+99)),IF(m=1E+99,"",m))</x:f>
        <x:v>0.002</x:v>
      </x:c>
      <x:c r="BC317" s="12" t="e">
        <x:f>IF(BB317="","",INDEX({"v1.4.20","v1.4.20","v1.4.21","v1.4.21","v1.4.23","v1.4.23","v1.4.26","v1.4.26","v1.4.26.1","v1.4.26.1","v1.4.27","v1.4.27","v1.4.29","v1.4.29","v1.4.30","v1.4.30","v1.4.31","v1.4.31","v1.4.33","v1.4.33","v1.4.35","v1.4.35.2","v1.5","v1.5.1","v1.5.1"},MATCH(BB317,CHOOSE({1,2,3,4,5,6,7,8,9,10,11,12,13,14,15,16,17,18,19,20,21,22,23,24,25},D317,F317,H317,J317,L317,N317,P317,R317,T317,V317,X317,Z317,AB317,AD317,AF317,AH317,AJ317,AL317,AN317,AP317,AR317,AT317,AV317,AX317,AZ317),0)))</x:f>
      </x:c>
      <x:c r="BD317" s="14" t="n">
        <x:f>LET(m,MIN(IF(E317&gt;0,E317,1E+99),IF(G317&gt;0,G317,1E+99),IF(I317&gt;0,I317,1E+99),IF(K317&gt;0,K317,1E+99),IF(M317&gt;0,M317,1E+99),IF(O317&gt;0,O317,1E+99),IF(Q317&gt;0,Q317,1E+99),IF(S317&gt;0,S317,1E+99),IF(U317&gt;0,U317,1E+99),IF(W317&gt;0,W317,1E+99),IF(Y317&gt;0,Y317,1E+99),IF(AA317&gt;0,AA317,1E+99),IF(AC317&gt;0,AC317,1E+99),IF(AE317&gt;0,AE317,1E+99),IF(AG317&gt;0,AG317,1E+99),IF(AI317&gt;0,AI317,1E+99),IF(AK317&gt;0,AK317,1E+99),IF(AM317&gt;0,AM317,1E+99),IF(AO317&gt;0,AO317,1E+99),IF(AQ317&gt;0,AQ317,1E+99),IF(AS317&gt;0,AS317,1E+99),IF(AU317&gt;0,AU317,1E+99),IF(AW317&gt;0,AW317,1E+99),IF(AY317&gt;0,AY317,1E+99),IF(BA317&gt;0,BA317,1E+99)),IF(m=1E+99,"",m))</x:f>
        <x:v>0.214</x:v>
      </x:c>
      <x:c r="BE317" s="16" t="e">
        <x:f>IF(BD317="","",INDEX({"v1.4.20","v1.4.20","v1.4.21","v1.4.21","v1.4.23","v1.4.23","v1.4.26","v1.4.26","v1.4.26.1","v1.4.26.1","v1.4.27","v1.4.27","v1.4.29","v1.4.29","v1.4.30","v1.4.30","v1.4.31","v1.4.31","v1.4.33","v1.4.33","v1.4.35","v1.4.35.2","v1.5","v1.5.1","v1.5.1"},MATCH(BD317,CHOOSE({1,2,3,4,5,6,7,8,9,10,11,12,13,14,15,16,17,18,19,20,21,22,23,24,25},E317,G317,I317,K317,M317,O317,Q317,S317,U317,W317,Y317,AA317,AC317,AE317,AG317,AI317,AK317,AM317,AO317,AQ317,AS317,AU317,AW317,AY317,BA317),0)))</x:f>
      </x:c>
      <x:c r="BF317" s="10" t="n">
        <x:f>IFERROR((AX317-BB317)/BB317,"")</x:f>
        <x:v>0.5</x:v>
      </x:c>
      <x:c r="BG317" s="10" t="n">
        <x:f>IFERROR((AY317-BD317)/BD317,"")</x:f>
        <x:v>1.0934579439252337</x:v>
      </x:c>
    </x:row>
    <x:row r="318">
      <x:c r="A318" t="str">
        <x:v>Care Plan Due</x:v>
      </x:c>
      <x:c r="B318" t="str">
        <x:v>Framework Test 6 - Date Formatting</x:v>
      </x:c>
      <x:c r="C318" t="str">
        <x:v>Checked date formats: Template - Care Plan Due</x:v>
      </x:c>
      <x:c r="D318" s="8" t="n">
        <x:v>0.615</x:v>
      </x:c>
      <x:c r="E318" s="8" t="n">
        <x:v>1.866</x:v>
      </x:c>
      <x:c r="F318" s="8"/>
      <x:c r="G318" s="8"/>
      <x:c r="H318" s="8" t="n">
        <x:v>0.107</x:v>
      </x:c>
      <x:c r="I318" s="8" t="n">
        <x:v>0.573</x:v>
      </x:c>
      <x:c r="J318" s="8" t="n">
        <x:v>0.107</x:v>
      </x:c>
      <x:c r="K318" s="8" t="n">
        <x:v>0.573</x:v>
      </x:c>
      <x:c r="L318" s="8" t="n">
        <x:v>0.083</x:v>
      </x:c>
      <x:c r="M318" s="8" t="n">
        <x:v>0.483</x:v>
      </x:c>
      <x:c r="N318" s="8" t="n">
        <x:v>0.083</x:v>
      </x:c>
      <x:c r="O318" s="8" t="n">
        <x:v>0.483</x:v>
      </x:c>
      <x:c r="P318" s="8" t="n">
        <x:v>0.053</x:v>
      </x:c>
      <x:c r="Q318" s="8" t="n">
        <x:v>0.267</x:v>
      </x:c>
      <x:c r="R318" s="8" t="n">
        <x:v>0.053</x:v>
      </x:c>
      <x:c r="S318" s="8" t="n">
        <x:v>0.267</x:v>
      </x:c>
      <x:c r="T318" s="8" t="n">
        <x:v>0.127</x:v>
      </x:c>
      <x:c r="U318" s="8" t="n">
        <x:v>1.601</x:v>
      </x:c>
      <x:c r="V318" s="8" t="n">
        <x:v>0.127</x:v>
      </x:c>
      <x:c r="W318" s="8" t="n">
        <x:v>1.601</x:v>
      </x:c>
      <x:c r="X318" s="8" t="n">
        <x:v>0.069</x:v>
      </x:c>
      <x:c r="Y318" s="8" t="n">
        <x:v>0.838</x:v>
      </x:c>
      <x:c r="Z318" s="8" t="n">
        <x:v>0.069</x:v>
      </x:c>
      <x:c r="AA318" s="8" t="n">
        <x:v>0.838</x:v>
      </x:c>
      <x:c r="AB318" s="8" t="n">
        <x:v>0.133</x:v>
      </x:c>
      <x:c r="AC318" s="8" t="n">
        <x:v>0.633</x:v>
      </x:c>
      <x:c r="AD318" s="8" t="n">
        <x:v>0.133</x:v>
      </x:c>
      <x:c r="AE318" s="8" t="n">
        <x:v>0.633</x:v>
      </x:c>
      <x:c r="AF318" s="8" t="n">
        <x:v>0.116</x:v>
      </x:c>
      <x:c r="AG318" s="8" t="n">
        <x:v>0.486</x:v>
      </x:c>
      <x:c r="AH318" s="8" t="n">
        <x:v>0.116</x:v>
      </x:c>
      <x:c r="AI318" s="8" t="n">
        <x:v>0.486</x:v>
      </x:c>
      <x:c r="AJ318" s="8"/>
      <x:c r="AK318" s="8"/>
      <x:c r="AL318" s="8" t="n">
        <x:v>0.077</x:v>
      </x:c>
      <x:c r="AM318" s="8" t="n">
        <x:v>0.4</x:v>
      </x:c>
      <x:c r="AN318" s="8" t="n">
        <x:v>0.06</x:v>
      </x:c>
      <x:c r="AO318" s="8" t="n">
        <x:v>0.373</x:v>
      </x:c>
      <x:c r="AP318" s="8" t="n">
        <x:v>0.06</x:v>
      </x:c>
      <x:c r="AQ318" s="8" t="n">
        <x:v>0.373</x:v>
      </x:c>
      <x:c r="AR318" s="8" t="n">
        <x:v>0.128</x:v>
      </x:c>
      <x:c r="AS318" s="8" t="n">
        <x:v>0.69</x:v>
      </x:c>
      <x:c r="AT318" s="8" t="n">
        <x:v>0.076</x:v>
      </x:c>
      <x:c r="AU318" s="8" t="n">
        <x:v>0.397</x:v>
      </x:c>
      <x:c r="AV318" s="8" t="n">
        <x:v>0.122</x:v>
      </x:c>
      <x:c r="AW318" s="8" t="n">
        <x:v>0.68</x:v>
      </x:c>
      <x:c r="AX318" s="8" t="n">
        <x:v>0.114</x:v>
      </x:c>
      <x:c r="AY318" s="8" t="n">
        <x:v>0.562</x:v>
      </x:c>
      <x:c r="AZ318" s="8" t="n">
        <x:v>0.114</x:v>
      </x:c>
      <x:c r="BA318" s="8" t="n">
        <x:v>0.562</x:v>
      </x:c>
      <x:c r="BB318" s="8" t="n">
        <x:f>LET(m,MIN(IF(D318&gt;0,D318,1E+99),IF(F318&gt;0,F318,1E+99),IF(H318&gt;0,H318,1E+99),IF(J318&gt;0,J318,1E+99),IF(L318&gt;0,L318,1E+99),IF(N318&gt;0,N318,1E+99),IF(P318&gt;0,P318,1E+99),IF(R318&gt;0,R318,1E+99),IF(T318&gt;0,T318,1E+99),IF(V318&gt;0,V318,1E+99),IF(X318&gt;0,X318,1E+99),IF(Z318&gt;0,Z318,1E+99),IF(AB318&gt;0,AB318,1E+99),IF(AD318&gt;0,AD318,1E+99),IF(AF318&gt;0,AF318,1E+99),IF(AH318&gt;0,AH318,1E+99),IF(AJ318&gt;0,AJ318,1E+99),IF(AL318&gt;0,AL318,1E+99),IF(AN318&gt;0,AN318,1E+99),IF(AP318&gt;0,AP318,1E+99),IF(AR318&gt;0,AR318,1E+99),IF(AT318&gt;0,AT318,1E+99),IF(AV318&gt;0,AV318,1E+99),IF(AX318&gt;0,AX318,1E+99),IF(AZ318&gt;0,AZ318,1E+99)),IF(m=1E+99,"",m))</x:f>
        <x:v>0.053</x:v>
      </x:c>
      <x:c r="BC318" s="12" t="e">
        <x:f>IF(BB318="","",INDEX({"v1.4.20","v1.4.20","v1.4.21","v1.4.21","v1.4.23","v1.4.23","v1.4.26","v1.4.26","v1.4.26.1","v1.4.26.1","v1.4.27","v1.4.27","v1.4.29","v1.4.29","v1.4.30","v1.4.30","v1.4.31","v1.4.31","v1.4.33","v1.4.33","v1.4.35","v1.4.35.2","v1.5","v1.5.1","v1.5.1"},MATCH(BB318,CHOOSE({1,2,3,4,5,6,7,8,9,10,11,12,13,14,15,16,17,18,19,20,21,22,23,24,25},D318,F318,H318,J318,L318,N318,P318,R318,T318,V318,X318,Z318,AB318,AD318,AF318,AH318,AJ318,AL318,AN318,AP318,AR318,AT318,AV318,AX318,AZ318),0)))</x:f>
      </x:c>
      <x:c r="BD318" s="14" t="n">
        <x:f>LET(m,MIN(IF(E318&gt;0,E318,1E+99),IF(G318&gt;0,G318,1E+99),IF(I318&gt;0,I318,1E+99),IF(K318&gt;0,K318,1E+99),IF(M318&gt;0,M318,1E+99),IF(O318&gt;0,O318,1E+99),IF(Q318&gt;0,Q318,1E+99),IF(S318&gt;0,S318,1E+99),IF(U318&gt;0,U318,1E+99),IF(W318&gt;0,W318,1E+99),IF(Y318&gt;0,Y318,1E+99),IF(AA318&gt;0,AA318,1E+99),IF(AC318&gt;0,AC318,1E+99),IF(AE318&gt;0,AE318,1E+99),IF(AG318&gt;0,AG318,1E+99),IF(AI318&gt;0,AI318,1E+99),IF(AK318&gt;0,AK318,1E+99),IF(AM318&gt;0,AM318,1E+99),IF(AO318&gt;0,AO318,1E+99),IF(AQ318&gt;0,AQ318,1E+99),IF(AS318&gt;0,AS318,1E+99),IF(AU318&gt;0,AU318,1E+99),IF(AW318&gt;0,AW318,1E+99),IF(AY318&gt;0,AY318,1E+99),IF(BA318&gt;0,BA318,1E+99)),IF(m=1E+99,"",m))</x:f>
        <x:v>0.267</x:v>
      </x:c>
      <x:c r="BE318" s="16" t="e">
        <x:f>IF(BD318="","",INDEX({"v1.4.20","v1.4.20","v1.4.21","v1.4.21","v1.4.23","v1.4.23","v1.4.26","v1.4.26","v1.4.26.1","v1.4.26.1","v1.4.27","v1.4.27","v1.4.29","v1.4.29","v1.4.30","v1.4.30","v1.4.31","v1.4.31","v1.4.33","v1.4.33","v1.4.35","v1.4.35.2","v1.5","v1.5.1","v1.5.1"},MATCH(BD318,CHOOSE({1,2,3,4,5,6,7,8,9,10,11,12,13,14,15,16,17,18,19,20,21,22,23,24,25},E318,G318,I318,K318,M318,O318,Q318,S318,U318,W318,Y318,AA318,AC318,AE318,AG318,AI318,AK318,AM318,AO318,AQ318,AS318,AU318,AW318,AY318,BA318),0)))</x:f>
      </x:c>
      <x:c r="BF318" s="10" t="n">
        <x:f>IFERROR((AX318-BB318)/BB318,"")</x:f>
        <x:v>1.1509433962264153</x:v>
      </x:c>
      <x:c r="BG318" s="10" t="n">
        <x:f>IFERROR((AY318-BD318)/BD318,"")</x:f>
        <x:v>1.104868913857678</x:v>
      </x:c>
    </x:row>
    <x:row r="319">
      <x:c r="A319" t="str">
        <x:v>Unlocked Care Plan</x:v>
      </x:c>
      <x:c r="B319" t="str">
        <x:v>Framework Test 6 - Date Formatting</x:v>
      </x:c>
      <x:c r="C319" t="str">
        <x:v>Checked date formats: Template - Unlocked Care Plan</x:v>
      </x:c>
      <x:c r="D319" s="8" t="n">
        <x:v>0.077</x:v>
      </x:c>
      <x:c r="E319" s="8" t="n">
        <x:v>1.943</x:v>
      </x:c>
      <x:c r="F319" s="8"/>
      <x:c r="G319" s="8"/>
      <x:c r="H319" s="8" t="n">
        <x:v>0.115</x:v>
      </x:c>
      <x:c r="I319" s="8" t="n">
        <x:v>0.688</x:v>
      </x:c>
      <x:c r="J319" s="8" t="n">
        <x:v>0.115</x:v>
      </x:c>
      <x:c r="K319" s="8" t="n">
        <x:v>0.688</x:v>
      </x:c>
      <x:c r="L319" s="8" t="n">
        <x:v>0.11</x:v>
      </x:c>
      <x:c r="M319" s="8" t="n">
        <x:v>0.593</x:v>
      </x:c>
      <x:c r="N319" s="8" t="n">
        <x:v>0.11</x:v>
      </x:c>
      <x:c r="O319" s="8" t="n">
        <x:v>0.593</x:v>
      </x:c>
      <x:c r="P319" s="8" t="n">
        <x:v>0.054</x:v>
      </x:c>
      <x:c r="Q319" s="8" t="n">
        <x:v>0.321</x:v>
      </x:c>
      <x:c r="R319" s="8" t="n">
        <x:v>0.054</x:v>
      </x:c>
      <x:c r="S319" s="8" t="n">
        <x:v>0.321</x:v>
      </x:c>
      <x:c r="T319" s="8" t="n">
        <x:v>0.103</x:v>
      </x:c>
      <x:c r="U319" s="8" t="n">
        <x:v>1.704</x:v>
      </x:c>
      <x:c r="V319" s="8" t="n">
        <x:v>0.103</x:v>
      </x:c>
      <x:c r="W319" s="8" t="n">
        <x:v>1.704</x:v>
      </x:c>
      <x:c r="X319" s="8" t="n">
        <x:v>0.086</x:v>
      </x:c>
      <x:c r="Y319" s="8" t="n">
        <x:v>0.924</x:v>
      </x:c>
      <x:c r="Z319" s="8" t="n">
        <x:v>0.086</x:v>
      </x:c>
      <x:c r="AA319" s="8" t="n">
        <x:v>0.924</x:v>
      </x:c>
      <x:c r="AB319" s="8" t="n">
        <x:v>0.11</x:v>
      </x:c>
      <x:c r="AC319" s="8" t="n">
        <x:v>0.743</x:v>
      </x:c>
      <x:c r="AD319" s="8" t="n">
        <x:v>0.11</x:v>
      </x:c>
      <x:c r="AE319" s="8" t="n">
        <x:v>0.743</x:v>
      </x:c>
      <x:c r="AF319" s="8" t="n">
        <x:v>0.103</x:v>
      </x:c>
      <x:c r="AG319" s="8" t="n">
        <x:v>0.589</x:v>
      </x:c>
      <x:c r="AH319" s="8" t="n">
        <x:v>0.103</x:v>
      </x:c>
      <x:c r="AI319" s="8" t="n">
        <x:v>0.589</x:v>
      </x:c>
      <x:c r="AJ319" s="8"/>
      <x:c r="AK319" s="8"/>
      <x:c r="AL319" s="8" t="n">
        <x:v>0.07</x:v>
      </x:c>
      <x:c r="AM319" s="8" t="n">
        <x:v>0.47</x:v>
      </x:c>
      <x:c r="AN319" s="8" t="n">
        <x:v>0.051</x:v>
      </x:c>
      <x:c r="AO319" s="8" t="n">
        <x:v>0.424</x:v>
      </x:c>
      <x:c r="AP319" s="8" t="n">
        <x:v>0.051</x:v>
      </x:c>
      <x:c r="AQ319" s="8" t="n">
        <x:v>0.424</x:v>
      </x:c>
      <x:c r="AR319" s="8" t="n">
        <x:v>0.129</x:v>
      </x:c>
      <x:c r="AS319" s="8" t="n">
        <x:v>0.819</x:v>
      </x:c>
      <x:c r="AT319" s="8" t="n">
        <x:v>0.077</x:v>
      </x:c>
      <x:c r="AU319" s="8" t="n">
        <x:v>0.474</x:v>
      </x:c>
      <x:c r="AV319" s="8" t="n">
        <x:v>0.118</x:v>
      </x:c>
      <x:c r="AW319" s="8" t="n">
        <x:v>0.798</x:v>
      </x:c>
      <x:c r="AX319" s="8" t="n">
        <x:v>0.115</x:v>
      </x:c>
      <x:c r="AY319" s="8" t="n">
        <x:v>0.677</x:v>
      </x:c>
      <x:c r="AZ319" s="8" t="n">
        <x:v>0.115</x:v>
      </x:c>
      <x:c r="BA319" s="8" t="n">
        <x:v>0.677</x:v>
      </x:c>
      <x:c r="BB319" s="8" t="n">
        <x:f>LET(m,MIN(IF(D319&gt;0,D319,1E+99),IF(F319&gt;0,F319,1E+99),IF(H319&gt;0,H319,1E+99),IF(J319&gt;0,J319,1E+99),IF(L319&gt;0,L319,1E+99),IF(N319&gt;0,N319,1E+99),IF(P319&gt;0,P319,1E+99),IF(R319&gt;0,R319,1E+99),IF(T319&gt;0,T319,1E+99),IF(V319&gt;0,V319,1E+99),IF(X319&gt;0,X319,1E+99),IF(Z319&gt;0,Z319,1E+99),IF(AB319&gt;0,AB319,1E+99),IF(AD319&gt;0,AD319,1E+99),IF(AF319&gt;0,AF319,1E+99),IF(AH319&gt;0,AH319,1E+99),IF(AJ319&gt;0,AJ319,1E+99),IF(AL319&gt;0,AL319,1E+99),IF(AN319&gt;0,AN319,1E+99),IF(AP319&gt;0,AP319,1E+99),IF(AR319&gt;0,AR319,1E+99),IF(AT319&gt;0,AT319,1E+99),IF(AV319&gt;0,AV319,1E+99),IF(AX319&gt;0,AX319,1E+99),IF(AZ319&gt;0,AZ319,1E+99)),IF(m=1E+99,"",m))</x:f>
        <x:v>0.051</x:v>
      </x:c>
      <x:c r="BC319" s="12" t="e">
        <x:f>IF(BB319="","",INDEX({"v1.4.20","v1.4.20","v1.4.21","v1.4.21","v1.4.23","v1.4.23","v1.4.26","v1.4.26","v1.4.26.1","v1.4.26.1","v1.4.27","v1.4.27","v1.4.29","v1.4.29","v1.4.30","v1.4.30","v1.4.31","v1.4.31","v1.4.33","v1.4.33","v1.4.35","v1.4.35.2","v1.5","v1.5.1","v1.5.1"},MATCH(BB319,CHOOSE({1,2,3,4,5,6,7,8,9,10,11,12,13,14,15,16,17,18,19,20,21,22,23,24,25},D319,F319,H319,J319,L319,N319,P319,R319,T319,V319,X319,Z319,AB319,AD319,AF319,AH319,AJ319,AL319,AN319,AP319,AR319,AT319,AV319,AX319,AZ319),0)))</x:f>
      </x:c>
      <x:c r="BD319" s="14" t="n">
        <x:f>LET(m,MIN(IF(E319&gt;0,E319,1E+99),IF(G319&gt;0,G319,1E+99),IF(I319&gt;0,I319,1E+99),IF(K319&gt;0,K319,1E+99),IF(M319&gt;0,M319,1E+99),IF(O319&gt;0,O319,1E+99),IF(Q319&gt;0,Q319,1E+99),IF(S319&gt;0,S319,1E+99),IF(U319&gt;0,U319,1E+99),IF(W319&gt;0,W319,1E+99),IF(Y319&gt;0,Y319,1E+99),IF(AA319&gt;0,AA319,1E+99),IF(AC319&gt;0,AC319,1E+99),IF(AE319&gt;0,AE319,1E+99),IF(AG319&gt;0,AG319,1E+99),IF(AI319&gt;0,AI319,1E+99),IF(AK319&gt;0,AK319,1E+99),IF(AM319&gt;0,AM319,1E+99),IF(AO319&gt;0,AO319,1E+99),IF(AQ319&gt;0,AQ319,1E+99),IF(AS319&gt;0,AS319,1E+99),IF(AU319&gt;0,AU319,1E+99),IF(AW319&gt;0,AW319,1E+99),IF(AY319&gt;0,AY319,1E+99),IF(BA319&gt;0,BA319,1E+99)),IF(m=1E+99,"",m))</x:f>
        <x:v>0.321</x:v>
      </x:c>
      <x:c r="BE319" s="16" t="e">
        <x:f>IF(BD319="","",INDEX({"v1.4.20","v1.4.20","v1.4.21","v1.4.21","v1.4.23","v1.4.23","v1.4.26","v1.4.26","v1.4.26.1","v1.4.26.1","v1.4.27","v1.4.27","v1.4.29","v1.4.29","v1.4.30","v1.4.30","v1.4.31","v1.4.31","v1.4.33","v1.4.33","v1.4.35","v1.4.35.2","v1.5","v1.5.1","v1.5.1"},MATCH(BD319,CHOOSE({1,2,3,4,5,6,7,8,9,10,11,12,13,14,15,16,17,18,19,20,21,22,23,24,25},E319,G319,I319,K319,M319,O319,Q319,S319,U319,W319,Y319,AA319,AC319,AE319,AG319,AI319,AK319,AM319,AO319,AQ319,AS319,AU319,AW319,AY319,BA319),0)))</x:f>
      </x:c>
      <x:c r="BF319" s="10" t="n">
        <x:f>IFERROR((AX319-BB319)/BB319,"")</x:f>
        <x:v>1.254901960784314</x:v>
      </x:c>
      <x:c r="BG319" s="10" t="n">
        <x:f>IFERROR((AY319-BD319)/BD319,"")</x:f>
        <x:v>1.1090342679127727</x:v>
      </x:c>
    </x:row>
    <x:row r="320">
      <x:c r="A320" t="str">
        <x:v>Demo P</x:v>
      </x:c>
      <x:c r="B320" t="str">
        <x:v>Framework Test 6 - Date Formatting</x:v>
      </x:c>
      <x:c r="C320" t="str">
        <x:v>Checked date formats: Template - Demo P</x:v>
      </x:c>
      <x:c r="D320" s="8" t="n">
        <x:v>0.897</x:v>
      </x:c>
      <x:c r="E320" s="8" t="n">
        <x:v>2.84</x:v>
      </x:c>
      <x:c r="F320" s="8"/>
      <x:c r="G320" s="8"/>
      <x:c r="H320" s="8" t="n">
        <x:v>0.16</x:v>
      </x:c>
      <x:c r="I320" s="8" t="n">
        <x:v>0.848</x:v>
      </x:c>
      <x:c r="J320" s="8" t="n">
        <x:v>0.16</x:v>
      </x:c>
      <x:c r="K320" s="8" t="n">
        <x:v>0.848</x:v>
      </x:c>
      <x:c r="L320" s="8" t="n">
        <x:v>0.14</x:v>
      </x:c>
      <x:c r="M320" s="8" t="n">
        <x:v>0.733</x:v>
      </x:c>
      <x:c r="N320" s="8" t="n">
        <x:v>0.14</x:v>
      </x:c>
      <x:c r="O320" s="8" t="n">
        <x:v>0.733</x:v>
      </x:c>
      <x:c r="P320" s="8" t="n">
        <x:v>0.515</x:v>
      </x:c>
      <x:c r="Q320" s="8" t="n">
        <x:v>0.836</x:v>
      </x:c>
      <x:c r="R320" s="8" t="n">
        <x:v>0.515</x:v>
      </x:c>
      <x:c r="S320" s="8" t="n">
        <x:v>0.836</x:v>
      </x:c>
      <x:c r="T320" s="8" t="n">
        <x:v>0.166</x:v>
      </x:c>
      <x:c r="U320" s="8" t="n">
        <x:v>1.87</x:v>
      </x:c>
      <x:c r="V320" s="8" t="n">
        <x:v>0.166</x:v>
      </x:c>
      <x:c r="W320" s="8" t="n">
        <x:v>1.87</x:v>
      </x:c>
      <x:c r="X320" s="8" t="n">
        <x:v>0.104</x:v>
      </x:c>
      <x:c r="Y320" s="8" t="n">
        <x:v>1.028</x:v>
      </x:c>
      <x:c r="Z320" s="8" t="n">
        <x:v>0.104</x:v>
      </x:c>
      <x:c r="AA320" s="8" t="n">
        <x:v>1.028</x:v>
      </x:c>
      <x:c r="AB320" s="8" t="n">
        <x:v>0.17</x:v>
      </x:c>
      <x:c r="AC320" s="8" t="n">
        <x:v>0.913</x:v>
      </x:c>
      <x:c r="AD320" s="8" t="n">
        <x:v>0.17</x:v>
      </x:c>
      <x:c r="AE320" s="8" t="n">
        <x:v>0.913</x:v>
      </x:c>
      <x:c r="AF320" s="8" t="n">
        <x:v>0.112</x:v>
      </x:c>
      <x:c r="AG320" s="8" t="n">
        <x:v>0.701</x:v>
      </x:c>
      <x:c r="AH320" s="8" t="n">
        <x:v>0.112</x:v>
      </x:c>
      <x:c r="AI320" s="8" t="n">
        <x:v>0.701</x:v>
      </x:c>
      <x:c r="AJ320" s="8"/>
      <x:c r="AK320" s="8"/>
      <x:c r="AL320" s="8" t="n">
        <x:v>0.135</x:v>
      </x:c>
      <x:c r="AM320" s="8" t="n">
        <x:v>0.605</x:v>
      </x:c>
      <x:c r="AN320" s="8" t="n">
        <x:v>0.112</x:v>
      </x:c>
      <x:c r="AO320" s="8" t="n">
        <x:v>0.536</x:v>
      </x:c>
      <x:c r="AP320" s="8" t="n">
        <x:v>0.112</x:v>
      </x:c>
      <x:c r="AQ320" s="8" t="n">
        <x:v>0.536</x:v>
      </x:c>
      <x:c r="AR320" s="8" t="n">
        <x:v>0.183</x:v>
      </x:c>
      <x:c r="AS320" s="8" t="n">
        <x:v>1.002</x:v>
      </x:c>
      <x:c r="AT320" s="8" t="n">
        <x:v>0.112</x:v>
      </x:c>
      <x:c r="AU320" s="8" t="n">
        <x:v>0.586</x:v>
      </x:c>
      <x:c r="AV320" s="8" t="n">
        <x:v>0.161</x:v>
      </x:c>
      <x:c r="AW320" s="8" t="n">
        <x:v>0.959</x:v>
      </x:c>
      <x:c r="AX320" s="8" t="n">
        <x:v>0.15</x:v>
      </x:c>
      <x:c r="AY320" s="8" t="n">
        <x:v>0.827</x:v>
      </x:c>
      <x:c r="AZ320" s="8" t="n">
        <x:v>0.15</x:v>
      </x:c>
      <x:c r="BA320" s="8" t="n">
        <x:v>0.827</x:v>
      </x:c>
      <x:c r="BB320" s="8" t="n">
        <x:f>LET(m,MIN(IF(D320&gt;0,D320,1E+99),IF(F320&gt;0,F320,1E+99),IF(H320&gt;0,H320,1E+99),IF(J320&gt;0,J320,1E+99),IF(L320&gt;0,L320,1E+99),IF(N320&gt;0,N320,1E+99),IF(P320&gt;0,P320,1E+99),IF(R320&gt;0,R320,1E+99),IF(T320&gt;0,T320,1E+99),IF(V320&gt;0,V320,1E+99),IF(X320&gt;0,X320,1E+99),IF(Z320&gt;0,Z320,1E+99),IF(AB320&gt;0,AB320,1E+99),IF(AD320&gt;0,AD320,1E+99),IF(AF320&gt;0,AF320,1E+99),IF(AH320&gt;0,AH320,1E+99),IF(AJ320&gt;0,AJ320,1E+99),IF(AL320&gt;0,AL320,1E+99),IF(AN320&gt;0,AN320,1E+99),IF(AP320&gt;0,AP320,1E+99),IF(AR320&gt;0,AR320,1E+99),IF(AT320&gt;0,AT320,1E+99),IF(AV320&gt;0,AV320,1E+99),IF(AX320&gt;0,AX320,1E+99),IF(AZ320&gt;0,AZ320,1E+99)),IF(m=1E+99,"",m))</x:f>
        <x:v>0.104</x:v>
      </x:c>
      <x:c r="BC320" s="12" t="e">
        <x:f>IF(BB320="","",INDEX({"v1.4.20","v1.4.20","v1.4.21","v1.4.21","v1.4.23","v1.4.23","v1.4.26","v1.4.26","v1.4.26.1","v1.4.26.1","v1.4.27","v1.4.27","v1.4.29","v1.4.29","v1.4.30","v1.4.30","v1.4.31","v1.4.31","v1.4.33","v1.4.33","v1.4.35","v1.4.35.2","v1.5","v1.5.1","v1.5.1"},MATCH(BB320,CHOOSE({1,2,3,4,5,6,7,8,9,10,11,12,13,14,15,16,17,18,19,20,21,22,23,24,25},D320,F320,H320,J320,L320,N320,P320,R320,T320,V320,X320,Z320,AB320,AD320,AF320,AH320,AJ320,AL320,AN320,AP320,AR320,AT320,AV320,AX320,AZ320),0)))</x:f>
      </x:c>
      <x:c r="BD320" s="14" t="n">
        <x:f>LET(m,MIN(IF(E320&gt;0,E320,1E+99),IF(G320&gt;0,G320,1E+99),IF(I320&gt;0,I320,1E+99),IF(K320&gt;0,K320,1E+99),IF(M320&gt;0,M320,1E+99),IF(O320&gt;0,O320,1E+99),IF(Q320&gt;0,Q320,1E+99),IF(S320&gt;0,S320,1E+99),IF(U320&gt;0,U320,1E+99),IF(W320&gt;0,W320,1E+99),IF(Y320&gt;0,Y320,1E+99),IF(AA320&gt;0,AA320,1E+99),IF(AC320&gt;0,AC320,1E+99),IF(AE320&gt;0,AE320,1E+99),IF(AG320&gt;0,AG320,1E+99),IF(AI320&gt;0,AI320,1E+99),IF(AK320&gt;0,AK320,1E+99),IF(AM320&gt;0,AM320,1E+99),IF(AO320&gt;0,AO320,1E+99),IF(AQ320&gt;0,AQ320,1E+99),IF(AS320&gt;0,AS320,1E+99),IF(AU320&gt;0,AU320,1E+99),IF(AW320&gt;0,AW320,1E+99),IF(AY320&gt;0,AY320,1E+99),IF(BA320&gt;0,BA320,1E+99)),IF(m=1E+99,"",m))</x:f>
        <x:v>0.536</x:v>
      </x:c>
      <x:c r="BE320" s="16" t="e">
        <x:f>IF(BD320="","",INDEX({"v1.4.20","v1.4.20","v1.4.21","v1.4.21","v1.4.23","v1.4.23","v1.4.26","v1.4.26","v1.4.26.1","v1.4.26.1","v1.4.27","v1.4.27","v1.4.29","v1.4.29","v1.4.30","v1.4.30","v1.4.31","v1.4.31","v1.4.33","v1.4.33","v1.4.35","v1.4.35.2","v1.5","v1.5.1","v1.5.1"},MATCH(BD320,CHOOSE({1,2,3,4,5,6,7,8,9,10,11,12,13,14,15,16,17,18,19,20,21,22,23,24,25},E320,G320,I320,K320,M320,O320,Q320,S320,U320,W320,Y320,AA320,AC320,AE320,AG320,AI320,AK320,AM320,AO320,AQ320,AS320,AU320,AW320,AY320,BA320),0)))</x:f>
      </x:c>
      <x:c r="BF320" s="10" t="n">
        <x:f>IFERROR((AX320-BB320)/BB320,"")</x:f>
        <x:v>0.44230769230769235</x:v>
      </x:c>
      <x:c r="BG320" s="10" t="n">
        <x:f>IFERROR((AY320-BD320)/BD320,"")</x:f>
        <x:v>0.5429104477611939</x:v>
      </x:c>
    </x:row>
    <x:row r="321">
      <x:c r="A321" t="str">
        <x:v>Master List</x:v>
      </x:c>
      <x:c r="B321" t="str">
        <x:v>Framework Test 6 - Date Formatting</x:v>
      </x:c>
      <x:c r="C321" t="str">
        <x:v>Checked date formats: Template - Master List</x:v>
      </x:c>
      <x:c r="D321" s="8" t="n">
        <x:v>0.168</x:v>
      </x:c>
      <x:c r="E321" s="8" t="n">
        <x:v>3.008</x:v>
      </x:c>
      <x:c r="F321" s="8"/>
      <x:c r="G321" s="8"/>
      <x:c r="H321" s="8" t="n">
        <x:v>0.194</x:v>
      </x:c>
      <x:c r="I321" s="8" t="n">
        <x:v>1.042</x:v>
      </x:c>
      <x:c r="J321" s="8" t="n">
        <x:v>0.194</x:v>
      </x:c>
      <x:c r="K321" s="8" t="n">
        <x:v>1.042</x:v>
      </x:c>
      <x:c r="L321" s="8" t="n">
        <x:v>0.165</x:v>
      </x:c>
      <x:c r="M321" s="8" t="n">
        <x:v>0.898</x:v>
      </x:c>
      <x:c r="N321" s="8" t="n">
        <x:v>0.165</x:v>
      </x:c>
      <x:c r="O321" s="8" t="n">
        <x:v>0.898</x:v>
      </x:c>
      <x:c r="P321" s="8" t="n">
        <x:v>0.098</x:v>
      </x:c>
      <x:c r="Q321" s="8" t="n">
        <x:v>0.934</x:v>
      </x:c>
      <x:c r="R321" s="8" t="n">
        <x:v>0.098</x:v>
      </x:c>
      <x:c r="S321" s="8" t="n">
        <x:v>0.934</x:v>
      </x:c>
      <x:c r="T321" s="8" t="n">
        <x:v>0.377</x:v>
      </x:c>
      <x:c r="U321" s="8" t="n">
        <x:v>2.247</x:v>
      </x:c>
      <x:c r="V321" s="8" t="n">
        <x:v>0.377</x:v>
      </x:c>
      <x:c r="W321" s="8" t="n">
        <x:v>2.247</x:v>
      </x:c>
      <x:c r="X321" s="8" t="n">
        <x:v>0.401</x:v>
      </x:c>
      <x:c r="Y321" s="8" t="n">
        <x:v>1.429</x:v>
      </x:c>
      <x:c r="Z321" s="8" t="n">
        <x:v>0.401</x:v>
      </x:c>
      <x:c r="AA321" s="8" t="n">
        <x:v>1.429</x:v>
      </x:c>
      <x:c r="AB321" s="8" t="n">
        <x:v>0.167</x:v>
      </x:c>
      <x:c r="AC321" s="8" t="n">
        <x:v>1.08</x:v>
      </x:c>
      <x:c r="AD321" s="8" t="n">
        <x:v>0.167</x:v>
      </x:c>
      <x:c r="AE321" s="8" t="n">
        <x:v>1.08</x:v>
      </x:c>
      <x:c r="AF321" s="8" t="n">
        <x:v>0.118</x:v>
      </x:c>
      <x:c r="AG321" s="8" t="n">
        <x:v>0.819</x:v>
      </x:c>
      <x:c r="AH321" s="8" t="n">
        <x:v>0.118</x:v>
      </x:c>
      <x:c r="AI321" s="8" t="n">
        <x:v>0.819</x:v>
      </x:c>
      <x:c r="AJ321" s="8"/>
      <x:c r="AK321" s="8"/>
      <x:c r="AL321" s="8" t="n">
        <x:v>0.109</x:v>
      </x:c>
      <x:c r="AM321" s="8" t="n">
        <x:v>0.714</x:v>
      </x:c>
      <x:c r="AN321" s="8" t="n">
        <x:v>0.101</x:v>
      </x:c>
      <x:c r="AO321" s="8" t="n">
        <x:v>0.637</x:v>
      </x:c>
      <x:c r="AP321" s="8" t="n">
        <x:v>0.101</x:v>
      </x:c>
      <x:c r="AQ321" s="8" t="n">
        <x:v>0.637</x:v>
      </x:c>
      <x:c r="AR321" s="8" t="n">
        <x:v>0.369</x:v>
      </x:c>
      <x:c r="AS321" s="8" t="n">
        <x:v>1.371</x:v>
      </x:c>
      <x:c r="AT321" s="8" t="n">
        <x:v>0.12</x:v>
      </x:c>
      <x:c r="AU321" s="8" t="n">
        <x:v>0.706</x:v>
      </x:c>
      <x:c r="AV321" s="8" t="n">
        <x:v>0.148</x:v>
      </x:c>
      <x:c r="AW321" s="8" t="n">
        <x:v>1.107</x:v>
      </x:c>
      <x:c r="AX321" s="8" t="n">
        <x:v>0.153</x:v>
      </x:c>
      <x:c r="AY321" s="8" t="n">
        <x:v>0.98</x:v>
      </x:c>
      <x:c r="AZ321" s="8" t="n">
        <x:v>0.153</x:v>
      </x:c>
      <x:c r="BA321" s="8" t="n">
        <x:v>0.98</x:v>
      </x:c>
      <x:c r="BB321" s="8" t="n">
        <x:f>LET(m,MIN(IF(D321&gt;0,D321,1E+99),IF(F321&gt;0,F321,1E+99),IF(H321&gt;0,H321,1E+99),IF(J321&gt;0,J321,1E+99),IF(L321&gt;0,L321,1E+99),IF(N321&gt;0,N321,1E+99),IF(P321&gt;0,P321,1E+99),IF(R321&gt;0,R321,1E+99),IF(T321&gt;0,T321,1E+99),IF(V321&gt;0,V321,1E+99),IF(X321&gt;0,X321,1E+99),IF(Z321&gt;0,Z321,1E+99),IF(AB321&gt;0,AB321,1E+99),IF(AD321&gt;0,AD321,1E+99),IF(AF321&gt;0,AF321,1E+99),IF(AH321&gt;0,AH321,1E+99),IF(AJ321&gt;0,AJ321,1E+99),IF(AL321&gt;0,AL321,1E+99),IF(AN321&gt;0,AN321,1E+99),IF(AP321&gt;0,AP321,1E+99),IF(AR321&gt;0,AR321,1E+99),IF(AT321&gt;0,AT321,1E+99),IF(AV321&gt;0,AV321,1E+99),IF(AX321&gt;0,AX321,1E+99),IF(AZ321&gt;0,AZ321,1E+99)),IF(m=1E+99,"",m))</x:f>
        <x:v>0.098</x:v>
      </x:c>
      <x:c r="BC321" s="12" t="e">
        <x:f>IF(BB321="","",INDEX({"v1.4.20","v1.4.20","v1.4.21","v1.4.21","v1.4.23","v1.4.23","v1.4.26","v1.4.26","v1.4.26.1","v1.4.26.1","v1.4.27","v1.4.27","v1.4.29","v1.4.29","v1.4.30","v1.4.30","v1.4.31","v1.4.31","v1.4.33","v1.4.33","v1.4.35","v1.4.35.2","v1.5","v1.5.1","v1.5.1"},MATCH(BB321,CHOOSE({1,2,3,4,5,6,7,8,9,10,11,12,13,14,15,16,17,18,19,20,21,22,23,24,25},D321,F321,H321,J321,L321,N321,P321,R321,T321,V321,X321,Z321,AB321,AD321,AF321,AH321,AJ321,AL321,AN321,AP321,AR321,AT321,AV321,AX321,AZ321),0)))</x:f>
      </x:c>
      <x:c r="BD321" s="14" t="n">
        <x:f>LET(m,MIN(IF(E321&gt;0,E321,1E+99),IF(G321&gt;0,G321,1E+99),IF(I321&gt;0,I321,1E+99),IF(K321&gt;0,K321,1E+99),IF(M321&gt;0,M321,1E+99),IF(O321&gt;0,O321,1E+99),IF(Q321&gt;0,Q321,1E+99),IF(S321&gt;0,S321,1E+99),IF(U321&gt;0,U321,1E+99),IF(W321&gt;0,W321,1E+99),IF(Y321&gt;0,Y321,1E+99),IF(AA321&gt;0,AA321,1E+99),IF(AC321&gt;0,AC321,1E+99),IF(AE321&gt;0,AE321,1E+99),IF(AG321&gt;0,AG321,1E+99),IF(AI321&gt;0,AI321,1E+99),IF(AK321&gt;0,AK321,1E+99),IF(AM321&gt;0,AM321,1E+99),IF(AO321&gt;0,AO321,1E+99),IF(AQ321&gt;0,AQ321,1E+99),IF(AS321&gt;0,AS321,1E+99),IF(AU321&gt;0,AU321,1E+99),IF(AW321&gt;0,AW321,1E+99),IF(AY321&gt;0,AY321,1E+99),IF(BA321&gt;0,BA321,1E+99)),IF(m=1E+99,"",m))</x:f>
        <x:v>0.637</x:v>
      </x:c>
      <x:c r="BE321" s="16" t="e">
        <x:f>IF(BD321="","",INDEX({"v1.4.20","v1.4.20","v1.4.21","v1.4.21","v1.4.23","v1.4.23","v1.4.26","v1.4.26","v1.4.26.1","v1.4.26.1","v1.4.27","v1.4.27","v1.4.29","v1.4.29","v1.4.30","v1.4.30","v1.4.31","v1.4.31","v1.4.33","v1.4.33","v1.4.35","v1.4.35.2","v1.5","v1.5.1","v1.5.1"},MATCH(BD321,CHOOSE({1,2,3,4,5,6,7,8,9,10,11,12,13,14,15,16,17,18,19,20,21,22,23,24,25},E321,G321,I321,K321,M321,O321,Q321,S321,U321,W321,Y321,AA321,AC321,AE321,AG321,AI321,AK321,AM321,AO321,AQ321,AS321,AU321,AW321,AY321,BA321),0)))</x:f>
      </x:c>
      <x:c r="BF321" s="10" t="n">
        <x:f>IFERROR((AX321-BB321)/BB321,"")</x:f>
        <x:v>0.5612244897959183</x:v>
      </x:c>
      <x:c r="BG321" s="10" t="n">
        <x:f>IFERROR((AY321-BD321)/BD321,"")</x:f>
        <x:v>0.5384615384615384</x:v>
      </x:c>
    </x:row>
    <x:row r="322">
      <x:c r="A322" t="str">
        <x:v>Monthly Change</x:v>
      </x:c>
      <x:c r="B322" t="str">
        <x:v>Framework Test 6 - Date Formatting</x:v>
      </x:c>
      <x:c r="C322" t="str">
        <x:v>Checked date formats: Template - Monthly Change</x:v>
      </x:c>
      <x:c r="D322" s="8" t="n">
        <x:v>0.136</x:v>
      </x:c>
      <x:c r="E322" s="8" t="n">
        <x:v>3.144</x:v>
      </x:c>
      <x:c r="F322" s="8"/>
      <x:c r="G322" s="8"/>
      <x:c r="H322" s="8" t="n">
        <x:v>0.189</x:v>
      </x:c>
      <x:c r="I322" s="8" t="n">
        <x:v>1.231</x:v>
      </x:c>
      <x:c r="J322" s="8" t="n">
        <x:v>0.189</x:v>
      </x:c>
      <x:c r="K322" s="8" t="n">
        <x:v>1.231</x:v>
      </x:c>
      <x:c r="L322" s="8" t="n">
        <x:v>0.167</x:v>
      </x:c>
      <x:c r="M322" s="8" t="n">
        <x:v>1.065</x:v>
      </x:c>
      <x:c r="N322" s="8" t="n">
        <x:v>0.167</x:v>
      </x:c>
      <x:c r="O322" s="8" t="n">
        <x:v>1.065</x:v>
      </x:c>
      <x:c r="P322" s="8" t="n">
        <x:v>0.132</x:v>
      </x:c>
      <x:c r="Q322" s="8" t="n">
        <x:v>1.066</x:v>
      </x:c>
      <x:c r="R322" s="8" t="n">
        <x:v>0.132</x:v>
      </x:c>
      <x:c r="S322" s="8" t="n">
        <x:v>1.066</x:v>
      </x:c>
      <x:c r="T322" s="8" t="n">
        <x:v>0.162</x:v>
      </x:c>
      <x:c r="U322" s="8" t="n">
        <x:v>2.409</x:v>
      </x:c>
      <x:c r="V322" s="8" t="n">
        <x:v>0.162</x:v>
      </x:c>
      <x:c r="W322" s="8" t="n">
        <x:v>2.409</x:v>
      </x:c>
      <x:c r="X322" s="8" t="n">
        <x:v>0.166</x:v>
      </x:c>
      <x:c r="Y322" s="8" t="n">
        <x:v>1.595</x:v>
      </x:c>
      <x:c r="Z322" s="8" t="n">
        <x:v>0.166</x:v>
      </x:c>
      <x:c r="AA322" s="8" t="n">
        <x:v>1.595</x:v>
      </x:c>
      <x:c r="AB322" s="8" t="n">
        <x:v>0.175</x:v>
      </x:c>
      <x:c r="AC322" s="8" t="n">
        <x:v>1.255</x:v>
      </x:c>
      <x:c r="AD322" s="8" t="n">
        <x:v>0.175</x:v>
      </x:c>
      <x:c r="AE322" s="8" t="n">
        <x:v>1.255</x:v>
      </x:c>
      <x:c r="AF322" s="8" t="n">
        <x:v>0.133</x:v>
      </x:c>
      <x:c r="AG322" s="8" t="n">
        <x:v>0.952</x:v>
      </x:c>
      <x:c r="AH322" s="8" t="n">
        <x:v>0.133</x:v>
      </x:c>
      <x:c r="AI322" s="8" t="n">
        <x:v>0.952</x:v>
      </x:c>
      <x:c r="AJ322" s="8"/>
      <x:c r="AK322" s="8"/>
      <x:c r="AL322" s="8" t="n">
        <x:v>0.135</x:v>
      </x:c>
      <x:c r="AM322" s="8" t="n">
        <x:v>0.849</x:v>
      </x:c>
      <x:c r="AN322" s="8" t="n">
        <x:v>1.231</x:v>
      </x:c>
      <x:c r="AO322" s="8" t="n">
        <x:v>1.868</x:v>
      </x:c>
      <x:c r="AP322" s="8" t="n">
        <x:v>1.231</x:v>
      </x:c>
      <x:c r="AQ322" s="8" t="n">
        <x:v>1.868</x:v>
      </x:c>
      <x:c r="AR322" s="8" t="n">
        <x:v>0.179</x:v>
      </x:c>
      <x:c r="AS322" s="8" t="n">
        <x:v>1.55</x:v>
      </x:c>
      <x:c r="AT322" s="8" t="n">
        <x:v>0.144</x:v>
      </x:c>
      <x:c r="AU322" s="8" t="n">
        <x:v>0.85</x:v>
      </x:c>
      <x:c r="AV322" s="8" t="n">
        <x:v>0.199</x:v>
      </x:c>
      <x:c r="AW322" s="8" t="n">
        <x:v>1.306</x:v>
      </x:c>
      <x:c r="AX322" s="8" t="n">
        <x:v>0.152</x:v>
      </x:c>
      <x:c r="AY322" s="8" t="n">
        <x:v>1.132</x:v>
      </x:c>
      <x:c r="AZ322" s="8" t="n">
        <x:v>0.152</x:v>
      </x:c>
      <x:c r="BA322" s="8" t="n">
        <x:v>1.132</x:v>
      </x:c>
      <x:c r="BB322" s="8" t="n">
        <x:f>LET(m,MIN(IF(D322&gt;0,D322,1E+99),IF(F322&gt;0,F322,1E+99),IF(H322&gt;0,H322,1E+99),IF(J322&gt;0,J322,1E+99),IF(L322&gt;0,L322,1E+99),IF(N322&gt;0,N322,1E+99),IF(P322&gt;0,P322,1E+99),IF(R322&gt;0,R322,1E+99),IF(T322&gt;0,T322,1E+99),IF(V322&gt;0,V322,1E+99),IF(X322&gt;0,X322,1E+99),IF(Z322&gt;0,Z322,1E+99),IF(AB322&gt;0,AB322,1E+99),IF(AD322&gt;0,AD322,1E+99),IF(AF322&gt;0,AF322,1E+99),IF(AH322&gt;0,AH322,1E+99),IF(AJ322&gt;0,AJ322,1E+99),IF(AL322&gt;0,AL322,1E+99),IF(AN322&gt;0,AN322,1E+99),IF(AP322&gt;0,AP322,1E+99),IF(AR322&gt;0,AR322,1E+99),IF(AT322&gt;0,AT322,1E+99),IF(AV322&gt;0,AV322,1E+99),IF(AX322&gt;0,AX322,1E+99),IF(AZ322&gt;0,AZ322,1E+99)),IF(m=1E+99,"",m))</x:f>
        <x:v>0.132</x:v>
      </x:c>
      <x:c r="BC322" s="12" t="e">
        <x:f>IF(BB322="","",INDEX({"v1.4.20","v1.4.20","v1.4.21","v1.4.21","v1.4.23","v1.4.23","v1.4.26","v1.4.26","v1.4.26.1","v1.4.26.1","v1.4.27","v1.4.27","v1.4.29","v1.4.29","v1.4.30","v1.4.30","v1.4.31","v1.4.31","v1.4.33","v1.4.33","v1.4.35","v1.4.35.2","v1.5","v1.5.1","v1.5.1"},MATCH(BB322,CHOOSE({1,2,3,4,5,6,7,8,9,10,11,12,13,14,15,16,17,18,19,20,21,22,23,24,25},D322,F322,H322,J322,L322,N322,P322,R322,T322,V322,X322,Z322,AB322,AD322,AF322,AH322,AJ322,AL322,AN322,AP322,AR322,AT322,AV322,AX322,AZ322),0)))</x:f>
      </x:c>
      <x:c r="BD322" s="14" t="n">
        <x:f>LET(m,MIN(IF(E322&gt;0,E322,1E+99),IF(G322&gt;0,G322,1E+99),IF(I322&gt;0,I322,1E+99),IF(K322&gt;0,K322,1E+99),IF(M322&gt;0,M322,1E+99),IF(O322&gt;0,O322,1E+99),IF(Q322&gt;0,Q322,1E+99),IF(S322&gt;0,S322,1E+99),IF(U322&gt;0,U322,1E+99),IF(W322&gt;0,W322,1E+99),IF(Y322&gt;0,Y322,1E+99),IF(AA322&gt;0,AA322,1E+99),IF(AC322&gt;0,AC322,1E+99),IF(AE322&gt;0,AE322,1E+99),IF(AG322&gt;0,AG322,1E+99),IF(AI322&gt;0,AI322,1E+99),IF(AK322&gt;0,AK322,1E+99),IF(AM322&gt;0,AM322,1E+99),IF(AO322&gt;0,AO322,1E+99),IF(AQ322&gt;0,AQ322,1E+99),IF(AS322&gt;0,AS322,1E+99),IF(AU322&gt;0,AU322,1E+99),IF(AW322&gt;0,AW322,1E+99),IF(AY322&gt;0,AY322,1E+99),IF(BA322&gt;0,BA322,1E+99)),IF(m=1E+99,"",m))</x:f>
        <x:v>0.849</x:v>
      </x:c>
      <x:c r="BE322" s="16" t="e">
        <x:f>IF(BD322="","",INDEX({"v1.4.20","v1.4.20","v1.4.21","v1.4.21","v1.4.23","v1.4.23","v1.4.26","v1.4.26","v1.4.26.1","v1.4.26.1","v1.4.27","v1.4.27","v1.4.29","v1.4.29","v1.4.30","v1.4.30","v1.4.31","v1.4.31","v1.4.33","v1.4.33","v1.4.35","v1.4.35.2","v1.5","v1.5.1","v1.5.1"},MATCH(BD322,CHOOSE({1,2,3,4,5,6,7,8,9,10,11,12,13,14,15,16,17,18,19,20,21,22,23,24,25},E322,G322,I322,K322,M322,O322,Q322,S322,U322,W322,Y322,AA322,AC322,AE322,AG322,AI322,AK322,AM322,AO322,AQ322,AS322,AU322,AW322,AY322,BA322),0)))</x:f>
      </x:c>
      <x:c r="BF322" s="10" t="n">
        <x:f>IFERROR((AX322-BB322)/BB322,"")</x:f>
        <x:v>0.15151515151515144</x:v>
      </x:c>
      <x:c r="BG322" s="10" t="n">
        <x:f>IFERROR((AY322-BD322)/BD322,"")</x:f>
        <x:v>0.33333333333333326</x:v>
      </x:c>
    </x:row>
    <x:row r="323">
      <x:c r="A323" t="str">
        <x:v>Disenrolled Exclusion</x:v>
      </x:c>
      <x:c r="B323" t="str">
        <x:v>Framework Test 6 - Date Formatting</x:v>
      </x:c>
      <x:c r="C323" t="str">
        <x:v>Checked date formats: Template - Disenrolled Exclusion</x:v>
      </x:c>
      <x:c r="D323" s="8" t="n">
        <x:v>0.109</x:v>
      </x:c>
      <x:c r="E323" s="8" t="n">
        <x:v>3.253</x:v>
      </x:c>
      <x:c r="F323" s="8"/>
      <x:c r="G323" s="8"/>
      <x:c r="H323" s="8" t="n">
        <x:v>0.425</x:v>
      </x:c>
      <x:c r="I323" s="8" t="n">
        <x:v>1.656</x:v>
      </x:c>
      <x:c r="J323" s="8" t="n">
        <x:v>0.425</x:v>
      </x:c>
      <x:c r="K323" s="8" t="n">
        <x:v>1.656</x:v>
      </x:c>
      <x:c r="L323" s="8" t="n">
        <x:v>0.116</x:v>
      </x:c>
      <x:c r="M323" s="8" t="n">
        <x:v>1.181</x:v>
      </x:c>
      <x:c r="N323" s="8" t="n">
        <x:v>0.116</x:v>
      </x:c>
      <x:c r="O323" s="8" t="n">
        <x:v>1.181</x:v>
      </x:c>
      <x:c r="P323" s="8" t="n">
        <x:v>0.077</x:v>
      </x:c>
      <x:c r="Q323" s="8" t="n">
        <x:v>1.143</x:v>
      </x:c>
      <x:c r="R323" s="8" t="n">
        <x:v>0.077</x:v>
      </x:c>
      <x:c r="S323" s="8" t="n">
        <x:v>1.143</x:v>
      </x:c>
      <x:c r="T323" s="8" t="n">
        <x:v>0.153</x:v>
      </x:c>
      <x:c r="U323" s="8" t="n">
        <x:v>2.562</x:v>
      </x:c>
      <x:c r="V323" s="8" t="n">
        <x:v>0.153</x:v>
      </x:c>
      <x:c r="W323" s="8" t="n">
        <x:v>2.562</x:v>
      </x:c>
      <x:c r="X323" s="8" t="n">
        <x:v>0.092</x:v>
      </x:c>
      <x:c r="Y323" s="8" t="n">
        <x:v>1.687</x:v>
      </x:c>
      <x:c r="Z323" s="8" t="n">
        <x:v>0.092</x:v>
      </x:c>
      <x:c r="AA323" s="8" t="n">
        <x:v>1.687</x:v>
      </x:c>
      <x:c r="AB323" s="8" t="n">
        <x:v>0.139</x:v>
      </x:c>
      <x:c r="AC323" s="8" t="n">
        <x:v>1.394</x:v>
      </x:c>
      <x:c r="AD323" s="8" t="n">
        <x:v>0.139</x:v>
      </x:c>
      <x:c r="AE323" s="8" t="n">
        <x:v>1.394</x:v>
      </x:c>
      <x:c r="AF323" s="8" t="n">
        <x:v>0.559</x:v>
      </x:c>
      <x:c r="AG323" s="8" t="n">
        <x:v>1.511</x:v>
      </x:c>
      <x:c r="AH323" s="8" t="n">
        <x:v>0.559</x:v>
      </x:c>
      <x:c r="AI323" s="8" t="n">
        <x:v>1.511</x:v>
      </x:c>
      <x:c r="AJ323" s="8"/>
      <x:c r="AK323" s="8"/>
      <x:c r="AL323" s="8" t="n">
        <x:v>0.092</x:v>
      </x:c>
      <x:c r="AM323" s="8" t="n">
        <x:v>0.941</x:v>
      </x:c>
      <x:c r="AN323" s="8" t="n">
        <x:v>0.095</x:v>
      </x:c>
      <x:c r="AO323" s="8" t="n">
        <x:v>1.963</x:v>
      </x:c>
      <x:c r="AP323" s="8" t="n">
        <x:v>0.095</x:v>
      </x:c>
      <x:c r="AQ323" s="8" t="n">
        <x:v>1.963</x:v>
      </x:c>
      <x:c r="AR323" s="8" t="n">
        <x:v>0.167</x:v>
      </x:c>
      <x:c r="AS323" s="8" t="n">
        <x:v>1.717</x:v>
      </x:c>
      <x:c r="AT323" s="8" t="n">
        <x:v>0.096</x:v>
      </x:c>
      <x:c r="AU323" s="8" t="n">
        <x:v>0.946</x:v>
      </x:c>
      <x:c r="AV323" s="8" t="n">
        <x:v>0.131</x:v>
      </x:c>
      <x:c r="AW323" s="8" t="n">
        <x:v>1.437</x:v>
      </x:c>
      <x:c r="AX323" s="8" t="n">
        <x:v>0.139</x:v>
      </x:c>
      <x:c r="AY323" s="8" t="n">
        <x:v>1.271</x:v>
      </x:c>
      <x:c r="AZ323" s="8" t="n">
        <x:v>0.139</x:v>
      </x:c>
      <x:c r="BA323" s="8" t="n">
        <x:v>1.271</x:v>
      </x:c>
      <x:c r="BB323" s="8" t="n">
        <x:f>LET(m,MIN(IF(D323&gt;0,D323,1E+99),IF(F323&gt;0,F323,1E+99),IF(H323&gt;0,H323,1E+99),IF(J323&gt;0,J323,1E+99),IF(L323&gt;0,L323,1E+99),IF(N323&gt;0,N323,1E+99),IF(P323&gt;0,P323,1E+99),IF(R323&gt;0,R323,1E+99),IF(T323&gt;0,T323,1E+99),IF(V323&gt;0,V323,1E+99),IF(X323&gt;0,X323,1E+99),IF(Z323&gt;0,Z323,1E+99),IF(AB323&gt;0,AB323,1E+99),IF(AD323&gt;0,AD323,1E+99),IF(AF323&gt;0,AF323,1E+99),IF(AH323&gt;0,AH323,1E+99),IF(AJ323&gt;0,AJ323,1E+99),IF(AL323&gt;0,AL323,1E+99),IF(AN323&gt;0,AN323,1E+99),IF(AP323&gt;0,AP323,1E+99),IF(AR323&gt;0,AR323,1E+99),IF(AT323&gt;0,AT323,1E+99),IF(AV323&gt;0,AV323,1E+99),IF(AX323&gt;0,AX323,1E+99),IF(AZ323&gt;0,AZ323,1E+99)),IF(m=1E+99,"",m))</x:f>
        <x:v>0.077</x:v>
      </x:c>
      <x:c r="BC323" s="12" t="e">
        <x:f>IF(BB323="","",INDEX({"v1.4.20","v1.4.20","v1.4.21","v1.4.21","v1.4.23","v1.4.23","v1.4.26","v1.4.26","v1.4.26.1","v1.4.26.1","v1.4.27","v1.4.27","v1.4.29","v1.4.29","v1.4.30","v1.4.30","v1.4.31","v1.4.31","v1.4.33","v1.4.33","v1.4.35","v1.4.35.2","v1.5","v1.5.1","v1.5.1"},MATCH(BB323,CHOOSE({1,2,3,4,5,6,7,8,9,10,11,12,13,14,15,16,17,18,19,20,21,22,23,24,25},D323,F323,H323,J323,L323,N323,P323,R323,T323,V323,X323,Z323,AB323,AD323,AF323,AH323,AJ323,AL323,AN323,AP323,AR323,AT323,AV323,AX323,AZ323),0)))</x:f>
      </x:c>
      <x:c r="BD323" s="14" t="n">
        <x:f>LET(m,MIN(IF(E323&gt;0,E323,1E+99),IF(G323&gt;0,G323,1E+99),IF(I323&gt;0,I323,1E+99),IF(K323&gt;0,K323,1E+99),IF(M323&gt;0,M323,1E+99),IF(O323&gt;0,O323,1E+99),IF(Q323&gt;0,Q323,1E+99),IF(S323&gt;0,S323,1E+99),IF(U323&gt;0,U323,1E+99),IF(W323&gt;0,W323,1E+99),IF(Y323&gt;0,Y323,1E+99),IF(AA323&gt;0,AA323,1E+99),IF(AC323&gt;0,AC323,1E+99),IF(AE323&gt;0,AE323,1E+99),IF(AG323&gt;0,AG323,1E+99),IF(AI323&gt;0,AI323,1E+99),IF(AK323&gt;0,AK323,1E+99),IF(AM323&gt;0,AM323,1E+99),IF(AO323&gt;0,AO323,1E+99),IF(AQ323&gt;0,AQ323,1E+99),IF(AS323&gt;0,AS323,1E+99),IF(AU323&gt;0,AU323,1E+99),IF(AW323&gt;0,AW323,1E+99),IF(AY323&gt;0,AY323,1E+99),IF(BA323&gt;0,BA323,1E+99)),IF(m=1E+99,"",m))</x:f>
        <x:v>0.941</x:v>
      </x:c>
      <x:c r="BE323" s="16" t="e">
        <x:f>IF(BD323="","",INDEX({"v1.4.20","v1.4.20","v1.4.21","v1.4.21","v1.4.23","v1.4.23","v1.4.26","v1.4.26","v1.4.26.1","v1.4.26.1","v1.4.27","v1.4.27","v1.4.29","v1.4.29","v1.4.30","v1.4.30","v1.4.31","v1.4.31","v1.4.33","v1.4.33","v1.4.35","v1.4.35.2","v1.5","v1.5.1","v1.5.1"},MATCH(BD323,CHOOSE({1,2,3,4,5,6,7,8,9,10,11,12,13,14,15,16,17,18,19,20,21,22,23,24,25},E323,G323,I323,K323,M323,O323,Q323,S323,U323,W323,Y323,AA323,AC323,AE323,AG323,AI323,AK323,AM323,AO323,AQ323,AS323,AU323,AW323,AY323,BA323),0)))</x:f>
      </x:c>
      <x:c r="BF323" s="10" t="n">
        <x:f>IFERROR((AX323-BB323)/BB323,"")</x:f>
        <x:v>0.8051948051948054</x:v>
      </x:c>
      <x:c r="BG323" s="10" t="n">
        <x:f>IFERROR((AY323-BD323)/BD323,"")</x:f>
        <x:v>0.3506907545164718</x:v>
      </x:c>
    </x:row>
    <x:row r="324">
      <x:c r="A324" t="str">
        <x:v>Master List Change Log</x:v>
      </x:c>
      <x:c r="B324" t="str">
        <x:v>Framework Test 6 - Date Formatting</x:v>
      </x:c>
      <x:c r="C324" t="str">
        <x:v>Checked date formats: Template - Master List Change Log</x:v>
      </x:c>
      <x:c r="D324" s="8" t="n">
        <x:v>0.119</x:v>
      </x:c>
      <x:c r="E324" s="8" t="n">
        <x:v>3.372</x:v>
      </x:c>
      <x:c r="F324" s="8"/>
      <x:c r="G324" s="8"/>
      <x:c r="H324" s="8" t="n">
        <x:v>0.098</x:v>
      </x:c>
      <x:c r="I324" s="8" t="n">
        <x:v>1.754</x:v>
      </x:c>
      <x:c r="J324" s="8" t="n">
        <x:v>0.098</x:v>
      </x:c>
      <x:c r="K324" s="8" t="n">
        <x:v>1.754</x:v>
      </x:c>
      <x:c r="L324" s="8" t="n">
        <x:v>0.101</x:v>
      </x:c>
      <x:c r="M324" s="8" t="n">
        <x:v>1.282</x:v>
      </x:c>
      <x:c r="N324" s="8" t="n">
        <x:v>0.101</x:v>
      </x:c>
      <x:c r="O324" s="8" t="n">
        <x:v>1.282</x:v>
      </x:c>
      <x:c r="P324" s="8" t="n">
        <x:v>0.066</x:v>
      </x:c>
      <x:c r="Q324" s="8" t="n">
        <x:v>1.209</x:v>
      </x:c>
      <x:c r="R324" s="8" t="n">
        <x:v>0.066</x:v>
      </x:c>
      <x:c r="S324" s="8" t="n">
        <x:v>1.209</x:v>
      </x:c>
      <x:c r="T324" s="8" t="n">
        <x:v>0.107</x:v>
      </x:c>
      <x:c r="U324" s="8" t="n">
        <x:v>2.669</x:v>
      </x:c>
      <x:c r="V324" s="8" t="n">
        <x:v>0.107</x:v>
      </x:c>
      <x:c r="W324" s="8" t="n">
        <x:v>2.669</x:v>
      </x:c>
      <x:c r="X324" s="8" t="n">
        <x:v>0.093</x:v>
      </x:c>
      <x:c r="Y324" s="8" t="n">
        <x:v>1.78</x:v>
      </x:c>
      <x:c r="Z324" s="8" t="n">
        <x:v>0.093</x:v>
      </x:c>
      <x:c r="AA324" s="8" t="n">
        <x:v>1.78</x:v>
      </x:c>
      <x:c r="AB324" s="8" t="n">
        <x:v>0.114</x:v>
      </x:c>
      <x:c r="AC324" s="8" t="n">
        <x:v>1.508</x:v>
      </x:c>
      <x:c r="AD324" s="8" t="n">
        <x:v>0.114</x:v>
      </x:c>
      <x:c r="AE324" s="8" t="n">
        <x:v>1.508</x:v>
      </x:c>
      <x:c r="AF324" s="8" t="n">
        <x:v>0.069</x:v>
      </x:c>
      <x:c r="AG324" s="8" t="n">
        <x:v>1.58</x:v>
      </x:c>
      <x:c r="AH324" s="8" t="n">
        <x:v>0.069</x:v>
      </x:c>
      <x:c r="AI324" s="8" t="n">
        <x:v>1.58</x:v>
      </x:c>
      <x:c r="AJ324" s="8"/>
      <x:c r="AK324" s="8"/>
      <x:c r="AL324" s="8" t="n">
        <x:v>0.074</x:v>
      </x:c>
      <x:c r="AM324" s="8" t="n">
        <x:v>1.015</x:v>
      </x:c>
      <x:c r="AN324" s="8" t="n">
        <x:v>0.065</x:v>
      </x:c>
      <x:c r="AO324" s="8" t="n">
        <x:v>2.028</x:v>
      </x:c>
      <x:c r="AP324" s="8" t="n">
        <x:v>0.065</x:v>
      </x:c>
      <x:c r="AQ324" s="8" t="n">
        <x:v>2.028</x:v>
      </x:c>
      <x:c r="AR324" s="8" t="n">
        <x:v>0.507</x:v>
      </x:c>
      <x:c r="AS324" s="8" t="n">
        <x:v>2.224</x:v>
      </x:c>
      <x:c r="AT324" s="8" t="n">
        <x:v>0.08</x:v>
      </x:c>
      <x:c r="AU324" s="8" t="n">
        <x:v>1.026</x:v>
      </x:c>
      <x:c r="AV324" s="8" t="n">
        <x:v>0.106</x:v>
      </x:c>
      <x:c r="AW324" s="8" t="n">
        <x:v>1.543</x:v>
      </x:c>
      <x:c r="AX324" s="8" t="n">
        <x:v>0.098</x:v>
      </x:c>
      <x:c r="AY324" s="8" t="n">
        <x:v>1.369</x:v>
      </x:c>
      <x:c r="AZ324" s="8" t="n">
        <x:v>0.098</x:v>
      </x:c>
      <x:c r="BA324" s="8" t="n">
        <x:v>1.369</x:v>
      </x:c>
      <x:c r="BB324" s="8" t="n">
        <x:f>LET(m,MIN(IF(D324&gt;0,D324,1E+99),IF(F324&gt;0,F324,1E+99),IF(H324&gt;0,H324,1E+99),IF(J324&gt;0,J324,1E+99),IF(L324&gt;0,L324,1E+99),IF(N324&gt;0,N324,1E+99),IF(P324&gt;0,P324,1E+99),IF(R324&gt;0,R324,1E+99),IF(T324&gt;0,T324,1E+99),IF(V324&gt;0,V324,1E+99),IF(X324&gt;0,X324,1E+99),IF(Z324&gt;0,Z324,1E+99),IF(AB324&gt;0,AB324,1E+99),IF(AD324&gt;0,AD324,1E+99),IF(AF324&gt;0,AF324,1E+99),IF(AH324&gt;0,AH324,1E+99),IF(AJ324&gt;0,AJ324,1E+99),IF(AL324&gt;0,AL324,1E+99),IF(AN324&gt;0,AN324,1E+99),IF(AP324&gt;0,AP324,1E+99),IF(AR324&gt;0,AR324,1E+99),IF(AT324&gt;0,AT324,1E+99),IF(AV324&gt;0,AV324,1E+99),IF(AX324&gt;0,AX324,1E+99),IF(AZ324&gt;0,AZ324,1E+99)),IF(m=1E+99,"",m))</x:f>
        <x:v>0.065</x:v>
      </x:c>
      <x:c r="BC324" s="12" t="e">
        <x:f>IF(BB324="","",INDEX({"v1.4.20","v1.4.20","v1.4.21","v1.4.21","v1.4.23","v1.4.23","v1.4.26","v1.4.26","v1.4.26.1","v1.4.26.1","v1.4.27","v1.4.27","v1.4.29","v1.4.29","v1.4.30","v1.4.30","v1.4.31","v1.4.31","v1.4.33","v1.4.33","v1.4.35","v1.4.35.2","v1.5","v1.5.1","v1.5.1"},MATCH(BB324,CHOOSE({1,2,3,4,5,6,7,8,9,10,11,12,13,14,15,16,17,18,19,20,21,22,23,24,25},D324,F324,H324,J324,L324,N324,P324,R324,T324,V324,X324,Z324,AB324,AD324,AF324,AH324,AJ324,AL324,AN324,AP324,AR324,AT324,AV324,AX324,AZ324),0)))</x:f>
      </x:c>
      <x:c r="BD324" s="14" t="n">
        <x:f>LET(m,MIN(IF(E324&gt;0,E324,1E+99),IF(G324&gt;0,G324,1E+99),IF(I324&gt;0,I324,1E+99),IF(K324&gt;0,K324,1E+99),IF(M324&gt;0,M324,1E+99),IF(O324&gt;0,O324,1E+99),IF(Q324&gt;0,Q324,1E+99),IF(S324&gt;0,S324,1E+99),IF(U324&gt;0,U324,1E+99),IF(W324&gt;0,W324,1E+99),IF(Y324&gt;0,Y324,1E+99),IF(AA324&gt;0,AA324,1E+99),IF(AC324&gt;0,AC324,1E+99),IF(AE324&gt;0,AE324,1E+99),IF(AG324&gt;0,AG324,1E+99),IF(AI324&gt;0,AI324,1E+99),IF(AK324&gt;0,AK324,1E+99),IF(AM324&gt;0,AM324,1E+99),IF(AO324&gt;0,AO324,1E+99),IF(AQ324&gt;0,AQ324,1E+99),IF(AS324&gt;0,AS324,1E+99),IF(AU324&gt;0,AU324,1E+99),IF(AW324&gt;0,AW324,1E+99),IF(AY324&gt;0,AY324,1E+99),IF(BA324&gt;0,BA324,1E+99)),IF(m=1E+99,"",m))</x:f>
        <x:v>1.015</x:v>
      </x:c>
      <x:c r="BE324" s="16" t="e">
        <x:f>IF(BD324="","",INDEX({"v1.4.20","v1.4.20","v1.4.21","v1.4.21","v1.4.23","v1.4.23","v1.4.26","v1.4.26","v1.4.26.1","v1.4.26.1","v1.4.27","v1.4.27","v1.4.29","v1.4.29","v1.4.30","v1.4.30","v1.4.31","v1.4.31","v1.4.33","v1.4.33","v1.4.35","v1.4.35.2","v1.5","v1.5.1","v1.5.1"},MATCH(BD324,CHOOSE({1,2,3,4,5,6,7,8,9,10,11,12,13,14,15,16,17,18,19,20,21,22,23,24,25},E324,G324,I324,K324,M324,O324,Q324,S324,U324,W324,Y324,AA324,AC324,AE324,AG324,AI324,AK324,AM324,AO324,AQ324,AS324,AU324,AW324,AY324,BA324),0)))</x:f>
      </x:c>
      <x:c r="BF324" s="10" t="n">
        <x:f>IFERROR((AX324-BB324)/BB324,"")</x:f>
        <x:v>0.5076923076923077</x:v>
      </x:c>
      <x:c r="BG324" s="10" t="n">
        <x:f>IFERROR((AY324-BD324)/BD324,"")</x:f>
        <x:v>0.34876847290640406</x:v>
      </x:c>
    </x:row>
    <x:row r="325">
      <x:c r="A325" t="str"/>
      <x:c r="B325" t="str">
        <x:v>Framework Test 7 - Intentional Validation Failure</x:v>
      </x:c>
      <x:c r="C325" t="str">
        <x:v>Start</x:v>
      </x:c>
      <x:c r="D325" s="8" t="n">
        <x:v>0</x:v>
      </x:c>
      <x:c r="E325" s="8" t="n">
        <x:v>0</x:v>
      </x:c>
      <x:c r="F325" s="8"/>
      <x:c r="G325" s="8"/>
      <x:c r="H325" s="8" t="n">
        <x:v>0</x:v>
      </x:c>
      <x:c r="I325" s="8" t="n">
        <x:v>0</x:v>
      </x:c>
      <x:c r="J325" s="8" t="n">
        <x:v>0</x:v>
      </x:c>
      <x:c r="K325" s="8" t="n">
        <x:v>0</x:v>
      </x:c>
      <x:c r="L325" s="8" t="n">
        <x:v>0</x:v>
      </x:c>
      <x:c r="M325" s="8" t="n">
        <x:v>0</x:v>
      </x:c>
      <x:c r="N325" s="8" t="n">
        <x:v>0</x:v>
      </x:c>
      <x:c r="O325" s="8" t="n">
        <x:v>0</x:v>
      </x:c>
      <x:c r="P325" s="8" t="n">
        <x:v>0</x:v>
      </x:c>
      <x:c r="Q325" s="8" t="n">
        <x:v>0</x:v>
      </x:c>
      <x:c r="R325" s="8" t="n">
        <x:v>0</x:v>
      </x:c>
      <x:c r="S325" s="8" t="n">
        <x:v>0</x:v>
      </x:c>
      <x:c r="T325" s="8" t="n">
        <x:v>0</x:v>
      </x:c>
      <x:c r="U325" s="8" t="n">
        <x:v>0</x:v>
      </x:c>
      <x:c r="V325" s="8" t="n">
        <x:v>0</x:v>
      </x:c>
      <x:c r="W325" s="8" t="n">
        <x:v>0</x:v>
      </x:c>
      <x:c r="X325" s="8" t="n">
        <x:v>0</x:v>
      </x:c>
      <x:c r="Y325" s="8" t="n">
        <x:v>0</x:v>
      </x:c>
      <x:c r="Z325" s="8" t="n">
        <x:v>0</x:v>
      </x:c>
      <x:c r="AA325" s="8" t="n">
        <x:v>0</x:v>
      </x:c>
      <x:c r="AB325" s="8" t="n">
        <x:v>0</x:v>
      </x:c>
      <x:c r="AC325" s="8" t="n">
        <x:v>0</x:v>
      </x:c>
      <x:c r="AD325" s="8" t="n">
        <x:v>0</x:v>
      </x:c>
      <x:c r="AE325" s="8" t="n">
        <x:v>0</x:v>
      </x:c>
      <x:c r="AF325" s="8" t="n">
        <x:v>0</x:v>
      </x:c>
      <x:c r="AG325" s="8" t="n">
        <x:v>0</x:v>
      </x:c>
      <x:c r="AH325" s="8" t="n">
        <x:v>0</x:v>
      </x:c>
      <x:c r="AI325" s="8" t="n">
        <x:v>0</x:v>
      </x:c>
      <x:c r="AJ325" s="8"/>
      <x:c r="AK325" s="8"/>
      <x:c r="AL325" s="8" t="n">
        <x:v>0</x:v>
      </x:c>
      <x:c r="AM325" s="8" t="n">
        <x:v>0</x:v>
      </x:c>
      <x:c r="AN325" s="8" t="n">
        <x:v>0</x:v>
      </x:c>
      <x:c r="AO325" s="8" t="n">
        <x:v>0</x:v>
      </x:c>
      <x:c r="AP325" s="8" t="n">
        <x:v>0</x:v>
      </x:c>
      <x:c r="AQ325" s="8" t="n">
        <x:v>0</x:v>
      </x:c>
      <x:c r="AR325" s="8" t="n">
        <x:v>0</x:v>
      </x:c>
      <x:c r="AS325" s="8" t="n">
        <x:v>0</x:v>
      </x:c>
      <x:c r="AT325" s="8" t="n">
        <x:v>0</x:v>
      </x:c>
      <x:c r="AU325" s="8" t="n">
        <x:v>0</x:v>
      </x:c>
      <x:c r="AV325" s="8" t="n">
        <x:v>0</x:v>
      </x:c>
      <x:c r="AW325" s="8" t="n">
        <x:v>0</x:v>
      </x:c>
      <x:c r="AX325" s="8" t="n">
        <x:v>0</x:v>
      </x:c>
      <x:c r="AY325" s="8" t="n">
        <x:v>0</x:v>
      </x:c>
      <x:c r="AZ325" s="8" t="n">
        <x:v>0</x:v>
      </x:c>
      <x:c r="BA325" s="8" t="n">
        <x:v>0</x:v>
      </x:c>
      <x:c r="BB325" s="8" t="str">
        <x:f>LET(m,MIN(IF(D325&gt;0,D325,1E+99),IF(F325&gt;0,F325,1E+99),IF(H325&gt;0,H325,1E+99),IF(J325&gt;0,J325,1E+99),IF(L325&gt;0,L325,1E+99),IF(N325&gt;0,N325,1E+99),IF(P325&gt;0,P325,1E+99),IF(R325&gt;0,R325,1E+99),IF(T325&gt;0,T325,1E+99),IF(V325&gt;0,V325,1E+99),IF(X325&gt;0,X325,1E+99),IF(Z325&gt;0,Z325,1E+99),IF(AB325&gt;0,AB325,1E+99),IF(AD325&gt;0,AD325,1E+99),IF(AF325&gt;0,AF325,1E+99),IF(AH325&gt;0,AH325,1E+99),IF(AJ325&gt;0,AJ325,1E+99),IF(AL325&gt;0,AL325,1E+99),IF(AN325&gt;0,AN325,1E+99),IF(AP325&gt;0,AP325,1E+99),IF(AR325&gt;0,AR325,1E+99),IF(AT325&gt;0,AT325,1E+99),IF(AV325&gt;0,AV325,1E+99),IF(AX325&gt;0,AX325,1E+99),IF(AZ325&gt;0,AZ325,1E+99)),IF(m=1E+99,"",m))</x:f>
      </x:c>
      <x:c r="BC325" s="12" t="str">
        <x:f>IF(BB325="","",INDEX({"v1.4.20","v1.4.20","v1.4.21","v1.4.21","v1.4.23","v1.4.23","v1.4.26","v1.4.26","v1.4.26.1","v1.4.26.1","v1.4.27","v1.4.27","v1.4.29","v1.4.29","v1.4.30","v1.4.30","v1.4.31","v1.4.31","v1.4.33","v1.4.33","v1.4.35","v1.4.35.2","v1.5","v1.5.1","v1.5.1"},MATCH(BB325,CHOOSE({1,2,3,4,5,6,7,8,9,10,11,12,13,14,15,16,17,18,19,20,21,22,23,24,25},D325,F325,H325,J325,L325,N325,P325,R325,T325,V325,X325,Z325,AB325,AD325,AF325,AH325,AJ325,AL325,AN325,AP325,AR325,AT325,AV325,AX325,AZ325),0)))</x:f>
      </x:c>
      <x:c r="BD325" s="14" t="str">
        <x:f>LET(m,MIN(IF(E325&gt;0,E325,1E+99),IF(G325&gt;0,G325,1E+99),IF(I325&gt;0,I325,1E+99),IF(K325&gt;0,K325,1E+99),IF(M325&gt;0,M325,1E+99),IF(O325&gt;0,O325,1E+99),IF(Q325&gt;0,Q325,1E+99),IF(S325&gt;0,S325,1E+99),IF(U325&gt;0,U325,1E+99),IF(W325&gt;0,W325,1E+99),IF(Y325&gt;0,Y325,1E+99),IF(AA325&gt;0,AA325,1E+99),IF(AC325&gt;0,AC325,1E+99),IF(AE325&gt;0,AE325,1E+99),IF(AG325&gt;0,AG325,1E+99),IF(AI325&gt;0,AI325,1E+99),IF(AK325&gt;0,AK325,1E+99),IF(AM325&gt;0,AM325,1E+99),IF(AO325&gt;0,AO325,1E+99),IF(AQ325&gt;0,AQ325,1E+99),IF(AS325&gt;0,AS325,1E+99),IF(AU325&gt;0,AU325,1E+99),IF(AW325&gt;0,AW325,1E+99),IF(AY325&gt;0,AY325,1E+99),IF(BA325&gt;0,BA325,1E+99)),IF(m=1E+99,"",m))</x:f>
      </x:c>
      <x:c r="BE325" s="16" t="str">
        <x:f>IF(BD325="","",INDEX({"v1.4.20","v1.4.20","v1.4.21","v1.4.21","v1.4.23","v1.4.23","v1.4.26","v1.4.26","v1.4.26.1","v1.4.26.1","v1.4.27","v1.4.27","v1.4.29","v1.4.29","v1.4.30","v1.4.30","v1.4.31","v1.4.31","v1.4.33","v1.4.33","v1.4.35","v1.4.35.2","v1.5","v1.5.1","v1.5.1"},MATCH(BD325,CHOOSE({1,2,3,4,5,6,7,8,9,10,11,12,13,14,15,16,17,18,19,20,21,22,23,24,25},E325,G325,I325,K325,M325,O325,Q325,S325,U325,W325,Y325,AA325,AC325,AE325,AG325,AI325,AK325,AM325,AO325,AQ325,AS325,AU325,AW325,AY325,BA325),0)))</x:f>
      </x:c>
      <x:c r="BF325" s="10" t="str">
        <x:f>IFERROR((AX325-BB325)/BB325,"")</x:f>
      </x:c>
      <x:c r="BG325" s="10" t="str">
        <x:f>IFERROR((AY325-BD325)/BD325,"")</x:f>
      </x:c>
    </x:row>
    <x:row r="326">
      <x:c r="A326" t="str"/>
      <x:c r="B326" t="str">
        <x:v>Framework Test 7 - Intentional Validation Failure</x:v>
      </x:c>
      <x:c r="C326" t="str">
        <x:v>Dashboard loaded</x:v>
      </x:c>
      <x:c r="D326" s="8" t="n">
        <x:v>1.777</x:v>
      </x:c>
      <x:c r="E326" s="8" t="n">
        <x:v>1.777</x:v>
      </x:c>
      <x:c r="F326" s="8"/>
      <x:c r="G326" s="8"/>
      <x:c r="H326" s="8" t="n">
        <x:v>0.326</x:v>
      </x:c>
      <x:c r="I326" s="8" t="n">
        <x:v>0.326</x:v>
      </x:c>
      <x:c r="J326" s="8" t="n">
        <x:v>0.326</x:v>
      </x:c>
      <x:c r="K326" s="8" t="n">
        <x:v>0.326</x:v>
      </x:c>
      <x:c r="L326" s="8" t="n">
        <x:v>0.221</x:v>
      </x:c>
      <x:c r="M326" s="8" t="n">
        <x:v>0.221</x:v>
      </x:c>
      <x:c r="N326" s="8" t="n">
        <x:v>0.221</x:v>
      </x:c>
      <x:c r="O326" s="8" t="n">
        <x:v>0.221</x:v>
      </x:c>
      <x:c r="P326" s="8" t="n">
        <x:v>0.396</x:v>
      </x:c>
      <x:c r="Q326" s="8" t="n">
        <x:v>0.396</x:v>
      </x:c>
      <x:c r="R326" s="8" t="n">
        <x:v>0.396</x:v>
      </x:c>
      <x:c r="S326" s="8" t="n">
        <x:v>0.396</x:v>
      </x:c>
      <x:c r="T326" s="8" t="n">
        <x:v>0.276</x:v>
      </x:c>
      <x:c r="U326" s="8" t="n">
        <x:v>0.276</x:v>
      </x:c>
      <x:c r="V326" s="8" t="n">
        <x:v>0.276</x:v>
      </x:c>
      <x:c r="W326" s="8" t="n">
        <x:v>0.276</x:v>
      </x:c>
      <x:c r="X326" s="8" t="n">
        <x:v>0.77</x:v>
      </x:c>
      <x:c r="Y326" s="8" t="n">
        <x:v>0.77</x:v>
      </x:c>
      <x:c r="Z326" s="8" t="n">
        <x:v>0.77</x:v>
      </x:c>
      <x:c r="AA326" s="8" t="n">
        <x:v>0.77</x:v>
      </x:c>
      <x:c r="AB326" s="8" t="n">
        <x:v>0.435</x:v>
      </x:c>
      <x:c r="AC326" s="8" t="n">
        <x:v>0.435</x:v>
      </x:c>
      <x:c r="AD326" s="8" t="n">
        <x:v>0.435</x:v>
      </x:c>
      <x:c r="AE326" s="8" t="n">
        <x:v>0.435</x:v>
      </x:c>
      <x:c r="AF326" s="8" t="n">
        <x:v>0.386</x:v>
      </x:c>
      <x:c r="AG326" s="8" t="n">
        <x:v>0.386</x:v>
      </x:c>
      <x:c r="AH326" s="8" t="n">
        <x:v>0.386</x:v>
      </x:c>
      <x:c r="AI326" s="8" t="n">
        <x:v>0.386</x:v>
      </x:c>
      <x:c r="AJ326" s="8"/>
      <x:c r="AK326" s="8"/>
      <x:c r="AL326" s="8" t="n">
        <x:v>0.223</x:v>
      </x:c>
      <x:c r="AM326" s="8" t="n">
        <x:v>0.223</x:v>
      </x:c>
      <x:c r="AN326" s="8" t="n">
        <x:v>0.18</x:v>
      </x:c>
      <x:c r="AO326" s="8" t="n">
        <x:v>0.18</x:v>
      </x:c>
      <x:c r="AP326" s="8" t="n">
        <x:v>0.18</x:v>
      </x:c>
      <x:c r="AQ326" s="8" t="n">
        <x:v>0.18</x:v>
      </x:c>
      <x:c r="AR326" s="8" t="n">
        <x:v>0.362</x:v>
      </x:c>
      <x:c r="AS326" s="8" t="n">
        <x:v>0.362</x:v>
      </x:c>
      <x:c r="AT326" s="8" t="n">
        <x:v>0.197</x:v>
      </x:c>
      <x:c r="AU326" s="8" t="n">
        <x:v>0.197</x:v>
      </x:c>
      <x:c r="AV326" s="8" t="n">
        <x:v>0.309</x:v>
      </x:c>
      <x:c r="AW326" s="8" t="n">
        <x:v>0.309</x:v>
      </x:c>
      <x:c r="AX326" s="8" t="n">
        <x:v>0.337</x:v>
      </x:c>
      <x:c r="AY326" s="8" t="n">
        <x:v>0.337</x:v>
      </x:c>
      <x:c r="AZ326" s="8" t="n">
        <x:v>0.337</x:v>
      </x:c>
      <x:c r="BA326" s="8" t="n">
        <x:v>0.337</x:v>
      </x:c>
      <x:c r="BB326" s="8" t="n">
        <x:f>LET(m,MIN(IF(D326&gt;0,D326,1E+99),IF(F326&gt;0,F326,1E+99),IF(H326&gt;0,H326,1E+99),IF(J326&gt;0,J326,1E+99),IF(L326&gt;0,L326,1E+99),IF(N326&gt;0,N326,1E+99),IF(P326&gt;0,P326,1E+99),IF(R326&gt;0,R326,1E+99),IF(T326&gt;0,T326,1E+99),IF(V326&gt;0,V326,1E+99),IF(X326&gt;0,X326,1E+99),IF(Z326&gt;0,Z326,1E+99),IF(AB326&gt;0,AB326,1E+99),IF(AD326&gt;0,AD326,1E+99),IF(AF326&gt;0,AF326,1E+99),IF(AH326&gt;0,AH326,1E+99),IF(AJ326&gt;0,AJ326,1E+99),IF(AL326&gt;0,AL326,1E+99),IF(AN326&gt;0,AN326,1E+99),IF(AP326&gt;0,AP326,1E+99),IF(AR326&gt;0,AR326,1E+99),IF(AT326&gt;0,AT326,1E+99),IF(AV326&gt;0,AV326,1E+99),IF(AX326&gt;0,AX326,1E+99),IF(AZ326&gt;0,AZ326,1E+99)),IF(m=1E+99,"",m))</x:f>
        <x:v>0.18</x:v>
      </x:c>
      <x:c r="BC326" s="12" t="e">
        <x:f>IF(BB326="","",INDEX({"v1.4.20","v1.4.20","v1.4.21","v1.4.21","v1.4.23","v1.4.23","v1.4.26","v1.4.26","v1.4.26.1","v1.4.26.1","v1.4.27","v1.4.27","v1.4.29","v1.4.29","v1.4.30","v1.4.30","v1.4.31","v1.4.31","v1.4.33","v1.4.33","v1.4.35","v1.4.35.2","v1.5","v1.5.1","v1.5.1"},MATCH(BB326,CHOOSE({1,2,3,4,5,6,7,8,9,10,11,12,13,14,15,16,17,18,19,20,21,22,23,24,25},D326,F326,H326,J326,L326,N326,P326,R326,T326,V326,X326,Z326,AB326,AD326,AF326,AH326,AJ326,AL326,AN326,AP326,AR326,AT326,AV326,AX326,AZ326),0)))</x:f>
      </x:c>
      <x:c r="BD326" s="14" t="n">
        <x:f>LET(m,MIN(IF(E326&gt;0,E326,1E+99),IF(G326&gt;0,G326,1E+99),IF(I326&gt;0,I326,1E+99),IF(K326&gt;0,K326,1E+99),IF(M326&gt;0,M326,1E+99),IF(O326&gt;0,O326,1E+99),IF(Q326&gt;0,Q326,1E+99),IF(S326&gt;0,S326,1E+99),IF(U326&gt;0,U326,1E+99),IF(W326&gt;0,W326,1E+99),IF(Y326&gt;0,Y326,1E+99),IF(AA326&gt;0,AA326,1E+99),IF(AC326&gt;0,AC326,1E+99),IF(AE326&gt;0,AE326,1E+99),IF(AG326&gt;0,AG326,1E+99),IF(AI326&gt;0,AI326,1E+99),IF(AK326&gt;0,AK326,1E+99),IF(AM326&gt;0,AM326,1E+99),IF(AO326&gt;0,AO326,1E+99),IF(AQ326&gt;0,AQ326,1E+99),IF(AS326&gt;0,AS326,1E+99),IF(AU326&gt;0,AU326,1E+99),IF(AW326&gt;0,AW326,1E+99),IF(AY326&gt;0,AY326,1E+99),IF(BA326&gt;0,BA326,1E+99)),IF(m=1E+99,"",m))</x:f>
        <x:v>0.18</x:v>
      </x:c>
      <x:c r="BE326" s="16" t="e">
        <x:f>IF(BD326="","",INDEX({"v1.4.20","v1.4.20","v1.4.21","v1.4.21","v1.4.23","v1.4.23","v1.4.26","v1.4.26","v1.4.26.1","v1.4.26.1","v1.4.27","v1.4.27","v1.4.29","v1.4.29","v1.4.30","v1.4.30","v1.4.31","v1.4.31","v1.4.33","v1.4.33","v1.4.35","v1.4.35.2","v1.5","v1.5.1","v1.5.1"},MATCH(BD326,CHOOSE({1,2,3,4,5,6,7,8,9,10,11,12,13,14,15,16,17,18,19,20,21,22,23,24,25},E326,G326,I326,K326,M326,O326,Q326,S326,U326,W326,Y326,AA326,AC326,AE326,AG326,AI326,AK326,AM326,AO326,AQ326,AS326,AU326,AW326,AY326,BA326),0)))</x:f>
      </x:c>
      <x:c r="BF326" s="10" t="n">
        <x:f>IFERROR((AX326-BB326)/BB326,"")</x:f>
        <x:v>0.8722222222222225</x:v>
      </x:c>
      <x:c r="BG326" s="10" t="n">
        <x:f>IFERROR((AY326-BD326)/BD326,"")</x:f>
        <x:v>0.8722222222222225</x:v>
      </x:c>
    </x:row>
    <x:row r="327">
      <x:c r="A327" t="str"/>
      <x:c r="B327" t="str">
        <x:v>Framework Test 7 - Intentional Validation Failure</x:v>
      </x:c>
      <x:c r="C327" t="str">
        <x:v>Validation run against intentionally broken template</x:v>
      </x:c>
      <x:c r="D327" s="8" t="n">
        <x:v>2.472</x:v>
      </x:c>
      <x:c r="E327" s="8" t="n">
        <x:v>5.523</x:v>
      </x:c>
      <x:c r="F327" s="8"/>
      <x:c r="G327" s="8"/>
      <x:c r="H327" s="8" t="n">
        <x:v>3.157</x:v>
      </x:c>
      <x:c r="I327" s="8" t="n">
        <x:v>4.651</x:v>
      </x:c>
      <x:c r="J327" s="8" t="n">
        <x:v>3.157</x:v>
      </x:c>
      <x:c r="K327" s="8" t="n">
        <x:v>4.651</x:v>
      </x:c>
      <x:c r="L327" s="8" t="n">
        <x:v>2.408</x:v>
      </x:c>
      <x:c r="M327" s="8" t="n">
        <x:v>4.421</x:v>
      </x:c>
      <x:c r="N327" s="8" t="n">
        <x:v>2.408</x:v>
      </x:c>
      <x:c r="O327" s="8" t="n">
        <x:v>4.421</x:v>
      </x:c>
      <x:c r="P327" s="8" t="n">
        <x:v>1.898</x:v>
      </x:c>
      <x:c r="Q327" s="8" t="n">
        <x:v>2.995</x:v>
      </x:c>
      <x:c r="R327" s="8" t="n">
        <x:v>1.898</x:v>
      </x:c>
      <x:c r="S327" s="8" t="n">
        <x:v>2.995</x:v>
      </x:c>
      <x:c r="T327" s="8" t="n">
        <x:v>4.191</x:v>
      </x:c>
      <x:c r="U327" s="8" t="n">
        <x:v>5.48</x:v>
      </x:c>
      <x:c r="V327" s="8" t="n">
        <x:v>4.191</x:v>
      </x:c>
      <x:c r="W327" s="8" t="n">
        <x:v>5.48</x:v>
      </x:c>
      <x:c r="X327" s="8" t="n">
        <x:v>2.742</x:v>
      </x:c>
      <x:c r="Y327" s="8" t="n">
        <x:v>5.013</x:v>
      </x:c>
      <x:c r="Z327" s="8" t="n">
        <x:v>2.742</x:v>
      </x:c>
      <x:c r="AA327" s="8" t="n">
        <x:v>5.013</x:v>
      </x:c>
      <x:c r="AB327" s="8" t="n">
        <x:v>2.712</x:v>
      </x:c>
      <x:c r="AC327" s="8" t="n">
        <x:v>5.15</x:v>
      </x:c>
      <x:c r="AD327" s="8" t="n">
        <x:v>2.712</x:v>
      </x:c>
      <x:c r="AE327" s="8" t="n">
        <x:v>5.15</x:v>
      </x:c>
      <x:c r="AF327" s="8" t="n">
        <x:v>2.824</x:v>
      </x:c>
      <x:c r="AG327" s="8" t="n">
        <x:v>3.413</x:v>
      </x:c>
      <x:c r="AH327" s="8" t="n">
        <x:v>2.824</x:v>
      </x:c>
      <x:c r="AI327" s="8" t="n">
        <x:v>3.413</x:v>
      </x:c>
      <x:c r="AJ327" s="8"/>
      <x:c r="AK327" s="8"/>
      <x:c r="AL327" s="8" t="n">
        <x:v>4.466</x:v>
      </x:c>
      <x:c r="AM327" s="8" t="n">
        <x:v>6.261</x:v>
      </x:c>
      <x:c r="AN327" s="8" t="n">
        <x:v>2.412</x:v>
      </x:c>
      <x:c r="AO327" s="8" t="n">
        <x:v>3.509</x:v>
      </x:c>
      <x:c r="AP327" s="8" t="n">
        <x:v>2.412</x:v>
      </x:c>
      <x:c r="AQ327" s="8" t="n">
        <x:v>3.509</x:v>
      </x:c>
      <x:c r="AR327" s="8" t="n">
        <x:v>5.03</x:v>
      </x:c>
      <x:c r="AS327" s="8" t="n">
        <x:v>6.935</x:v>
      </x:c>
      <x:c r="AT327" s="8" t="n">
        <x:v>2.691</x:v>
      </x:c>
      <x:c r="AU327" s="8" t="n">
        <x:v>3.76</x:v>
      </x:c>
      <x:c r="AV327" s="8" t="n">
        <x:v>4.279</x:v>
      </x:c>
      <x:c r="AW327" s="8" t="n">
        <x:v>6.246</x:v>
      </x:c>
      <x:c r="AX327" s="8" t="n">
        <x:v>3.334</x:v>
      </x:c>
      <x:c r="AY327" s="8" t="n">
        <x:v>5.347</x:v>
      </x:c>
      <x:c r="AZ327" s="8" t="n">
        <x:v>3.334</x:v>
      </x:c>
      <x:c r="BA327" s="8" t="n">
        <x:v>5.347</x:v>
      </x:c>
      <x:c r="BB327" s="8" t="n">
        <x:f>LET(m,MIN(IF(D327&gt;0,D327,1E+99),IF(F327&gt;0,F327,1E+99),IF(H327&gt;0,H327,1E+99),IF(J327&gt;0,J327,1E+99),IF(L327&gt;0,L327,1E+99),IF(N327&gt;0,N327,1E+99),IF(P327&gt;0,P327,1E+99),IF(R327&gt;0,R327,1E+99),IF(T327&gt;0,T327,1E+99),IF(V327&gt;0,V327,1E+99),IF(X327&gt;0,X327,1E+99),IF(Z327&gt;0,Z327,1E+99),IF(AB327&gt;0,AB327,1E+99),IF(AD327&gt;0,AD327,1E+99),IF(AF327&gt;0,AF327,1E+99),IF(AH327&gt;0,AH327,1E+99),IF(AJ327&gt;0,AJ327,1E+99),IF(AL327&gt;0,AL327,1E+99),IF(AN327&gt;0,AN327,1E+99),IF(AP327&gt;0,AP327,1E+99),IF(AR327&gt;0,AR327,1E+99),IF(AT327&gt;0,AT327,1E+99),IF(AV327&gt;0,AV327,1E+99),IF(AX327&gt;0,AX327,1E+99),IF(AZ327&gt;0,AZ327,1E+99)),IF(m=1E+99,"",m))</x:f>
        <x:v>1.898</x:v>
      </x:c>
      <x:c r="BC327" s="12" t="e">
        <x:f>IF(BB327="","",INDEX({"v1.4.20","v1.4.20","v1.4.21","v1.4.21","v1.4.23","v1.4.23","v1.4.26","v1.4.26","v1.4.26.1","v1.4.26.1","v1.4.27","v1.4.27","v1.4.29","v1.4.29","v1.4.30","v1.4.30","v1.4.31","v1.4.31","v1.4.33","v1.4.33","v1.4.35","v1.4.35.2","v1.5","v1.5.1","v1.5.1"},MATCH(BB327,CHOOSE({1,2,3,4,5,6,7,8,9,10,11,12,13,14,15,16,17,18,19,20,21,22,23,24,25},D327,F327,H327,J327,L327,N327,P327,R327,T327,V327,X327,Z327,AB327,AD327,AF327,AH327,AJ327,AL327,AN327,AP327,AR327,AT327,AV327,AX327,AZ327),0)))</x:f>
      </x:c>
      <x:c r="BD327" s="14" t="n">
        <x:f>LET(m,MIN(IF(E327&gt;0,E327,1E+99),IF(G327&gt;0,G327,1E+99),IF(I327&gt;0,I327,1E+99),IF(K327&gt;0,K327,1E+99),IF(M327&gt;0,M327,1E+99),IF(O327&gt;0,O327,1E+99),IF(Q327&gt;0,Q327,1E+99),IF(S327&gt;0,S327,1E+99),IF(U327&gt;0,U327,1E+99),IF(W327&gt;0,W327,1E+99),IF(Y327&gt;0,Y327,1E+99),IF(AA327&gt;0,AA327,1E+99),IF(AC327&gt;0,AC327,1E+99),IF(AE327&gt;0,AE327,1E+99),IF(AG327&gt;0,AG327,1E+99),IF(AI327&gt;0,AI327,1E+99),IF(AK327&gt;0,AK327,1E+99),IF(AM327&gt;0,AM327,1E+99),IF(AO327&gt;0,AO327,1E+99),IF(AQ327&gt;0,AQ327,1E+99),IF(AS327&gt;0,AS327,1E+99),IF(AU327&gt;0,AU327,1E+99),IF(AW327&gt;0,AW327,1E+99),IF(AY327&gt;0,AY327,1E+99),IF(BA327&gt;0,BA327,1E+99)),IF(m=1E+99,"",m))</x:f>
        <x:v>2.995</x:v>
      </x:c>
      <x:c r="BE327" s="16" t="e">
        <x:f>IF(BD327="","",INDEX({"v1.4.20","v1.4.20","v1.4.21","v1.4.21","v1.4.23","v1.4.23","v1.4.26","v1.4.26","v1.4.26.1","v1.4.26.1","v1.4.27","v1.4.27","v1.4.29","v1.4.29","v1.4.30","v1.4.30","v1.4.31","v1.4.31","v1.4.33","v1.4.33","v1.4.35","v1.4.35.2","v1.5","v1.5.1","v1.5.1"},MATCH(BD327,CHOOSE({1,2,3,4,5,6,7,8,9,10,11,12,13,14,15,16,17,18,19,20,21,22,23,24,25},E327,G327,I327,K327,M327,O327,Q327,S327,U327,W327,Y327,AA327,AC327,AE327,AG327,AI327,AK327,AM327,AO327,AQ327,AS327,AU327,AW327,AY327,BA327),0)))</x:f>
      </x:c>
      <x:c r="BF327" s="10" t="n">
        <x:f>IFERROR((AX327-BB327)/BB327,"")</x:f>
        <x:v>0.7565858798735512</x:v>
      </x:c>
      <x:c r="BG327" s="10" t="n">
        <x:f>IFERROR((AY327-BD327)/BD327,"")</x:f>
        <x:v>0.7853088480801337</x:v>
      </x:c>
    </x:row>
    <x:row r="328">
      <x:c r="A328" t="str"/>
      <x:c r="B328" t="str">
        <x:v>Framework Test 7 - Intentional Validation Failure</x:v>
      </x:c>
      <x:c r="C328" t="str">
        <x:v>Template width restored</x:v>
      </x:c>
      <x:c r="D328" s="8" t="n">
        <x:v>0.184</x:v>
      </x:c>
      <x:c r="E328" s="8" t="n">
        <x:v>5.707</x:v>
      </x:c>
      <x:c r="F328" s="8"/>
      <x:c r="G328" s="8"/>
      <x:c r="H328" s="8" t="n">
        <x:v>0.318</x:v>
      </x:c>
      <x:c r="I328" s="8" t="n">
        <x:v>4.969</x:v>
      </x:c>
      <x:c r="J328" s="8" t="n">
        <x:v>0.318</x:v>
      </x:c>
      <x:c r="K328" s="8" t="n">
        <x:v>4.969</x:v>
      </x:c>
      <x:c r="L328" s="8" t="n">
        <x:v>0.221</x:v>
      </x:c>
      <x:c r="M328" s="8" t="n">
        <x:v>4.642</x:v>
      </x:c>
      <x:c r="N328" s="8" t="n">
        <x:v>0.221</x:v>
      </x:c>
      <x:c r="O328" s="8" t="n">
        <x:v>4.642</x:v>
      </x:c>
      <x:c r="P328" s="8" t="n">
        <x:v>0.165</x:v>
      </x:c>
      <x:c r="Q328" s="8" t="n">
        <x:v>3.16</x:v>
      </x:c>
      <x:c r="R328" s="8" t="n">
        <x:v>0.165</x:v>
      </x:c>
      <x:c r="S328" s="8" t="n">
        <x:v>3.16</x:v>
      </x:c>
      <x:c r="T328" s="8" t="n">
        <x:v>2.441</x:v>
      </x:c>
      <x:c r="U328" s="8" t="n">
        <x:v>7.921</x:v>
      </x:c>
      <x:c r="V328" s="8" t="n">
        <x:v>2.441</x:v>
      </x:c>
      <x:c r="W328" s="8" t="n">
        <x:v>7.921</x:v>
      </x:c>
      <x:c r="X328" s="8" t="n">
        <x:v>0.226</x:v>
      </x:c>
      <x:c r="Y328" s="8" t="n">
        <x:v>5.239</x:v>
      </x:c>
      <x:c r="Z328" s="8" t="n">
        <x:v>0.226</x:v>
      </x:c>
      <x:c r="AA328" s="8" t="n">
        <x:v>5.239</x:v>
      </x:c>
      <x:c r="AB328" s="8" t="n">
        <x:v>0.219</x:v>
      </x:c>
      <x:c r="AC328" s="8" t="n">
        <x:v>5.369</x:v>
      </x:c>
      <x:c r="AD328" s="8" t="n">
        <x:v>0.219</x:v>
      </x:c>
      <x:c r="AE328" s="8" t="n">
        <x:v>5.369</x:v>
      </x:c>
      <x:c r="AF328" s="8" t="n">
        <x:v>1.328</x:v>
      </x:c>
      <x:c r="AG328" s="8" t="n">
        <x:v>4.741</x:v>
      </x:c>
      <x:c r="AH328" s="8" t="n">
        <x:v>1.328</x:v>
      </x:c>
      <x:c r="AI328" s="8" t="n">
        <x:v>4.741</x:v>
      </x:c>
      <x:c r="AJ328" s="8"/>
      <x:c r="AK328" s="8"/>
      <x:c r="AL328" s="8" t="n">
        <x:v>2.285</x:v>
      </x:c>
      <x:c r="AM328" s="8" t="n">
        <x:v>8.546</x:v>
      </x:c>
      <x:c r="AN328" s="8" t="n">
        <x:v>1.465</x:v>
      </x:c>
      <x:c r="AO328" s="8" t="n">
        <x:v>4.974</x:v>
      </x:c>
      <x:c r="AP328" s="8" t="n">
        <x:v>1.465</x:v>
      </x:c>
      <x:c r="AQ328" s="8" t="n">
        <x:v>4.974</x:v>
      </x:c>
      <x:c r="AR328" s="8" t="n">
        <x:v>2.007</x:v>
      </x:c>
      <x:c r="AS328" s="8" t="n">
        <x:v>8.942</x:v>
      </x:c>
      <x:c r="AT328" s="8" t="n">
        <x:v>1.296</x:v>
      </x:c>
      <x:c r="AU328" s="8" t="n">
        <x:v>5.056</x:v>
      </x:c>
      <x:c r="AV328" s="8" t="n">
        <x:v>2.098</x:v>
      </x:c>
      <x:c r="AW328" s="8" t="n">
        <x:v>8.344</x:v>
      </x:c>
      <x:c r="AX328" s="8" t="n">
        <x:v>1.716</x:v>
      </x:c>
      <x:c r="AY328" s="8" t="n">
        <x:v>7.063</x:v>
      </x:c>
      <x:c r="AZ328" s="8" t="n">
        <x:v>1.716</x:v>
      </x:c>
      <x:c r="BA328" s="8" t="n">
        <x:v>7.063</x:v>
      </x:c>
      <x:c r="BB328" s="8" t="n">
        <x:f>LET(m,MIN(IF(D328&gt;0,D328,1E+99),IF(F328&gt;0,F328,1E+99),IF(H328&gt;0,H328,1E+99),IF(J328&gt;0,J328,1E+99),IF(L328&gt;0,L328,1E+99),IF(N328&gt;0,N328,1E+99),IF(P328&gt;0,P328,1E+99),IF(R328&gt;0,R328,1E+99),IF(T328&gt;0,T328,1E+99),IF(V328&gt;0,V328,1E+99),IF(X328&gt;0,X328,1E+99),IF(Z328&gt;0,Z328,1E+99),IF(AB328&gt;0,AB328,1E+99),IF(AD328&gt;0,AD328,1E+99),IF(AF328&gt;0,AF328,1E+99),IF(AH328&gt;0,AH328,1E+99),IF(AJ328&gt;0,AJ328,1E+99),IF(AL328&gt;0,AL328,1E+99),IF(AN328&gt;0,AN328,1E+99),IF(AP328&gt;0,AP328,1E+99),IF(AR328&gt;0,AR328,1E+99),IF(AT328&gt;0,AT328,1E+99),IF(AV328&gt;0,AV328,1E+99),IF(AX328&gt;0,AX328,1E+99),IF(AZ328&gt;0,AZ328,1E+99)),IF(m=1E+99,"",m))</x:f>
        <x:v>0.165</x:v>
      </x:c>
      <x:c r="BC328" s="12" t="e">
        <x:f>IF(BB328="","",INDEX({"v1.4.20","v1.4.20","v1.4.21","v1.4.21","v1.4.23","v1.4.23","v1.4.26","v1.4.26","v1.4.26.1","v1.4.26.1","v1.4.27","v1.4.27","v1.4.29","v1.4.29","v1.4.30","v1.4.30","v1.4.31","v1.4.31","v1.4.33","v1.4.33","v1.4.35","v1.4.35.2","v1.5","v1.5.1","v1.5.1"},MATCH(BB328,CHOOSE({1,2,3,4,5,6,7,8,9,10,11,12,13,14,15,16,17,18,19,20,21,22,23,24,25},D328,F328,H328,J328,L328,N328,P328,R328,T328,V328,X328,Z328,AB328,AD328,AF328,AH328,AJ328,AL328,AN328,AP328,AR328,AT328,AV328,AX328,AZ328),0)))</x:f>
      </x:c>
      <x:c r="BD328" s="14" t="n">
        <x:f>LET(m,MIN(IF(E328&gt;0,E328,1E+99),IF(G328&gt;0,G328,1E+99),IF(I328&gt;0,I328,1E+99),IF(K328&gt;0,K328,1E+99),IF(M328&gt;0,M328,1E+99),IF(O328&gt;0,O328,1E+99),IF(Q328&gt;0,Q328,1E+99),IF(S328&gt;0,S328,1E+99),IF(U328&gt;0,U328,1E+99),IF(W328&gt;0,W328,1E+99),IF(Y328&gt;0,Y328,1E+99),IF(AA328&gt;0,AA328,1E+99),IF(AC328&gt;0,AC328,1E+99),IF(AE328&gt;0,AE328,1E+99),IF(AG328&gt;0,AG328,1E+99),IF(AI328&gt;0,AI328,1E+99),IF(AK328&gt;0,AK328,1E+99),IF(AM328&gt;0,AM328,1E+99),IF(AO328&gt;0,AO328,1E+99),IF(AQ328&gt;0,AQ328,1E+99),IF(AS328&gt;0,AS328,1E+99),IF(AU328&gt;0,AU328,1E+99),IF(AW328&gt;0,AW328,1E+99),IF(AY328&gt;0,AY328,1E+99),IF(BA328&gt;0,BA328,1E+99)),IF(m=1E+99,"",m))</x:f>
        <x:v>3.16</x:v>
      </x:c>
      <x:c r="BE328" s="16" t="e">
        <x:f>IF(BD328="","",INDEX({"v1.4.20","v1.4.20","v1.4.21","v1.4.21","v1.4.23","v1.4.23","v1.4.26","v1.4.26","v1.4.26.1","v1.4.26.1","v1.4.27","v1.4.27","v1.4.29","v1.4.29","v1.4.30","v1.4.30","v1.4.31","v1.4.31","v1.4.33","v1.4.33","v1.4.35","v1.4.35.2","v1.5","v1.5.1","v1.5.1"},MATCH(BD328,CHOOSE({1,2,3,4,5,6,7,8,9,10,11,12,13,14,15,16,17,18,19,20,21,22,23,24,25},E328,G328,I328,K328,M328,O328,Q328,S328,U328,W328,Y328,AA328,AC328,AE328,AG328,AI328,AK328,AM328,AO328,AQ328,AS328,AU328,AW328,AY328,BA328),0)))</x:f>
      </x:c>
      <x:c r="BF328" s="10" t="n">
        <x:f>IFERROR((AX328-BB328)/BB328,"")</x:f>
        <x:v>9.399999999999999</x:v>
      </x:c>
      <x:c r="BG328" s="10" t="n">
        <x:f>IFERROR((AY328-BD328)/BD328,"")</x:f>
        <x:v>1.235126582278481</x:v>
      </x:c>
    </x:row>
    <x:row r="329">
      <x:c r="A329" t="str"/>
      <x:c r="B329" t="str">
        <x:v>Framework Test 7 - Intentional Validation Failure</x:v>
      </x:c>
      <x:c r="C329" t="str">
        <x:v>Validation run after restore</x:v>
      </x:c>
      <x:c r="D329" s="8" t="n">
        <x:v>2.802</x:v>
      </x:c>
      <x:c r="E329" s="8" t="n">
        <x:v>8.509</x:v>
      </x:c>
      <x:c r="F329" s="8"/>
      <x:c r="G329" s="8"/>
      <x:c r="H329" s="8" t="n">
        <x:v>2.147</x:v>
      </x:c>
      <x:c r="I329" s="8" t="n">
        <x:v>7.116</x:v>
      </x:c>
      <x:c r="J329" s="8" t="n">
        <x:v>2.147</x:v>
      </x:c>
      <x:c r="K329" s="8" t="n">
        <x:v>7.116</x:v>
      </x:c>
      <x:c r="L329" s="8" t="n">
        <x:v>3.066</x:v>
      </x:c>
      <x:c r="M329" s="8" t="n">
        <x:v>7.708</x:v>
      </x:c>
      <x:c r="N329" s="8" t="n">
        <x:v>3.066</x:v>
      </x:c>
      <x:c r="O329" s="8" t="n">
        <x:v>7.708</x:v>
      </x:c>
      <x:c r="P329" s="8" t="n">
        <x:v>1.439</x:v>
      </x:c>
      <x:c r="Q329" s="8" t="n">
        <x:v>4.599</x:v>
      </x:c>
      <x:c r="R329" s="8" t="n">
        <x:v>1.439</x:v>
      </x:c>
      <x:c r="S329" s="8" t="n">
        <x:v>4.599</x:v>
      </x:c>
      <x:c r="T329" s="8" t="n">
        <x:v>4.7</x:v>
      </x:c>
      <x:c r="U329" s="8" t="n">
        <x:v>12.621</x:v>
      </x:c>
      <x:c r="V329" s="8" t="n">
        <x:v>4.7</x:v>
      </x:c>
      <x:c r="W329" s="8" t="n">
        <x:v>12.621</x:v>
      </x:c>
      <x:c r="X329" s="8" t="n">
        <x:v>2.891</x:v>
      </x:c>
      <x:c r="Y329" s="8" t="n">
        <x:v>8.13</x:v>
      </x:c>
      <x:c r="Z329" s="8" t="n">
        <x:v>2.891</x:v>
      </x:c>
      <x:c r="AA329" s="8" t="n">
        <x:v>8.13</x:v>
      </x:c>
      <x:c r="AB329" s="8" t="n">
        <x:v>2.478</x:v>
      </x:c>
      <x:c r="AC329" s="8" t="n">
        <x:v>7.847</x:v>
      </x:c>
      <x:c r="AD329" s="8" t="n">
        <x:v>2.478</x:v>
      </x:c>
      <x:c r="AE329" s="8" t="n">
        <x:v>7.847</x:v>
      </x:c>
      <x:c r="AF329" s="8" t="n">
        <x:v>3.542</x:v>
      </x:c>
      <x:c r="AG329" s="8" t="n">
        <x:v>8.283</x:v>
      </x:c>
      <x:c r="AH329" s="8" t="n">
        <x:v>3.542</x:v>
      </x:c>
      <x:c r="AI329" s="8" t="n">
        <x:v>8.283</x:v>
      </x:c>
      <x:c r="AJ329" s="8"/>
      <x:c r="AK329" s="8"/>
      <x:c r="AL329" s="8" t="n">
        <x:v>5.817</x:v>
      </x:c>
      <x:c r="AM329" s="8" t="n">
        <x:v>14.363</x:v>
      </x:c>
      <x:c r="AN329" s="8" t="n">
        <x:v>3.812</x:v>
      </x:c>
      <x:c r="AO329" s="8" t="n">
        <x:v>8.786</x:v>
      </x:c>
      <x:c r="AP329" s="8" t="n">
        <x:v>3.812</x:v>
      </x:c>
      <x:c r="AQ329" s="8" t="n">
        <x:v>8.786</x:v>
      </x:c>
      <x:c r="AR329" s="8" t="n">
        <x:v>4.444</x:v>
      </x:c>
      <x:c r="AS329" s="8" t="n">
        <x:v>13.386</x:v>
      </x:c>
      <x:c r="AT329" s="8" t="n">
        <x:v>2.501</x:v>
      </x:c>
      <x:c r="AU329" s="8" t="n">
        <x:v>7.557</x:v>
      </x:c>
      <x:c r="AV329" s="8" t="n">
        <x:v>6.637</x:v>
      </x:c>
      <x:c r="AW329" s="8" t="n">
        <x:v>14.981</x:v>
      </x:c>
      <x:c r="AX329" s="8" t="n">
        <x:v>3.712</x:v>
      </x:c>
      <x:c r="AY329" s="8" t="n">
        <x:v>10.775</x:v>
      </x:c>
      <x:c r="AZ329" s="8" t="n">
        <x:v>3.712</x:v>
      </x:c>
      <x:c r="BA329" s="8" t="n">
        <x:v>10.775</x:v>
      </x:c>
      <x:c r="BB329" s="8" t="n">
        <x:f>LET(m,MIN(IF(D329&gt;0,D329,1E+99),IF(F329&gt;0,F329,1E+99),IF(H329&gt;0,H329,1E+99),IF(J329&gt;0,J329,1E+99),IF(L329&gt;0,L329,1E+99),IF(N329&gt;0,N329,1E+99),IF(P329&gt;0,P329,1E+99),IF(R329&gt;0,R329,1E+99),IF(T329&gt;0,T329,1E+99),IF(V329&gt;0,V329,1E+99),IF(X329&gt;0,X329,1E+99),IF(Z329&gt;0,Z329,1E+99),IF(AB329&gt;0,AB329,1E+99),IF(AD329&gt;0,AD329,1E+99),IF(AF329&gt;0,AF329,1E+99),IF(AH329&gt;0,AH329,1E+99),IF(AJ329&gt;0,AJ329,1E+99),IF(AL329&gt;0,AL329,1E+99),IF(AN329&gt;0,AN329,1E+99),IF(AP329&gt;0,AP329,1E+99),IF(AR329&gt;0,AR329,1E+99),IF(AT329&gt;0,AT329,1E+99),IF(AV329&gt;0,AV329,1E+99),IF(AX329&gt;0,AX329,1E+99),IF(AZ329&gt;0,AZ329,1E+99)),IF(m=1E+99,"",m))</x:f>
        <x:v>1.439</x:v>
      </x:c>
      <x:c r="BC329" s="12" t="e">
        <x:f>IF(BB329="","",INDEX({"v1.4.20","v1.4.20","v1.4.21","v1.4.21","v1.4.23","v1.4.23","v1.4.26","v1.4.26","v1.4.26.1","v1.4.26.1","v1.4.27","v1.4.27","v1.4.29","v1.4.29","v1.4.30","v1.4.30","v1.4.31","v1.4.31","v1.4.33","v1.4.33","v1.4.35","v1.4.35.2","v1.5","v1.5.1","v1.5.1"},MATCH(BB329,CHOOSE({1,2,3,4,5,6,7,8,9,10,11,12,13,14,15,16,17,18,19,20,21,22,23,24,25},D329,F329,H329,J329,L329,N329,P329,R329,T329,V329,X329,Z329,AB329,AD329,AF329,AH329,AJ329,AL329,AN329,AP329,AR329,AT329,AV329,AX329,AZ329),0)))</x:f>
      </x:c>
      <x:c r="BD329" s="14" t="n">
        <x:f>LET(m,MIN(IF(E329&gt;0,E329,1E+99),IF(G329&gt;0,G329,1E+99),IF(I329&gt;0,I329,1E+99),IF(K329&gt;0,K329,1E+99),IF(M329&gt;0,M329,1E+99),IF(O329&gt;0,O329,1E+99),IF(Q329&gt;0,Q329,1E+99),IF(S329&gt;0,S329,1E+99),IF(U329&gt;0,U329,1E+99),IF(W329&gt;0,W329,1E+99),IF(Y329&gt;0,Y329,1E+99),IF(AA329&gt;0,AA329,1E+99),IF(AC329&gt;0,AC329,1E+99),IF(AE329&gt;0,AE329,1E+99),IF(AG329&gt;0,AG329,1E+99),IF(AI329&gt;0,AI329,1E+99),IF(AK329&gt;0,AK329,1E+99),IF(AM329&gt;0,AM329,1E+99),IF(AO329&gt;0,AO329,1E+99),IF(AQ329&gt;0,AQ329,1E+99),IF(AS329&gt;0,AS329,1E+99),IF(AU329&gt;0,AU329,1E+99),IF(AW329&gt;0,AW329,1E+99),IF(AY329&gt;0,AY329,1E+99),IF(BA329&gt;0,BA329,1E+99)),IF(m=1E+99,"",m))</x:f>
        <x:v>4.599</x:v>
      </x:c>
      <x:c r="BE329" s="16" t="e">
        <x:f>IF(BD329="","",INDEX({"v1.4.20","v1.4.20","v1.4.21","v1.4.21","v1.4.23","v1.4.23","v1.4.26","v1.4.26","v1.4.26.1","v1.4.26.1","v1.4.27","v1.4.27","v1.4.29","v1.4.29","v1.4.30","v1.4.30","v1.4.31","v1.4.31","v1.4.33","v1.4.33","v1.4.35","v1.4.35.2","v1.5","v1.5.1","v1.5.1"},MATCH(BD329,CHOOSE({1,2,3,4,5,6,7,8,9,10,11,12,13,14,15,16,17,18,19,20,21,22,23,24,25},E329,G329,I329,K329,M329,O329,Q329,S329,U329,W329,Y329,AA329,AC329,AE329,AG329,AI329,AK329,AM329,AO329,AQ329,AS329,AU329,AW329,AY329,BA329),0)))</x:f>
      </x:c>
      <x:c r="BF329" s="10" t="n">
        <x:f>IFERROR((AX329-BB329)/BB329,"")</x:f>
        <x:v>1.5795691452397498</x:v>
      </x:c>
      <x:c r="BG329" s="10" t="n">
        <x:f>IFERROR((AY329-BD329)/BD329,"")</x:f>
        <x:v>1.3429006305718634</x:v>
      </x:c>
    </x:row>
    <x:row r="330">
      <x:c r="A330" t="str"/>
      <x:c r="B330" t="str">
        <x:v>Framework Test 7 - Intentional Validation Failure</x:v>
      </x:c>
      <x:c r="C330" t="str">
        <x:v>Dashboard Quality Section D saved</x:v>
      </x:c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 t="n">
        <x:v>8.812</x:v>
      </x:c>
      <x:c r="U330" s="8" t="n">
        <x:v>21.433</x:v>
      </x:c>
      <x:c r="V330" s="8" t="n">
        <x:v>8.812</x:v>
      </x:c>
      <x:c r="W330" s="8" t="n">
        <x:v>21.433</x:v>
      </x:c>
      <x:c r="X330" s="8"/>
      <x:c r="Y330" s="8"/>
      <x:c r="Z330" s="8"/>
      <x:c r="AA330" s="8"/>
      <x:c r="AB330" s="8"/>
      <x:c r="AC330" s="8"/>
      <x:c r="AD330" s="8"/>
      <x:c r="AE330" s="8"/>
      <x:c r="AF330" s="8" t="n">
        <x:v>5.98</x:v>
      </x:c>
      <x:c r="AG330" s="8" t="n">
        <x:v>14.263</x:v>
      </x:c>
      <x:c r="AH330" s="8" t="n">
        <x:v>5.98</x:v>
      </x:c>
      <x:c r="AI330" s="8" t="n">
        <x:v>14.263</x:v>
      </x:c>
      <x:c r="AJ330" s="8"/>
      <x:c r="AK330" s="8"/>
      <x:c r="AL330" s="8" t="n">
        <x:v>8.617</x:v>
      </x:c>
      <x:c r="AM330" s="8" t="n">
        <x:v>22.98</x:v>
      </x:c>
      <x:c r="AN330" s="8" t="n">
        <x:v>5.66</x:v>
      </x:c>
      <x:c r="AO330" s="8" t="n">
        <x:v>14.446</x:v>
      </x:c>
      <x:c r="AP330" s="8" t="n">
        <x:v>5.66</x:v>
      </x:c>
      <x:c r="AQ330" s="8" t="n">
        <x:v>14.446</x:v>
      </x:c>
      <x:c r="AR330" s="8" t="n">
        <x:v>9.473</x:v>
      </x:c>
      <x:c r="AS330" s="8" t="n">
        <x:v>22.859</x:v>
      </x:c>
      <x:c r="AT330" s="8" t="n">
        <x:v>5.585</x:v>
      </x:c>
      <x:c r="AU330" s="8" t="n">
        <x:v>13.142</x:v>
      </x:c>
      <x:c r="AV330" s="8" t="n">
        <x:v>9.936</x:v>
      </x:c>
      <x:c r="AW330" s="8" t="n">
        <x:v>24.917</x:v>
      </x:c>
      <x:c r="AX330" s="8" t="n">
        <x:v>10.195</x:v>
      </x:c>
      <x:c r="AY330" s="8" t="n">
        <x:v>20.97</x:v>
      </x:c>
      <x:c r="AZ330" s="8" t="n">
        <x:v>10.195</x:v>
      </x:c>
      <x:c r="BA330" s="8" t="n">
        <x:v>20.97</x:v>
      </x:c>
      <x:c r="BB330" s="8" t="n">
        <x:f>LET(m,MIN(IF(D330&gt;0,D330,1E+99),IF(F330&gt;0,F330,1E+99),IF(H330&gt;0,H330,1E+99),IF(J330&gt;0,J330,1E+99),IF(L330&gt;0,L330,1E+99),IF(N330&gt;0,N330,1E+99),IF(P330&gt;0,P330,1E+99),IF(R330&gt;0,R330,1E+99),IF(T330&gt;0,T330,1E+99),IF(V330&gt;0,V330,1E+99),IF(X330&gt;0,X330,1E+99),IF(Z330&gt;0,Z330,1E+99),IF(AB330&gt;0,AB330,1E+99),IF(AD330&gt;0,AD330,1E+99),IF(AF330&gt;0,AF330,1E+99),IF(AH330&gt;0,AH330,1E+99),IF(AJ330&gt;0,AJ330,1E+99),IF(AL330&gt;0,AL330,1E+99),IF(AN330&gt;0,AN330,1E+99),IF(AP330&gt;0,AP330,1E+99),IF(AR330&gt;0,AR330,1E+99),IF(AT330&gt;0,AT330,1E+99),IF(AV330&gt;0,AV330,1E+99),IF(AX330&gt;0,AX330,1E+99),IF(AZ330&gt;0,AZ330,1E+99)),IF(m=1E+99,"",m))</x:f>
        <x:v>5.585</x:v>
      </x:c>
      <x:c r="BC330" s="12" t="e">
        <x:f>IF(BB330="","",INDEX({"v1.4.20","v1.4.20","v1.4.21","v1.4.21","v1.4.23","v1.4.23","v1.4.26","v1.4.26","v1.4.26.1","v1.4.26.1","v1.4.27","v1.4.27","v1.4.29","v1.4.29","v1.4.30","v1.4.30","v1.4.31","v1.4.31","v1.4.33","v1.4.33","v1.4.35","v1.4.35.2","v1.5","v1.5.1","v1.5.1"},MATCH(BB330,CHOOSE({1,2,3,4,5,6,7,8,9,10,11,12,13,14,15,16,17,18,19,20,21,22,23,24,25},D330,F330,H330,J330,L330,N330,P330,R330,T330,V330,X330,Z330,AB330,AD330,AF330,AH330,AJ330,AL330,AN330,AP330,AR330,AT330,AV330,AX330,AZ330),0)))</x:f>
      </x:c>
      <x:c r="BD330" s="14" t="n">
        <x:f>LET(m,MIN(IF(E330&gt;0,E330,1E+99),IF(G330&gt;0,G330,1E+99),IF(I330&gt;0,I330,1E+99),IF(K330&gt;0,K330,1E+99),IF(M330&gt;0,M330,1E+99),IF(O330&gt;0,O330,1E+99),IF(Q330&gt;0,Q330,1E+99),IF(S330&gt;0,S330,1E+99),IF(U330&gt;0,U330,1E+99),IF(W330&gt;0,W330,1E+99),IF(Y330&gt;0,Y330,1E+99),IF(AA330&gt;0,AA330,1E+99),IF(AC330&gt;0,AC330,1E+99),IF(AE330&gt;0,AE330,1E+99),IF(AG330&gt;0,AG330,1E+99),IF(AI330&gt;0,AI330,1E+99),IF(AK330&gt;0,AK330,1E+99),IF(AM330&gt;0,AM330,1E+99),IF(AO330&gt;0,AO330,1E+99),IF(AQ330&gt;0,AQ330,1E+99),IF(AS330&gt;0,AS330,1E+99),IF(AU330&gt;0,AU330,1E+99),IF(AW330&gt;0,AW330,1E+99),IF(AY330&gt;0,AY330,1E+99),IF(BA330&gt;0,BA330,1E+99)),IF(m=1E+99,"",m))</x:f>
        <x:v>13.142</x:v>
      </x:c>
      <x:c r="BE330" s="16" t="e">
        <x:f>IF(BD330="","",INDEX({"v1.4.20","v1.4.20","v1.4.21","v1.4.21","v1.4.23","v1.4.23","v1.4.26","v1.4.26","v1.4.26.1","v1.4.26.1","v1.4.27","v1.4.27","v1.4.29","v1.4.29","v1.4.30","v1.4.30","v1.4.31","v1.4.31","v1.4.33","v1.4.33","v1.4.35","v1.4.35.2","v1.5","v1.5.1","v1.5.1"},MATCH(BD330,CHOOSE({1,2,3,4,5,6,7,8,9,10,11,12,13,14,15,16,17,18,19,20,21,22,23,24,25},E330,G330,I330,K330,M330,O330,Q330,S330,U330,W330,Y330,AA330,AC330,AE330,AG330,AI330,AK330,AM330,AO330,AQ330,AS330,AU330,AW330,AY330,BA330),0)))</x:f>
      </x:c>
      <x:c r="BF330" s="10" t="n">
        <x:f>IFERROR((AX330-BB330)/BB330,"")</x:f>
        <x:v>0.8254252461951657</x:v>
      </x:c>
      <x:c r="BG330" s="10" t="n">
        <x:f>IFERROR((AY330-BD330)/BD330,"")</x:f>
        <x:v>0.595647542231015</x:v>
      </x:c>
    </x:row>
    <x:row r="331">
      <x:c r="A331" t="str"/>
      <x:c r="B331" t="str">
        <x:v>Framework Test 7 - Intentional Validation Failure</x:v>
      </x:c>
      <x:c r="C331" t="str">
        <x:v>Complete</x:v>
      </x:c>
      <x:c r="D331" s="8" t="n">
        <x:v>0</x:v>
      </x:c>
      <x:c r="E331" s="8" t="n">
        <x:v>8.654</x:v>
      </x:c>
      <x:c r="F331" s="8"/>
      <x:c r="G331" s="8"/>
      <x:c r="H331" s="8" t="n">
        <x:v>0</x:v>
      </x:c>
      <x:c r="I331" s="8" t="n">
        <x:v>7.428</x:v>
      </x:c>
      <x:c r="J331" s="8" t="n">
        <x:v>0</x:v>
      </x:c>
      <x:c r="K331" s="8" t="n">
        <x:v>7.428</x:v>
      </x:c>
      <x:c r="L331" s="8" t="n">
        <x:v>0</x:v>
      </x:c>
      <x:c r="M331" s="8" t="n">
        <x:v>13.003</x:v>
      </x:c>
      <x:c r="N331" s="8" t="n">
        <x:v>0</x:v>
      </x:c>
      <x:c r="O331" s="8" t="n">
        <x:v>13.003</x:v>
      </x:c>
      <x:c r="P331" s="8" t="n">
        <x:v>0</x:v>
      </x:c>
      <x:c r="Q331" s="8" t="n">
        <x:v>7.511</x:v>
      </x:c>
      <x:c r="R331" s="8" t="n">
        <x:v>0</x:v>
      </x:c>
      <x:c r="S331" s="8" t="n">
        <x:v>7.511</x:v>
      </x:c>
      <x:c r="T331" s="8" t="n">
        <x:v>0</x:v>
      </x:c>
      <x:c r="U331" s="8" t="n">
        <x:v>21.433</x:v>
      </x:c>
      <x:c r="V331" s="8" t="n">
        <x:v>0</x:v>
      </x:c>
      <x:c r="W331" s="8" t="n">
        <x:v>21.433</x:v>
      </x:c>
      <x:c r="X331" s="8" t="n">
        <x:v>0</x:v>
      </x:c>
      <x:c r="Y331" s="8" t="n">
        <x:v>14.425</x:v>
      </x:c>
      <x:c r="Z331" s="8" t="n">
        <x:v>0</x:v>
      </x:c>
      <x:c r="AA331" s="8" t="n">
        <x:v>14.425</x:v>
      </x:c>
      <x:c r="AB331" s="8" t="n">
        <x:v>0</x:v>
      </x:c>
      <x:c r="AC331" s="8" t="n">
        <x:v>15.479</x:v>
      </x:c>
      <x:c r="AD331" s="8" t="n">
        <x:v>0</x:v>
      </x:c>
      <x:c r="AE331" s="8" t="n">
        <x:v>15.479</x:v>
      </x:c>
      <x:c r="AF331" s="8" t="n">
        <x:v>0</x:v>
      </x:c>
      <x:c r="AG331" s="8" t="n">
        <x:v>14.263</x:v>
      </x:c>
      <x:c r="AH331" s="8" t="n">
        <x:v>0</x:v>
      </x:c>
      <x:c r="AI331" s="8" t="n">
        <x:v>14.263</x:v>
      </x:c>
      <x:c r="AJ331" s="8"/>
      <x:c r="AK331" s="8"/>
      <x:c r="AL331" s="8" t="n">
        <x:v>0</x:v>
      </x:c>
      <x:c r="AM331" s="8" t="n">
        <x:v>22.98</x:v>
      </x:c>
      <x:c r="AN331" s="8" t="n">
        <x:v>0</x:v>
      </x:c>
      <x:c r="AO331" s="8" t="n">
        <x:v>14.446</x:v>
      </x:c>
      <x:c r="AP331" s="8" t="n">
        <x:v>0</x:v>
      </x:c>
      <x:c r="AQ331" s="8" t="n">
        <x:v>14.446</x:v>
      </x:c>
      <x:c r="AR331" s="8" t="n">
        <x:v>0</x:v>
      </x:c>
      <x:c r="AS331" s="8" t="n">
        <x:v>22.859</x:v>
      </x:c>
      <x:c r="AT331" s="8" t="n">
        <x:v>0</x:v>
      </x:c>
      <x:c r="AU331" s="8" t="n">
        <x:v>13.142</x:v>
      </x:c>
      <x:c r="AV331" s="8" t="n">
        <x:v>0</x:v>
      </x:c>
      <x:c r="AW331" s="8" t="n">
        <x:v>24.917</x:v>
      </x:c>
      <x:c r="AX331" s="8" t="n">
        <x:v>0</x:v>
      </x:c>
      <x:c r="AY331" s="8" t="n">
        <x:v>20.97</x:v>
      </x:c>
      <x:c r="AZ331" s="8" t="n">
        <x:v>0</x:v>
      </x:c>
      <x:c r="BA331" s="8" t="n">
        <x:v>20.97</x:v>
      </x:c>
      <x:c r="BB331" s="8" t="str">
        <x:f>LET(m,MIN(IF(D331&gt;0,D331,1E+99),IF(F331&gt;0,F331,1E+99),IF(H331&gt;0,H331,1E+99),IF(J331&gt;0,J331,1E+99),IF(L331&gt;0,L331,1E+99),IF(N331&gt;0,N331,1E+99),IF(P331&gt;0,P331,1E+99),IF(R331&gt;0,R331,1E+99),IF(T331&gt;0,T331,1E+99),IF(V331&gt;0,V331,1E+99),IF(X331&gt;0,X331,1E+99),IF(Z331&gt;0,Z331,1E+99),IF(AB331&gt;0,AB331,1E+99),IF(AD331&gt;0,AD331,1E+99),IF(AF331&gt;0,AF331,1E+99),IF(AH331&gt;0,AH331,1E+99),IF(AJ331&gt;0,AJ331,1E+99),IF(AL331&gt;0,AL331,1E+99),IF(AN331&gt;0,AN331,1E+99),IF(AP331&gt;0,AP331,1E+99),IF(AR331&gt;0,AR331,1E+99),IF(AT331&gt;0,AT331,1E+99),IF(AV331&gt;0,AV331,1E+99),IF(AX331&gt;0,AX331,1E+99),IF(AZ331&gt;0,AZ331,1E+99)),IF(m=1E+99,"",m))</x:f>
      </x:c>
      <x:c r="BC331" s="12" t="str">
        <x:f>IF(BB331="","",INDEX({"v1.4.20","v1.4.20","v1.4.21","v1.4.21","v1.4.23","v1.4.23","v1.4.26","v1.4.26","v1.4.26.1","v1.4.26.1","v1.4.27","v1.4.27","v1.4.29","v1.4.29","v1.4.30","v1.4.30","v1.4.31","v1.4.31","v1.4.33","v1.4.33","v1.4.35","v1.4.35.2","v1.5","v1.5.1","v1.5.1"},MATCH(BB331,CHOOSE({1,2,3,4,5,6,7,8,9,10,11,12,13,14,15,16,17,18,19,20,21,22,23,24,25},D331,F331,H331,J331,L331,N331,P331,R331,T331,V331,X331,Z331,AB331,AD331,AF331,AH331,AJ331,AL331,AN331,AP331,AR331,AT331,AV331,AX331,AZ331),0)))</x:f>
      </x:c>
      <x:c r="BD331" s="14" t="n">
        <x:f>LET(m,MIN(IF(E331&gt;0,E331,1E+99),IF(G331&gt;0,G331,1E+99),IF(I331&gt;0,I331,1E+99),IF(K331&gt;0,K331,1E+99),IF(M331&gt;0,M331,1E+99),IF(O331&gt;0,O331,1E+99),IF(Q331&gt;0,Q331,1E+99),IF(S331&gt;0,S331,1E+99),IF(U331&gt;0,U331,1E+99),IF(W331&gt;0,W331,1E+99),IF(Y331&gt;0,Y331,1E+99),IF(AA331&gt;0,AA331,1E+99),IF(AC331&gt;0,AC331,1E+99),IF(AE331&gt;0,AE331,1E+99),IF(AG331&gt;0,AG331,1E+99),IF(AI331&gt;0,AI331,1E+99),IF(AK331&gt;0,AK331,1E+99),IF(AM331&gt;0,AM331,1E+99),IF(AO331&gt;0,AO331,1E+99),IF(AQ331&gt;0,AQ331,1E+99),IF(AS331&gt;0,AS331,1E+99),IF(AU331&gt;0,AU331,1E+99),IF(AW331&gt;0,AW331,1E+99),IF(AY331&gt;0,AY331,1E+99),IF(BA331&gt;0,BA331,1E+99)),IF(m=1E+99,"",m))</x:f>
        <x:v>7.428</x:v>
      </x:c>
      <x:c r="BE331" s="16" t="e">
        <x:f>IF(BD331="","",INDEX({"v1.4.20","v1.4.20","v1.4.21","v1.4.21","v1.4.23","v1.4.23","v1.4.26","v1.4.26","v1.4.26.1","v1.4.26.1","v1.4.27","v1.4.27","v1.4.29","v1.4.29","v1.4.30","v1.4.30","v1.4.31","v1.4.31","v1.4.33","v1.4.33","v1.4.35","v1.4.35.2","v1.5","v1.5.1","v1.5.1"},MATCH(BD331,CHOOSE({1,2,3,4,5,6,7,8,9,10,11,12,13,14,15,16,17,18,19,20,21,22,23,24,25},E331,G331,I331,K331,M331,O331,Q331,S331,U331,W331,Y331,AA331,AC331,AE331,AG331,AI331,AK331,AM331,AO331,AQ331,AS331,AU331,AW331,AY331,BA331),0)))</x:f>
      </x:c>
      <x:c r="BF331" s="10" t="str">
        <x:f>IFERROR((AX331-BB331)/BB331,"")</x:f>
      </x:c>
      <x:c r="BG331" s="10" t="n">
        <x:f>IFERROR((AY331-BD331)/BD331,"")</x:f>
        <x:v>1.8231017770597735</x:v>
      </x:c>
    </x:row>
    <x:row r="332">
      <x:c r="A332" t="str"/>
      <x:c r="B332" t="str">
        <x:v>Framework Test 7 - Intentional Validation Failure</x:v>
      </x:c>
      <x:c r="C332" t="str">
        <x:v>Dashboard Quality Section C saved</x:v>
      </x:c>
      <x:c r="D332" s="8" t="n">
        <x:v>0.145</x:v>
      </x:c>
      <x:c r="E332" s="8" t="n">
        <x:v>8.654</x:v>
      </x:c>
      <x:c r="F332" s="8"/>
      <x:c r="G332" s="8"/>
      <x:c r="H332" s="8" t="n">
        <x:v>0.312</x:v>
      </x:c>
      <x:c r="I332" s="8" t="n">
        <x:v>7.428</x:v>
      </x:c>
      <x:c r="J332" s="8" t="n">
        <x:v>0.312</x:v>
      </x:c>
      <x:c r="K332" s="8" t="n">
        <x:v>7.428</x:v>
      </x:c>
      <x:c r="L332" s="8" t="n">
        <x:v>5.295</x:v>
      </x:c>
      <x:c r="M332" s="8" t="n">
        <x:v>13.003</x:v>
      </x:c>
      <x:c r="N332" s="8" t="n">
        <x:v>5.295</x:v>
      </x:c>
      <x:c r="O332" s="8" t="n">
        <x:v>13.003</x:v>
      </x:c>
      <x:c r="P332" s="8" t="n">
        <x:v>2.912</x:v>
      </x:c>
      <x:c r="Q332" s="8" t="n">
        <x:v>7.511</x:v>
      </x:c>
      <x:c r="R332" s="8" t="n">
        <x:v>2.912</x:v>
      </x:c>
      <x:c r="S332" s="8" t="n">
        <x:v>7.511</x:v>
      </x:c>
      <x:c r="T332" s="8"/>
      <x:c r="U332" s="8"/>
      <x:c r="V332" s="8"/>
      <x:c r="W332" s="8"/>
      <x:c r="X332" s="8" t="n">
        <x:v>6.295</x:v>
      </x:c>
      <x:c r="Y332" s="8" t="n">
        <x:v>14.425</x:v>
      </x:c>
      <x:c r="Z332" s="8" t="n">
        <x:v>6.295</x:v>
      </x:c>
      <x:c r="AA332" s="8" t="n">
        <x:v>14.425</x:v>
      </x:c>
      <x:c r="AB332" s="8" t="n">
        <x:v>7.632</x:v>
      </x:c>
      <x:c r="AC332" s="8" t="n">
        <x:v>15.479</x:v>
      </x:c>
      <x:c r="AD332" s="8" t="n">
        <x:v>7.632</x:v>
      </x:c>
      <x:c r="AE332" s="8" t="n">
        <x:v>15.479</x:v>
      </x:c>
      <x:c r="AF332" s="8"/>
      <x:c r="AG332" s="8"/>
      <x:c r="AH332" s="8"/>
      <x:c r="AI332" s="8"/>
      <x:c r="AJ332" s="8"/>
      <x:c r="AK332" s="8"/>
      <x:c r="AL332" s="8"/>
      <x:c r="AM332" s="8"/>
      <x:c r="AN332" s="8"/>
      <x:c r="AO332" s="8"/>
      <x:c r="AP332" s="8"/>
      <x:c r="AQ332" s="8"/>
      <x:c r="AR332" s="8"/>
      <x:c r="AS332" s="8"/>
      <x:c r="AT332" s="8"/>
      <x:c r="AU332" s="8"/>
      <x:c r="AV332" s="8"/>
      <x:c r="AW332" s="8"/>
      <x:c r="AX332" s="8"/>
      <x:c r="AY332" s="8"/>
      <x:c r="AZ332" s="8"/>
      <x:c r="BA332" s="8"/>
      <x:c r="BB332" s="8" t="n">
        <x:f>LET(m,MIN(IF(D332&gt;0,D332,1E+99),IF(F332&gt;0,F332,1E+99),IF(H332&gt;0,H332,1E+99),IF(J332&gt;0,J332,1E+99),IF(L332&gt;0,L332,1E+99),IF(N332&gt;0,N332,1E+99),IF(P332&gt;0,P332,1E+99),IF(R332&gt;0,R332,1E+99),IF(T332&gt;0,T332,1E+99),IF(V332&gt;0,V332,1E+99),IF(X332&gt;0,X332,1E+99),IF(Z332&gt;0,Z332,1E+99),IF(AB332&gt;0,AB332,1E+99),IF(AD332&gt;0,AD332,1E+99),IF(AF332&gt;0,AF332,1E+99),IF(AH332&gt;0,AH332,1E+99),IF(AJ332&gt;0,AJ332,1E+99),IF(AL332&gt;0,AL332,1E+99),IF(AN332&gt;0,AN332,1E+99),IF(AP332&gt;0,AP332,1E+99),IF(AR332&gt;0,AR332,1E+99),IF(AT332&gt;0,AT332,1E+99),IF(AV332&gt;0,AV332,1E+99),IF(AX332&gt;0,AX332,1E+99),IF(AZ332&gt;0,AZ332,1E+99)),IF(m=1E+99,"",m))</x:f>
        <x:v>0.145</x:v>
      </x:c>
      <x:c r="BC332" s="12" t="str">
        <x:f>IF(BB332="","",INDEX({"v1.4.20","v1.4.20","v1.4.21","v1.4.21","v1.4.23","v1.4.23","v1.4.26","v1.4.26","v1.4.26.1","v1.4.26.1","v1.4.27","v1.4.27","v1.4.29","v1.4.29","v1.4.30","v1.4.30","v1.4.31","v1.4.31","v1.4.33","v1.4.33","v1.4.35","v1.4.35.2","v1.5","v1.5.1","v1.5.1"},MATCH(BB332,CHOOSE({1,2,3,4,5,6,7,8,9,10,11,12,13,14,15,16,17,18,19,20,21,22,23,24,25},D332,F332,H332,J332,L332,N332,P332,R332,T332,V332,X332,Z332,AB332,AD332,AF332,AH332,AJ332,AL332,AN332,AP332,AR332,AT332,AV332,AX332,AZ332),0)))</x:f>
        <x:v>v1.4.20</x:v>
      </x:c>
      <x:c r="BD332" s="14" t="n">
        <x:f>LET(m,MIN(IF(E332&gt;0,E332,1E+99),IF(G332&gt;0,G332,1E+99),IF(I332&gt;0,I332,1E+99),IF(K332&gt;0,K332,1E+99),IF(M332&gt;0,M332,1E+99),IF(O332&gt;0,O332,1E+99),IF(Q332&gt;0,Q332,1E+99),IF(S332&gt;0,S332,1E+99),IF(U332&gt;0,U332,1E+99),IF(W332&gt;0,W332,1E+99),IF(Y332&gt;0,Y332,1E+99),IF(AA332&gt;0,AA332,1E+99),IF(AC332&gt;0,AC332,1E+99),IF(AE332&gt;0,AE332,1E+99),IF(AG332&gt;0,AG332,1E+99),IF(AI332&gt;0,AI332,1E+99),IF(AK332&gt;0,AK332,1E+99),IF(AM332&gt;0,AM332,1E+99),IF(AO332&gt;0,AO332,1E+99),IF(AQ332&gt;0,AQ332,1E+99),IF(AS332&gt;0,AS332,1E+99),IF(AU332&gt;0,AU332,1E+99),IF(AW332&gt;0,AW332,1E+99),IF(AY332&gt;0,AY332,1E+99),IF(BA332&gt;0,BA332,1E+99)),IF(m=1E+99,"",m))</x:f>
        <x:v>7.428</x:v>
      </x:c>
      <x:c r="BE332" s="16" t="e">
        <x:f>IF(BD332="","",INDEX({"v1.4.20","v1.4.20","v1.4.21","v1.4.21","v1.4.23","v1.4.23","v1.4.26","v1.4.26","v1.4.26.1","v1.4.26.1","v1.4.27","v1.4.27","v1.4.29","v1.4.29","v1.4.30","v1.4.30","v1.4.31","v1.4.31","v1.4.33","v1.4.33","v1.4.35","v1.4.35.2","v1.5","v1.5.1","v1.5.1"},MATCH(BD332,CHOOSE({1,2,3,4,5,6,7,8,9,10,11,12,13,14,15,16,17,18,19,20,21,22,23,24,25},E332,G332,I332,K332,M332,O332,Q332,S332,U332,W332,Y332,AA332,AC332,AE332,AG332,AI332,AK332,AM332,AO332,AQ332,AS332,AU332,AW332,AY332,BA332),0)))</x:f>
      </x:c>
      <x:c r="BF332" s="10" t="n">
        <x:f>IFERROR((AX332-BB332)/BB332,"")</x:f>
        <x:v>-1</x:v>
      </x:c>
      <x:c r="BG332" s="10" t="n">
        <x:f>IFERROR((AY332-BD332)/BD332,"")</x:f>
        <x:v>-1</x:v>
      </x:c>
    </x:row>
    <x:row r="333">
      <x:c r="A333" t="str">
        <x:v>Banner Report</x:v>
      </x:c>
      <x:c r="B333" t="str">
        <x:v>Framework Test 7 - Intentional Validation Failure</x:v>
      </x:c>
      <x:c r="C333" t="str">
        <x:v>Intentional width mismatch created: Template - Banner Report / Last Name</x:v>
      </x:c>
      <x:c r="D333" s="8" t="n">
        <x:v>1.274</x:v>
      </x:c>
      <x:c r="E333" s="8" t="n">
        <x:v>3.051</x:v>
      </x:c>
      <x:c r="F333" s="8"/>
      <x:c r="G333" s="8"/>
      <x:c r="H333" s="8" t="n">
        <x:v>1.168</x:v>
      </x:c>
      <x:c r="I333" s="8" t="n">
        <x:v>1.494</x:v>
      </x:c>
      <x:c r="J333" s="8" t="n">
        <x:v>1.168</x:v>
      </x:c>
      <x:c r="K333" s="8" t="n">
        <x:v>1.494</x:v>
      </x:c>
      <x:c r="L333" s="8" t="n">
        <x:v>1.792</x:v>
      </x:c>
      <x:c r="M333" s="8" t="n">
        <x:v>2.013</x:v>
      </x:c>
      <x:c r="N333" s="8" t="n">
        <x:v>1.792</x:v>
      </x:c>
      <x:c r="O333" s="8" t="n">
        <x:v>2.013</x:v>
      </x:c>
      <x:c r="P333" s="8" t="n">
        <x:v>0.701</x:v>
      </x:c>
      <x:c r="Q333" s="8" t="n">
        <x:v>1.097</x:v>
      </x:c>
      <x:c r="R333" s="8" t="n">
        <x:v>0.701</x:v>
      </x:c>
      <x:c r="S333" s="8" t="n">
        <x:v>1.097</x:v>
      </x:c>
      <x:c r="T333" s="8" t="n">
        <x:v>1.013</x:v>
      </x:c>
      <x:c r="U333" s="8" t="n">
        <x:v>1.289</x:v>
      </x:c>
      <x:c r="V333" s="8" t="n">
        <x:v>1.013</x:v>
      </x:c>
      <x:c r="W333" s="8" t="n">
        <x:v>1.289</x:v>
      </x:c>
      <x:c r="X333" s="8" t="n">
        <x:v>1.501</x:v>
      </x:c>
      <x:c r="Y333" s="8" t="n">
        <x:v>2.271</x:v>
      </x:c>
      <x:c r="Z333" s="8" t="n">
        <x:v>1.501</x:v>
      </x:c>
      <x:c r="AA333" s="8" t="n">
        <x:v>2.271</x:v>
      </x:c>
      <x:c r="AB333" s="8" t="n">
        <x:v>2.003</x:v>
      </x:c>
      <x:c r="AC333" s="8" t="n">
        <x:v>2.438</x:v>
      </x:c>
      <x:c r="AD333" s="8" t="n">
        <x:v>2.003</x:v>
      </x:c>
      <x:c r="AE333" s="8" t="n">
        <x:v>2.438</x:v>
      </x:c>
      <x:c r="AF333" s="8" t="n">
        <x:v>0.203</x:v>
      </x:c>
      <x:c r="AG333" s="8" t="n">
        <x:v>0.589</x:v>
      </x:c>
      <x:c r="AH333" s="8" t="n">
        <x:v>0.203</x:v>
      </x:c>
      <x:c r="AI333" s="8" t="n">
        <x:v>0.589</x:v>
      </x:c>
      <x:c r="AJ333" s="8"/>
      <x:c r="AK333" s="8"/>
      <x:c r="AL333" s="8" t="n">
        <x:v>1.572</x:v>
      </x:c>
      <x:c r="AM333" s="8" t="n">
        <x:v>1.795</x:v>
      </x:c>
      <x:c r="AN333" s="8" t="n">
        <x:v>0.917</x:v>
      </x:c>
      <x:c r="AO333" s="8" t="n">
        <x:v>1.097</x:v>
      </x:c>
      <x:c r="AP333" s="8" t="n">
        <x:v>0.917</x:v>
      </x:c>
      <x:c r="AQ333" s="8" t="n">
        <x:v>1.097</x:v>
      </x:c>
      <x:c r="AR333" s="8" t="n">
        <x:v>1.543</x:v>
      </x:c>
      <x:c r="AS333" s="8" t="n">
        <x:v>1.905</x:v>
      </x:c>
      <x:c r="AT333" s="8" t="n">
        <x:v>0.872</x:v>
      </x:c>
      <x:c r="AU333" s="8" t="n">
        <x:v>1.069</x:v>
      </x:c>
      <x:c r="AV333" s="8" t="n">
        <x:v>1.658</x:v>
      </x:c>
      <x:c r="AW333" s="8" t="n">
        <x:v>1.967</x:v>
      </x:c>
      <x:c r="AX333" s="8" t="n">
        <x:v>1.676</x:v>
      </x:c>
      <x:c r="AY333" s="8" t="n">
        <x:v>2.013</x:v>
      </x:c>
      <x:c r="AZ333" s="8" t="n">
        <x:v>1.676</x:v>
      </x:c>
      <x:c r="BA333" s="8" t="n">
        <x:v>2.013</x:v>
      </x:c>
      <x:c r="BB333" s="8" t="n">
        <x:f>LET(m,MIN(IF(D333&gt;0,D333,1E+99),IF(F333&gt;0,F333,1E+99),IF(H333&gt;0,H333,1E+99),IF(J333&gt;0,J333,1E+99),IF(L333&gt;0,L333,1E+99),IF(N333&gt;0,N333,1E+99),IF(P333&gt;0,P333,1E+99),IF(R333&gt;0,R333,1E+99),IF(T333&gt;0,T333,1E+99),IF(V333&gt;0,V333,1E+99),IF(X333&gt;0,X333,1E+99),IF(Z333&gt;0,Z333,1E+99),IF(AB333&gt;0,AB333,1E+99),IF(AD333&gt;0,AD333,1E+99),IF(AF333&gt;0,AF333,1E+99),IF(AH333&gt;0,AH333,1E+99),IF(AJ333&gt;0,AJ333,1E+99),IF(AL333&gt;0,AL333,1E+99),IF(AN333&gt;0,AN333,1E+99),IF(AP333&gt;0,AP333,1E+99),IF(AR333&gt;0,AR333,1E+99),IF(AT333&gt;0,AT333,1E+99),IF(AV333&gt;0,AV333,1E+99),IF(AX333&gt;0,AX333,1E+99),IF(AZ333&gt;0,AZ333,1E+99)),IF(m=1E+99,"",m))</x:f>
        <x:v>0.203</x:v>
      </x:c>
      <x:c r="BC333" s="12" t="e">
        <x:f>IF(BB333="","",INDEX({"v1.4.20","v1.4.20","v1.4.21","v1.4.21","v1.4.23","v1.4.23","v1.4.26","v1.4.26","v1.4.26.1","v1.4.26.1","v1.4.27","v1.4.27","v1.4.29","v1.4.29","v1.4.30","v1.4.30","v1.4.31","v1.4.31","v1.4.33","v1.4.33","v1.4.35","v1.4.35.2","v1.5","v1.5.1","v1.5.1"},MATCH(BB333,CHOOSE({1,2,3,4,5,6,7,8,9,10,11,12,13,14,15,16,17,18,19,20,21,22,23,24,25},D333,F333,H333,J333,L333,N333,P333,R333,T333,V333,X333,Z333,AB333,AD333,AF333,AH333,AJ333,AL333,AN333,AP333,AR333,AT333,AV333,AX333,AZ333),0)))</x:f>
      </x:c>
      <x:c r="BD333" s="14" t="n">
        <x:f>LET(m,MIN(IF(E333&gt;0,E333,1E+99),IF(G333&gt;0,G333,1E+99),IF(I333&gt;0,I333,1E+99),IF(K333&gt;0,K333,1E+99),IF(M333&gt;0,M333,1E+99),IF(O333&gt;0,O333,1E+99),IF(Q333&gt;0,Q333,1E+99),IF(S333&gt;0,S333,1E+99),IF(U333&gt;0,U333,1E+99),IF(W333&gt;0,W333,1E+99),IF(Y333&gt;0,Y333,1E+99),IF(AA333&gt;0,AA333,1E+99),IF(AC333&gt;0,AC333,1E+99),IF(AE333&gt;0,AE333,1E+99),IF(AG333&gt;0,AG333,1E+99),IF(AI333&gt;0,AI333,1E+99),IF(AK333&gt;0,AK333,1E+99),IF(AM333&gt;0,AM333,1E+99),IF(AO333&gt;0,AO333,1E+99),IF(AQ333&gt;0,AQ333,1E+99),IF(AS333&gt;0,AS333,1E+99),IF(AU333&gt;0,AU333,1E+99),IF(AW333&gt;0,AW333,1E+99),IF(AY333&gt;0,AY333,1E+99),IF(BA333&gt;0,BA333,1E+99)),IF(m=1E+99,"",m))</x:f>
        <x:v>0.589</x:v>
      </x:c>
      <x:c r="BE333" s="16" t="e">
        <x:f>IF(BD333="","",INDEX({"v1.4.20","v1.4.20","v1.4.21","v1.4.21","v1.4.23","v1.4.23","v1.4.26","v1.4.26","v1.4.26.1","v1.4.26.1","v1.4.27","v1.4.27","v1.4.29","v1.4.29","v1.4.30","v1.4.30","v1.4.31","v1.4.31","v1.4.33","v1.4.33","v1.4.35","v1.4.35.2","v1.5","v1.5.1","v1.5.1"},MATCH(BD333,CHOOSE({1,2,3,4,5,6,7,8,9,10,11,12,13,14,15,16,17,18,19,20,21,22,23,24,25},E333,G333,I333,K333,M333,O333,Q333,S333,U333,W333,Y333,AA333,AC333,AE333,AG333,AI333,AK333,AM333,AO333,AQ333,AS333,AU333,AW333,AY333,BA333),0)))</x:f>
      </x:c>
      <x:c r="BF333" s="10" t="n">
        <x:f>IFERROR((AX333-BB333)/BB333,"")</x:f>
        <x:v>7.2561576354679795</x:v>
      </x:c>
      <x:c r="BG333" s="10" t="n">
        <x:f>IFERROR((AY333-BD333)/BD333,"")</x:f>
        <x:v>2.4176570458404076</x:v>
      </x:c>
    </x:row>
    <x:row r="334">
      <x:c r="A334" t="str"/>
      <x:c r="B334" t="str">
        <x:v>Framework Test 9 - Monthly Change Subheaders</x:v>
      </x:c>
      <x:c r="C334" t="str">
        <x:v>Start</x:v>
      </x:c>
      <x:c r="D334" s="8" t="n">
        <x:v>0</x:v>
      </x:c>
      <x:c r="E334" s="8" t="n">
        <x:v>0</x:v>
      </x:c>
      <x:c r="F334" s="8"/>
      <x:c r="G334" s="8"/>
      <x:c r="H334" s="8" t="n">
        <x:v>0</x:v>
      </x:c>
      <x:c r="I334" s="8" t="n">
        <x:v>0</x:v>
      </x:c>
      <x:c r="J334" s="8" t="n">
        <x:v>0</x:v>
      </x:c>
      <x:c r="K334" s="8" t="n">
        <x:v>0</x:v>
      </x:c>
      <x:c r="L334" s="8" t="n">
        <x:v>0</x:v>
      </x:c>
      <x:c r="M334" s="8" t="n">
        <x:v>0</x:v>
      </x:c>
      <x:c r="N334" s="8" t="n">
        <x:v>0</x:v>
      </x:c>
      <x:c r="O334" s="8" t="n">
        <x:v>0</x:v>
      </x:c>
      <x:c r="P334" s="8" t="n">
        <x:v>0</x:v>
      </x:c>
      <x:c r="Q334" s="8" t="n">
        <x:v>0</x:v>
      </x:c>
      <x:c r="R334" s="8" t="n">
        <x:v>0</x:v>
      </x:c>
      <x:c r="S334" s="8" t="n">
        <x:v>0</x:v>
      </x:c>
      <x:c r="T334" s="8" t="n">
        <x:v>0</x:v>
      </x:c>
      <x:c r="U334" s="8" t="n">
        <x:v>0</x:v>
      </x:c>
      <x:c r="V334" s="8" t="n">
        <x:v>0</x:v>
      </x:c>
      <x:c r="W334" s="8" t="n">
        <x:v>0</x:v>
      </x:c>
      <x:c r="X334" s="8" t="n">
        <x:v>0</x:v>
      </x:c>
      <x:c r="Y334" s="8" t="n">
        <x:v>0</x:v>
      </x:c>
      <x:c r="Z334" s="8" t="n">
        <x:v>0</x:v>
      </x:c>
      <x:c r="AA334" s="8" t="n">
        <x:v>0</x:v>
      </x:c>
      <x:c r="AB334" s="8" t="n">
        <x:v>0</x:v>
      </x:c>
      <x:c r="AC334" s="8" t="n">
        <x:v>0</x:v>
      </x:c>
      <x:c r="AD334" s="8" t="n">
        <x:v>0</x:v>
      </x:c>
      <x:c r="AE334" s="8" t="n">
        <x:v>0</x:v>
      </x:c>
      <x:c r="AF334" s="8" t="n">
        <x:v>0</x:v>
      </x:c>
      <x:c r="AG334" s="8" t="n">
        <x:v>0</x:v>
      </x:c>
      <x:c r="AH334" s="8" t="n">
        <x:v>0</x:v>
      </x:c>
      <x:c r="AI334" s="8" t="n">
        <x:v>0</x:v>
      </x:c>
      <x:c r="AJ334" s="8"/>
      <x:c r="AK334" s="8"/>
      <x:c r="AL334" s="8" t="n">
        <x:v>0</x:v>
      </x:c>
      <x:c r="AM334" s="8" t="n">
        <x:v>0</x:v>
      </x:c>
      <x:c r="AN334" s="8" t="n">
        <x:v>0</x:v>
      </x:c>
      <x:c r="AO334" s="8" t="n">
        <x:v>0</x:v>
      </x:c>
      <x:c r="AP334" s="8" t="n">
        <x:v>0</x:v>
      </x:c>
      <x:c r="AQ334" s="8" t="n">
        <x:v>0</x:v>
      </x:c>
      <x:c r="AR334" s="8" t="n">
        <x:v>0</x:v>
      </x:c>
      <x:c r="AS334" s="8" t="n">
        <x:v>0</x:v>
      </x:c>
      <x:c r="AT334" s="8" t="n">
        <x:v>0</x:v>
      </x:c>
      <x:c r="AU334" s="8" t="n">
        <x:v>0</x:v>
      </x:c>
      <x:c r="AV334" s="8" t="n">
        <x:v>0</x:v>
      </x:c>
      <x:c r="AW334" s="8" t="n">
        <x:v>0</x:v>
      </x:c>
      <x:c r="AX334" s="8" t="n">
        <x:v>0</x:v>
      </x:c>
      <x:c r="AY334" s="8" t="n">
        <x:v>0</x:v>
      </x:c>
      <x:c r="AZ334" s="8" t="n">
        <x:v>0</x:v>
      </x:c>
      <x:c r="BA334" s="8" t="n">
        <x:v>0</x:v>
      </x:c>
      <x:c r="BB334" s="8" t="str">
        <x:f>LET(m,MIN(IF(D334&gt;0,D334,1E+99),IF(F334&gt;0,F334,1E+99),IF(H334&gt;0,H334,1E+99),IF(J334&gt;0,J334,1E+99),IF(L334&gt;0,L334,1E+99),IF(N334&gt;0,N334,1E+99),IF(P334&gt;0,P334,1E+99),IF(R334&gt;0,R334,1E+99),IF(T334&gt;0,T334,1E+99),IF(V334&gt;0,V334,1E+99),IF(X334&gt;0,X334,1E+99),IF(Z334&gt;0,Z334,1E+99),IF(AB334&gt;0,AB334,1E+99),IF(AD334&gt;0,AD334,1E+99),IF(AF334&gt;0,AF334,1E+99),IF(AH334&gt;0,AH334,1E+99),IF(AJ334&gt;0,AJ334,1E+99),IF(AL334&gt;0,AL334,1E+99),IF(AN334&gt;0,AN334,1E+99),IF(AP334&gt;0,AP334,1E+99),IF(AR334&gt;0,AR334,1E+99),IF(AT334&gt;0,AT334,1E+99),IF(AV334&gt;0,AV334,1E+99),IF(AX334&gt;0,AX334,1E+99),IF(AZ334&gt;0,AZ334,1E+99)),IF(m=1E+99,"",m))</x:f>
      </x:c>
      <x:c r="BC334" s="12" t="str">
        <x:f>IF(BB334="","",INDEX({"v1.4.20","v1.4.20","v1.4.21","v1.4.21","v1.4.23","v1.4.23","v1.4.26","v1.4.26","v1.4.26.1","v1.4.26.1","v1.4.27","v1.4.27","v1.4.29","v1.4.29","v1.4.30","v1.4.30","v1.4.31","v1.4.31","v1.4.33","v1.4.33","v1.4.35","v1.4.35.2","v1.5","v1.5.1","v1.5.1"},MATCH(BB334,CHOOSE({1,2,3,4,5,6,7,8,9,10,11,12,13,14,15,16,17,18,19,20,21,22,23,24,25},D334,F334,H334,J334,L334,N334,P334,R334,T334,V334,X334,Z334,AB334,AD334,AF334,AH334,AJ334,AL334,AN334,AP334,AR334,AT334,AV334,AX334,AZ334),0)))</x:f>
      </x:c>
      <x:c r="BD334" s="14" t="str">
        <x:f>LET(m,MIN(IF(E334&gt;0,E334,1E+99),IF(G334&gt;0,G334,1E+99),IF(I334&gt;0,I334,1E+99),IF(K334&gt;0,K334,1E+99),IF(M334&gt;0,M334,1E+99),IF(O334&gt;0,O334,1E+99),IF(Q334&gt;0,Q334,1E+99),IF(S334&gt;0,S334,1E+99),IF(U334&gt;0,U334,1E+99),IF(W334&gt;0,W334,1E+99),IF(Y334&gt;0,Y334,1E+99),IF(AA334&gt;0,AA334,1E+99),IF(AC334&gt;0,AC334,1E+99),IF(AE334&gt;0,AE334,1E+99),IF(AG334&gt;0,AG334,1E+99),IF(AI334&gt;0,AI334,1E+99),IF(AK334&gt;0,AK334,1E+99),IF(AM334&gt;0,AM334,1E+99),IF(AO334&gt;0,AO334,1E+99),IF(AQ334&gt;0,AQ334,1E+99),IF(AS334&gt;0,AS334,1E+99),IF(AU334&gt;0,AU334,1E+99),IF(AW334&gt;0,AW334,1E+99),IF(AY334&gt;0,AY334,1E+99),IF(BA334&gt;0,BA334,1E+99)),IF(m=1E+99,"",m))</x:f>
      </x:c>
      <x:c r="BE334" s="16" t="str">
        <x:f>IF(BD334="","",INDEX({"v1.4.20","v1.4.20","v1.4.21","v1.4.21","v1.4.23","v1.4.23","v1.4.26","v1.4.26","v1.4.26.1","v1.4.26.1","v1.4.27","v1.4.27","v1.4.29","v1.4.29","v1.4.30","v1.4.30","v1.4.31","v1.4.31","v1.4.33","v1.4.33","v1.4.35","v1.4.35.2","v1.5","v1.5.1","v1.5.1"},MATCH(BD334,CHOOSE({1,2,3,4,5,6,7,8,9,10,11,12,13,14,15,16,17,18,19,20,21,22,23,24,25},E334,G334,I334,K334,M334,O334,Q334,S334,U334,W334,Y334,AA334,AC334,AE334,AG334,AI334,AK334,AM334,AO334,AQ334,AS334,AU334,AW334,AY334,BA334),0)))</x:f>
      </x:c>
      <x:c r="BF334" s="10" t="str">
        <x:f>IFERROR((AX334-BB334)/BB334,"")</x:f>
      </x:c>
      <x:c r="BG334" s="10" t="str">
        <x:f>IFERROR((AY334-BD334)/BD334,"")</x:f>
      </x:c>
    </x:row>
    <x:row r="335">
      <x:c r="A335" t="str"/>
      <x:c r="B335" t="str">
        <x:v>Framework Test 9 - Monthly Change Subheaders</x:v>
      </x:c>
      <x:c r="C335" t="str">
        <x:v>Dashboard loaded</x:v>
      </x:c>
      <x:c r="D335" s="8" t="n">
        <x:v>1.983</x:v>
      </x:c>
      <x:c r="E335" s="8" t="n">
        <x:v>1.983</x:v>
      </x:c>
      <x:c r="F335" s="8"/>
      <x:c r="G335" s="8"/>
      <x:c r="H335" s="8" t="n">
        <x:v>0.358</x:v>
      </x:c>
      <x:c r="I335" s="8" t="n">
        <x:v>0.358</x:v>
      </x:c>
      <x:c r="J335" s="8" t="n">
        <x:v>0.358</x:v>
      </x:c>
      <x:c r="K335" s="8" t="n">
        <x:v>0.358</x:v>
      </x:c>
      <x:c r="L335" s="8" t="n">
        <x:v>0.228</x:v>
      </x:c>
      <x:c r="M335" s="8" t="n">
        <x:v>0.228</x:v>
      </x:c>
      <x:c r="N335" s="8" t="n">
        <x:v>0.228</x:v>
      </x:c>
      <x:c r="O335" s="8" t="n">
        <x:v>0.228</x:v>
      </x:c>
      <x:c r="P335" s="8" t="n">
        <x:v>0.136</x:v>
      </x:c>
      <x:c r="Q335" s="8" t="n">
        <x:v>0.136</x:v>
      </x:c>
      <x:c r="R335" s="8" t="n">
        <x:v>0.136</x:v>
      </x:c>
      <x:c r="S335" s="8" t="n">
        <x:v>0.136</x:v>
      </x:c>
      <x:c r="T335" s="8" t="n">
        <x:v>0.314</x:v>
      </x:c>
      <x:c r="U335" s="8" t="n">
        <x:v>0.314</x:v>
      </x:c>
      <x:c r="V335" s="8" t="n">
        <x:v>0.314</x:v>
      </x:c>
      <x:c r="W335" s="8" t="n">
        <x:v>0.314</x:v>
      </x:c>
      <x:c r="X335" s="8" t="n">
        <x:v>0.273</x:v>
      </x:c>
      <x:c r="Y335" s="8" t="n">
        <x:v>0.273</x:v>
      </x:c>
      <x:c r="Z335" s="8" t="n">
        <x:v>0.273</x:v>
      </x:c>
      <x:c r="AA335" s="8" t="n">
        <x:v>0.273</x:v>
      </x:c>
      <x:c r="AB335" s="8" t="n">
        <x:v>0.344</x:v>
      </x:c>
      <x:c r="AC335" s="8" t="n">
        <x:v>0.344</x:v>
      </x:c>
      <x:c r="AD335" s="8" t="n">
        <x:v>0.344</x:v>
      </x:c>
      <x:c r="AE335" s="8" t="n">
        <x:v>0.344</x:v>
      </x:c>
      <x:c r="AF335" s="8" t="n">
        <x:v>0.216</x:v>
      </x:c>
      <x:c r="AG335" s="8" t="n">
        <x:v>0.216</x:v>
      </x:c>
      <x:c r="AH335" s="8" t="n">
        <x:v>0.216</x:v>
      </x:c>
      <x:c r="AI335" s="8" t="n">
        <x:v>0.216</x:v>
      </x:c>
      <x:c r="AJ335" s="8"/>
      <x:c r="AK335" s="8"/>
      <x:c r="AL335" s="8" t="n">
        <x:v>0.261</x:v>
      </x:c>
      <x:c r="AM335" s="8" t="n">
        <x:v>0.261</x:v>
      </x:c>
      <x:c r="AN335" s="8" t="n">
        <x:v>0.442</x:v>
      </x:c>
      <x:c r="AO335" s="8" t="n">
        <x:v>0.442</x:v>
      </x:c>
      <x:c r="AP335" s="8" t="n">
        <x:v>0.442</x:v>
      </x:c>
      <x:c r="AQ335" s="8" t="n">
        <x:v>0.442</x:v>
      </x:c>
      <x:c r="AR335" s="8" t="n">
        <x:v>0.416</x:v>
      </x:c>
      <x:c r="AS335" s="8" t="n">
        <x:v>0.416</x:v>
      </x:c>
      <x:c r="AT335" s="8" t="n">
        <x:v>0.216</x:v>
      </x:c>
      <x:c r="AU335" s="8" t="n">
        <x:v>0.216</x:v>
      </x:c>
      <x:c r="AV335" s="8" t="n">
        <x:v>0.317</x:v>
      </x:c>
      <x:c r="AW335" s="8" t="n">
        <x:v>0.317</x:v>
      </x:c>
      <x:c r="AX335" s="8" t="n">
        <x:v>0.317</x:v>
      </x:c>
      <x:c r="AY335" s="8" t="n">
        <x:v>0.317</x:v>
      </x:c>
      <x:c r="AZ335" s="8" t="n">
        <x:v>0.317</x:v>
      </x:c>
      <x:c r="BA335" s="8" t="n">
        <x:v>0.317</x:v>
      </x:c>
      <x:c r="BB335" s="8" t="n">
        <x:f>LET(m,MIN(IF(D335&gt;0,D335,1E+99),IF(F335&gt;0,F335,1E+99),IF(H335&gt;0,H335,1E+99),IF(J335&gt;0,J335,1E+99),IF(L335&gt;0,L335,1E+99),IF(N335&gt;0,N335,1E+99),IF(P335&gt;0,P335,1E+99),IF(R335&gt;0,R335,1E+99),IF(T335&gt;0,T335,1E+99),IF(V335&gt;0,V335,1E+99),IF(X335&gt;0,X335,1E+99),IF(Z335&gt;0,Z335,1E+99),IF(AB335&gt;0,AB335,1E+99),IF(AD335&gt;0,AD335,1E+99),IF(AF335&gt;0,AF335,1E+99),IF(AH335&gt;0,AH335,1E+99),IF(AJ335&gt;0,AJ335,1E+99),IF(AL335&gt;0,AL335,1E+99),IF(AN335&gt;0,AN335,1E+99),IF(AP335&gt;0,AP335,1E+99),IF(AR335&gt;0,AR335,1E+99),IF(AT335&gt;0,AT335,1E+99),IF(AV335&gt;0,AV335,1E+99),IF(AX335&gt;0,AX335,1E+99),IF(AZ335&gt;0,AZ335,1E+99)),IF(m=1E+99,"",m))</x:f>
        <x:v>0.136</x:v>
      </x:c>
      <x:c r="BC335" s="12" t="e">
        <x:f>IF(BB335="","",INDEX({"v1.4.20","v1.4.20","v1.4.21","v1.4.21","v1.4.23","v1.4.23","v1.4.26","v1.4.26","v1.4.26.1","v1.4.26.1","v1.4.27","v1.4.27","v1.4.29","v1.4.29","v1.4.30","v1.4.30","v1.4.31","v1.4.31","v1.4.33","v1.4.33","v1.4.35","v1.4.35.2","v1.5","v1.5.1","v1.5.1"},MATCH(BB335,CHOOSE({1,2,3,4,5,6,7,8,9,10,11,12,13,14,15,16,17,18,19,20,21,22,23,24,25},D335,F335,H335,J335,L335,N335,P335,R335,T335,V335,X335,Z335,AB335,AD335,AF335,AH335,AJ335,AL335,AN335,AP335,AR335,AT335,AV335,AX335,AZ335),0)))</x:f>
      </x:c>
      <x:c r="BD335" s="14" t="n">
        <x:f>LET(m,MIN(IF(E335&gt;0,E335,1E+99),IF(G335&gt;0,G335,1E+99),IF(I335&gt;0,I335,1E+99),IF(K335&gt;0,K335,1E+99),IF(M335&gt;0,M335,1E+99),IF(O335&gt;0,O335,1E+99),IF(Q335&gt;0,Q335,1E+99),IF(S335&gt;0,S335,1E+99),IF(U335&gt;0,U335,1E+99),IF(W335&gt;0,W335,1E+99),IF(Y335&gt;0,Y335,1E+99),IF(AA335&gt;0,AA335,1E+99),IF(AC335&gt;0,AC335,1E+99),IF(AE335&gt;0,AE335,1E+99),IF(AG335&gt;0,AG335,1E+99),IF(AI335&gt;0,AI335,1E+99),IF(AK335&gt;0,AK335,1E+99),IF(AM335&gt;0,AM335,1E+99),IF(AO335&gt;0,AO335,1E+99),IF(AQ335&gt;0,AQ335,1E+99),IF(AS335&gt;0,AS335,1E+99),IF(AU335&gt;0,AU335,1E+99),IF(AW335&gt;0,AW335,1E+99),IF(AY335&gt;0,AY335,1E+99),IF(BA335&gt;0,BA335,1E+99)),IF(m=1E+99,"",m))</x:f>
        <x:v>0.136</x:v>
      </x:c>
      <x:c r="BE335" s="16" t="e">
        <x:f>IF(BD335="","",INDEX({"v1.4.20","v1.4.20","v1.4.21","v1.4.21","v1.4.23","v1.4.23","v1.4.26","v1.4.26","v1.4.26.1","v1.4.26.1","v1.4.27","v1.4.27","v1.4.29","v1.4.29","v1.4.30","v1.4.30","v1.4.31","v1.4.31","v1.4.33","v1.4.33","v1.4.35","v1.4.35.2","v1.5","v1.5.1","v1.5.1"},MATCH(BD335,CHOOSE({1,2,3,4,5,6,7,8,9,10,11,12,13,14,15,16,17,18,19,20,21,22,23,24,25},E335,G335,I335,K335,M335,O335,Q335,S335,U335,W335,Y335,AA335,AC335,AE335,AG335,AI335,AK335,AM335,AO335,AQ335,AS335,AU335,AW335,AY335,BA335),0)))</x:f>
      </x:c>
      <x:c r="BF335" s="10" t="n">
        <x:f>IFERROR((AX335-BB335)/BB335,"")</x:f>
        <x:v>1.3308823529411764</x:v>
      </x:c>
      <x:c r="BG335" s="10" t="n">
        <x:f>IFERROR((AY335-BD335)/BD335,"")</x:f>
        <x:v>1.3308823529411764</x:v>
      </x:c>
    </x:row>
    <x:row r="336">
      <x:c r="A336" t="str"/>
      <x:c r="B336" t="str">
        <x:v>Framework Test 9 - Monthly Change Subheaders</x:v>
      </x:c>
      <x:c r="C336" t="str">
        <x:v>Test 9 subheader rules evaluated in memory</x:v>
      </x:c>
      <x:c r="D336" s="8"/>
      <x:c r="E336" s="8"/>
      <x:c r="F336" s="8"/>
      <x:c r="G336" s="8"/>
      <x:c r="H336" s="8" t="n">
        <x:v>0</x:v>
      </x:c>
      <x:c r="I336" s="8" t="n">
        <x:v>0.358</x:v>
      </x:c>
      <x:c r="J336" s="8" t="n">
        <x:v>0</x:v>
      </x:c>
      <x:c r="K336" s="8" t="n">
        <x:v>0.358</x:v>
      </x:c>
      <x:c r="L336" s="8" t="n">
        <x:v>0.001</x:v>
      </x:c>
      <x:c r="M336" s="8" t="n">
        <x:v>0.229</x:v>
      </x:c>
      <x:c r="N336" s="8" t="n">
        <x:v>0.001</x:v>
      </x:c>
      <x:c r="O336" s="8" t="n">
        <x:v>0.229</x:v>
      </x:c>
      <x:c r="P336" s="8" t="n">
        <x:v>0.002</x:v>
      </x:c>
      <x:c r="Q336" s="8" t="n">
        <x:v>0.138</x:v>
      </x:c>
      <x:c r="R336" s="8" t="n">
        <x:v>0.002</x:v>
      </x:c>
      <x:c r="S336" s="8" t="n">
        <x:v>0.138</x:v>
      </x:c>
      <x:c r="T336" s="8" t="n">
        <x:v>0.001</x:v>
      </x:c>
      <x:c r="U336" s="8" t="n">
        <x:v>0.315</x:v>
      </x:c>
      <x:c r="V336" s="8" t="n">
        <x:v>0.001</x:v>
      </x:c>
      <x:c r="W336" s="8" t="n">
        <x:v>0.315</x:v>
      </x:c>
      <x:c r="X336" s="8" t="n">
        <x:v>0.001</x:v>
      </x:c>
      <x:c r="Y336" s="8" t="n">
        <x:v>0.274</x:v>
      </x:c>
      <x:c r="Z336" s="8" t="n">
        <x:v>0.001</x:v>
      </x:c>
      <x:c r="AA336" s="8" t="n">
        <x:v>0.274</x:v>
      </x:c>
      <x:c r="AB336" s="8" t="n">
        <x:v>0.001</x:v>
      </x:c>
      <x:c r="AC336" s="8" t="n">
        <x:v>0.345</x:v>
      </x:c>
      <x:c r="AD336" s="8" t="n">
        <x:v>0.001</x:v>
      </x:c>
      <x:c r="AE336" s="8" t="n">
        <x:v>0.345</x:v>
      </x:c>
      <x:c r="AF336" s="8" t="n">
        <x:v>0.001</x:v>
      </x:c>
      <x:c r="AG336" s="8" t="n">
        <x:v>0.217</x:v>
      </x:c>
      <x:c r="AH336" s="8" t="n">
        <x:v>0.001</x:v>
      </x:c>
      <x:c r="AI336" s="8" t="n">
        <x:v>0.217</x:v>
      </x:c>
      <x:c r="AJ336" s="8"/>
      <x:c r="AK336" s="8"/>
      <x:c r="AL336" s="8" t="n">
        <x:v>0.001</x:v>
      </x:c>
      <x:c r="AM336" s="8" t="n">
        <x:v>0.262</x:v>
      </x:c>
      <x:c r="AN336" s="8" t="n">
        <x:v>0.001</x:v>
      </x:c>
      <x:c r="AO336" s="8" t="n">
        <x:v>0.443</x:v>
      </x:c>
      <x:c r="AP336" s="8" t="n">
        <x:v>0.001</x:v>
      </x:c>
      <x:c r="AQ336" s="8" t="n">
        <x:v>0.443</x:v>
      </x:c>
      <x:c r="AR336" s="8" t="n">
        <x:v>0.001</x:v>
      </x:c>
      <x:c r="AS336" s="8" t="n">
        <x:v>0.417</x:v>
      </x:c>
      <x:c r="AT336" s="8" t="n">
        <x:v>0.003</x:v>
      </x:c>
      <x:c r="AU336" s="8" t="n">
        <x:v>0.219</x:v>
      </x:c>
      <x:c r="AV336" s="8" t="n">
        <x:v>0.001</x:v>
      </x:c>
      <x:c r="AW336" s="8" t="n">
        <x:v>0.318</x:v>
      </x:c>
      <x:c r="AX336" s="8" t="n">
        <x:v>0.001</x:v>
      </x:c>
      <x:c r="AY336" s="8" t="n">
        <x:v>0.318</x:v>
      </x:c>
      <x:c r="AZ336" s="8" t="n">
        <x:v>0.001</x:v>
      </x:c>
      <x:c r="BA336" s="8" t="n">
        <x:v>0.318</x:v>
      </x:c>
      <x:c r="BB336" s="8" t="n">
        <x:f>LET(m,MIN(IF(D336&gt;0,D336,1E+99),IF(F336&gt;0,F336,1E+99),IF(H336&gt;0,H336,1E+99),IF(J336&gt;0,J336,1E+99),IF(L336&gt;0,L336,1E+99),IF(N336&gt;0,N336,1E+99),IF(P336&gt;0,P336,1E+99),IF(R336&gt;0,R336,1E+99),IF(T336&gt;0,T336,1E+99),IF(V336&gt;0,V336,1E+99),IF(X336&gt;0,X336,1E+99),IF(Z336&gt;0,Z336,1E+99),IF(AB336&gt;0,AB336,1E+99),IF(AD336&gt;0,AD336,1E+99),IF(AF336&gt;0,AF336,1E+99),IF(AH336&gt;0,AH336,1E+99),IF(AJ336&gt;0,AJ336,1E+99),IF(AL336&gt;0,AL336,1E+99),IF(AN336&gt;0,AN336,1E+99),IF(AP336&gt;0,AP336,1E+99),IF(AR336&gt;0,AR336,1E+99),IF(AT336&gt;0,AT336,1E+99),IF(AV336&gt;0,AV336,1E+99),IF(AX336&gt;0,AX336,1E+99),IF(AZ336&gt;0,AZ336,1E+99)),IF(m=1E+99,"",m))</x:f>
        <x:v>0.001</x:v>
      </x:c>
      <x:c r="BC336" s="12" t="e">
        <x:f>IF(BB336="","",INDEX({"v1.4.20","v1.4.20","v1.4.21","v1.4.21","v1.4.23","v1.4.23","v1.4.26","v1.4.26","v1.4.26.1","v1.4.26.1","v1.4.27","v1.4.27","v1.4.29","v1.4.29","v1.4.30","v1.4.30","v1.4.31","v1.4.31","v1.4.33","v1.4.33","v1.4.35","v1.4.35.2","v1.5","v1.5.1","v1.5.1"},MATCH(BB336,CHOOSE({1,2,3,4,5,6,7,8,9,10,11,12,13,14,15,16,17,18,19,20,21,22,23,24,25},D336,F336,H336,J336,L336,N336,P336,R336,T336,V336,X336,Z336,AB336,AD336,AF336,AH336,AJ336,AL336,AN336,AP336,AR336,AT336,AV336,AX336,AZ336),0)))</x:f>
      </x:c>
      <x:c r="BD336" s="14" t="n">
        <x:f>LET(m,MIN(IF(E336&gt;0,E336,1E+99),IF(G336&gt;0,G336,1E+99),IF(I336&gt;0,I336,1E+99),IF(K336&gt;0,K336,1E+99),IF(M336&gt;0,M336,1E+99),IF(O336&gt;0,O336,1E+99),IF(Q336&gt;0,Q336,1E+99),IF(S336&gt;0,S336,1E+99),IF(U336&gt;0,U336,1E+99),IF(W336&gt;0,W336,1E+99),IF(Y336&gt;0,Y336,1E+99),IF(AA336&gt;0,AA336,1E+99),IF(AC336&gt;0,AC336,1E+99),IF(AE336&gt;0,AE336,1E+99),IF(AG336&gt;0,AG336,1E+99),IF(AI336&gt;0,AI336,1E+99),IF(AK336&gt;0,AK336,1E+99),IF(AM336&gt;0,AM336,1E+99),IF(AO336&gt;0,AO336,1E+99),IF(AQ336&gt;0,AQ336,1E+99),IF(AS336&gt;0,AS336,1E+99),IF(AU336&gt;0,AU336,1E+99),IF(AW336&gt;0,AW336,1E+99),IF(AY336&gt;0,AY336,1E+99),IF(BA336&gt;0,BA336,1E+99)),IF(m=1E+99,"",m))</x:f>
        <x:v>0.138</x:v>
      </x:c>
      <x:c r="BE336" s="16" t="e">
        <x:f>IF(BD336="","",INDEX({"v1.4.20","v1.4.20","v1.4.21","v1.4.21","v1.4.23","v1.4.23","v1.4.26","v1.4.26","v1.4.26.1","v1.4.26.1","v1.4.27","v1.4.27","v1.4.29","v1.4.29","v1.4.30","v1.4.30","v1.4.31","v1.4.31","v1.4.33","v1.4.33","v1.4.35","v1.4.35.2","v1.5","v1.5.1","v1.5.1"},MATCH(BD336,CHOOSE({1,2,3,4,5,6,7,8,9,10,11,12,13,14,15,16,17,18,19,20,21,22,23,24,25},E336,G336,I336,K336,M336,O336,Q336,S336,U336,W336,Y336,AA336,AC336,AE336,AG336,AI336,AK336,AM336,AO336,AQ336,AS336,AU336,AW336,AY336,BA336),0)))</x:f>
      </x:c>
      <x:c r="BF336" s="10" t="n">
        <x:f>IFERROR((AX336-BB336)/BB336,"")</x:f>
        <x:v>0</x:v>
      </x:c>
      <x:c r="BG336" s="10" t="n">
        <x:f>IFERROR((AY336-BD336)/BD336,"")</x:f>
        <x:v>1.3043478260869563</x:v>
      </x:c>
    </x:row>
    <x:row r="337">
      <x:c r="A337" t="str"/>
      <x:c r="B337" t="str">
        <x:v>Framework Test 9 - Monthly Change Subheaders</x:v>
      </x:c>
      <x:c r="C337" t="str">
        <x:v>Dashboard Quality Section E saved - no separate Test 9 sheet created</x:v>
      </x:c>
      <x:c r="D337" s="8"/>
      <x:c r="E337" s="8"/>
      <x:c r="F337" s="8"/>
      <x:c r="G337" s="8"/>
      <x:c r="H337" s="8"/>
      <x:c r="I337" s="8"/>
      <x:c r="J337" s="8"/>
      <x:c r="K337" s="8"/>
      <x:c r="L337" s="8"/>
      <x:c r="M337" s="8"/>
      <x:c r="N337" s="8"/>
      <x:c r="O337" s="8"/>
      <x:c r="P337" s="8"/>
      <x:c r="Q337" s="8"/>
      <x:c r="R337" s="8"/>
      <x:c r="S337" s="8"/>
      <x:c r="T337" s="8" t="n">
        <x:v>8.086</x:v>
      </x:c>
      <x:c r="U337" s="8" t="n">
        <x:v>8.401</x:v>
      </x:c>
      <x:c r="V337" s="8" t="n">
        <x:v>8.086</x:v>
      </x:c>
      <x:c r="W337" s="8" t="n">
        <x:v>8.401</x:v>
      </x:c>
      <x:c r="X337" s="8"/>
      <x:c r="Y337" s="8"/>
      <x:c r="Z337" s="8"/>
      <x:c r="AA337" s="8"/>
      <x:c r="AB337" s="8"/>
      <x:c r="AC337" s="8"/>
      <x:c r="AD337" s="8"/>
      <x:c r="AE337" s="8"/>
      <x:c r="AF337" s="8"/>
      <x:c r="AG337" s="8"/>
      <x:c r="AH337" s="8"/>
      <x:c r="AI337" s="8"/>
      <x:c r="AJ337" s="8"/>
      <x:c r="AK337" s="8"/>
      <x:c r="AL337" s="8" t="n">
        <x:v>6.834</x:v>
      </x:c>
      <x:c r="AM337" s="8" t="n">
        <x:v>7.096</x:v>
      </x:c>
      <x:c r="AN337" s="8" t="n">
        <x:v>4.635</x:v>
      </x:c>
      <x:c r="AO337" s="8" t="n">
        <x:v>5.078</x:v>
      </x:c>
      <x:c r="AP337" s="8" t="n">
        <x:v>4.635</x:v>
      </x:c>
      <x:c r="AQ337" s="8" t="n">
        <x:v>5.078</x:v>
      </x:c>
      <x:c r="AR337" s="8" t="n">
        <x:v>7.767</x:v>
      </x:c>
      <x:c r="AS337" s="8" t="n">
        <x:v>8.184</x:v>
      </x:c>
      <x:c r="AT337" s="8" t="n">
        <x:v>5.497</x:v>
      </x:c>
      <x:c r="AU337" s="8" t="n">
        <x:v>5.716</x:v>
      </x:c>
      <x:c r="AV337" s="8" t="n">
        <x:v>8.737</x:v>
      </x:c>
      <x:c r="AW337" s="8" t="n">
        <x:v>9.055</x:v>
      </x:c>
      <x:c r="AX337" s="8" t="n">
        <x:v>8.676</x:v>
      </x:c>
      <x:c r="AY337" s="8" t="n">
        <x:v>8.994</x:v>
      </x:c>
      <x:c r="AZ337" s="8" t="n">
        <x:v>8.676</x:v>
      </x:c>
      <x:c r="BA337" s="8" t="n">
        <x:v>8.994</x:v>
      </x:c>
      <x:c r="BB337" s="8" t="n">
        <x:f>LET(m,MIN(IF(D337&gt;0,D337,1E+99),IF(F337&gt;0,F337,1E+99),IF(H337&gt;0,H337,1E+99),IF(J337&gt;0,J337,1E+99),IF(L337&gt;0,L337,1E+99),IF(N337&gt;0,N337,1E+99),IF(P337&gt;0,P337,1E+99),IF(R337&gt;0,R337,1E+99),IF(T337&gt;0,T337,1E+99),IF(V337&gt;0,V337,1E+99),IF(X337&gt;0,X337,1E+99),IF(Z337&gt;0,Z337,1E+99),IF(AB337&gt;0,AB337,1E+99),IF(AD337&gt;0,AD337,1E+99),IF(AF337&gt;0,AF337,1E+99),IF(AH337&gt;0,AH337,1E+99),IF(AJ337&gt;0,AJ337,1E+99),IF(AL337&gt;0,AL337,1E+99),IF(AN337&gt;0,AN337,1E+99),IF(AP337&gt;0,AP337,1E+99),IF(AR337&gt;0,AR337,1E+99),IF(AT337&gt;0,AT337,1E+99),IF(AV337&gt;0,AV337,1E+99),IF(AX337&gt;0,AX337,1E+99),IF(AZ337&gt;0,AZ337,1E+99)),IF(m=1E+99,"",m))</x:f>
        <x:v>4.635</x:v>
      </x:c>
      <x:c r="BC337" s="12" t="e">
        <x:f>IF(BB337="","",INDEX({"v1.4.20","v1.4.20","v1.4.21","v1.4.21","v1.4.23","v1.4.23","v1.4.26","v1.4.26","v1.4.26.1","v1.4.26.1","v1.4.27","v1.4.27","v1.4.29","v1.4.29","v1.4.30","v1.4.30","v1.4.31","v1.4.31","v1.4.33","v1.4.33","v1.4.35","v1.4.35.2","v1.5","v1.5.1","v1.5.1"},MATCH(BB337,CHOOSE({1,2,3,4,5,6,7,8,9,10,11,12,13,14,15,16,17,18,19,20,21,22,23,24,25},D337,F337,H337,J337,L337,N337,P337,R337,T337,V337,X337,Z337,AB337,AD337,AF337,AH337,AJ337,AL337,AN337,AP337,AR337,AT337,AV337,AX337,AZ337),0)))</x:f>
      </x:c>
      <x:c r="BD337" s="14" t="n">
        <x:f>LET(m,MIN(IF(E337&gt;0,E337,1E+99),IF(G337&gt;0,G337,1E+99),IF(I337&gt;0,I337,1E+99),IF(K337&gt;0,K337,1E+99),IF(M337&gt;0,M337,1E+99),IF(O337&gt;0,O337,1E+99),IF(Q337&gt;0,Q337,1E+99),IF(S337&gt;0,S337,1E+99),IF(U337&gt;0,U337,1E+99),IF(W337&gt;0,W337,1E+99),IF(Y337&gt;0,Y337,1E+99),IF(AA337&gt;0,AA337,1E+99),IF(AC337&gt;0,AC337,1E+99),IF(AE337&gt;0,AE337,1E+99),IF(AG337&gt;0,AG337,1E+99),IF(AI337&gt;0,AI337,1E+99),IF(AK337&gt;0,AK337,1E+99),IF(AM337&gt;0,AM337,1E+99),IF(AO337&gt;0,AO337,1E+99),IF(AQ337&gt;0,AQ337,1E+99),IF(AS337&gt;0,AS337,1E+99),IF(AU337&gt;0,AU337,1E+99),IF(AW337&gt;0,AW337,1E+99),IF(AY337&gt;0,AY337,1E+99),IF(BA337&gt;0,BA337,1E+99)),IF(m=1E+99,"",m))</x:f>
        <x:v>5.078</x:v>
      </x:c>
      <x:c r="BE337" s="16" t="e">
        <x:f>IF(BD337="","",INDEX({"v1.4.20","v1.4.20","v1.4.21","v1.4.21","v1.4.23","v1.4.23","v1.4.26","v1.4.26","v1.4.26.1","v1.4.26.1","v1.4.27","v1.4.27","v1.4.29","v1.4.29","v1.4.30","v1.4.30","v1.4.31","v1.4.31","v1.4.33","v1.4.33","v1.4.35","v1.4.35.2","v1.5","v1.5.1","v1.5.1"},MATCH(BD337,CHOOSE({1,2,3,4,5,6,7,8,9,10,11,12,13,14,15,16,17,18,19,20,21,22,23,24,25},E337,G337,I337,K337,M337,O337,Q337,S337,U337,W337,Y337,AA337,AC337,AE337,AG337,AI337,AK337,AM337,AO337,AQ337,AS337,AU337,AW337,AY337,BA337),0)))</x:f>
      </x:c>
      <x:c r="BF337" s="10" t="n">
        <x:f>IFERROR((AX337-BB337)/BB337,"")</x:f>
        <x:v>0.8718446601941748</x:v>
      </x:c>
      <x:c r="BG337" s="10" t="n">
        <x:f>IFERROR((AY337-BD337)/BD337,"")</x:f>
        <x:v>0.7711697518708152</x:v>
      </x:c>
    </x:row>
    <x:row r="338">
      <x:c r="A338" t="str"/>
      <x:c r="B338" t="str">
        <x:v>Framework Test 9 - Monthly Change Subheaders</x:v>
      </x:c>
      <x:c r="C338" t="str">
        <x:v>Complete</x:v>
      </x:c>
      <x:c r="D338" s="8" t="n">
        <x:v>1.12</x:v>
      </x:c>
      <x:c r="E338" s="8" t="n">
        <x:v>34.086</x:v>
      </x:c>
      <x:c r="F338" s="8"/>
      <x:c r="G338" s="8"/>
      <x:c r="H338" s="8" t="n">
        <x:v>0.002</x:v>
      </x:c>
      <x:c r="I338" s="8" t="n">
        <x:v>0.8</x:v>
      </x:c>
      <x:c r="J338" s="8" t="n">
        <x:v>0.002</x:v>
      </x:c>
      <x:c r="K338" s="8" t="n">
        <x:v>0.8</x:v>
      </x:c>
      <x:c r="L338" s="8" t="n">
        <x:v>0.002</x:v>
      </x:c>
      <x:c r="M338" s="8" t="n">
        <x:v>5.508</x:v>
      </x:c>
      <x:c r="N338" s="8" t="n">
        <x:v>0.002</x:v>
      </x:c>
      <x:c r="O338" s="8" t="n">
        <x:v>5.508</x:v>
      </x:c>
      <x:c r="P338" s="8" t="n">
        <x:v>0.003</x:v>
      </x:c>
      <x:c r="Q338" s="8" t="n">
        <x:v>4.22</x:v>
      </x:c>
      <x:c r="R338" s="8" t="n">
        <x:v>0.003</x:v>
      </x:c>
      <x:c r="S338" s="8" t="n">
        <x:v>4.22</x:v>
      </x:c>
      <x:c r="T338" s="8" t="n">
        <x:v>0.002</x:v>
      </x:c>
      <x:c r="U338" s="8" t="n">
        <x:v>8.403</x:v>
      </x:c>
      <x:c r="V338" s="8" t="n">
        <x:v>0.002</x:v>
      </x:c>
      <x:c r="W338" s="8" t="n">
        <x:v>8.403</x:v>
      </x:c>
      <x:c r="X338" s="8" t="n">
        <x:v>0.003</x:v>
      </x:c>
      <x:c r="Y338" s="8" t="n">
        <x:v>5.849</x:v>
      </x:c>
      <x:c r="Z338" s="8" t="n">
        <x:v>0.003</x:v>
      </x:c>
      <x:c r="AA338" s="8" t="n">
        <x:v>5.849</x:v>
      </x:c>
      <x:c r="AB338" s="8" t="n">
        <x:v>0.003</x:v>
      </x:c>
      <x:c r="AC338" s="8" t="n">
        <x:v>7.688</x:v>
      </x:c>
      <x:c r="AD338" s="8" t="n">
        <x:v>0.003</x:v>
      </x:c>
      <x:c r="AE338" s="8" t="n">
        <x:v>7.688</x:v>
      </x:c>
      <x:c r="AF338" s="8" t="n">
        <x:v>0.003</x:v>
      </x:c>
      <x:c r="AG338" s="8" t="n">
        <x:v>5.414</x:v>
      </x:c>
      <x:c r="AH338" s="8" t="n">
        <x:v>0.003</x:v>
      </x:c>
      <x:c r="AI338" s="8" t="n">
        <x:v>5.414</x:v>
      </x:c>
      <x:c r="AJ338" s="8"/>
      <x:c r="AK338" s="8"/>
      <x:c r="AL338" s="8" t="n">
        <x:v>0.003</x:v>
      </x:c>
      <x:c r="AM338" s="8" t="n">
        <x:v>7.099</x:v>
      </x:c>
      <x:c r="AN338" s="8" t="n">
        <x:v>0.003</x:v>
      </x:c>
      <x:c r="AO338" s="8" t="n">
        <x:v>5.081</x:v>
      </x:c>
      <x:c r="AP338" s="8" t="n">
        <x:v>0.003</x:v>
      </x:c>
      <x:c r="AQ338" s="8" t="n">
        <x:v>5.081</x:v>
      </x:c>
      <x:c r="AR338" s="8" t="n">
        <x:v>0.002</x:v>
      </x:c>
      <x:c r="AS338" s="8" t="n">
        <x:v>8.186</x:v>
      </x:c>
      <x:c r="AT338" s="8" t="n">
        <x:v>0.002</x:v>
      </x:c>
      <x:c r="AU338" s="8" t="n">
        <x:v>5.718</x:v>
      </x:c>
      <x:c r="AV338" s="8" t="n">
        <x:v>0.002</x:v>
      </x:c>
      <x:c r="AW338" s="8" t="n">
        <x:v>9.057</x:v>
      </x:c>
      <x:c r="AX338" s="8" t="n">
        <x:v>0.002</x:v>
      </x:c>
      <x:c r="AY338" s="8" t="n">
        <x:v>8.996</x:v>
      </x:c>
      <x:c r="AZ338" s="8" t="n">
        <x:v>0.002</x:v>
      </x:c>
      <x:c r="BA338" s="8" t="n">
        <x:v>8.996</x:v>
      </x:c>
      <x:c r="BB338" s="8" t="n">
        <x:f>LET(m,MIN(IF(D338&gt;0,D338,1E+99),IF(F338&gt;0,F338,1E+99),IF(H338&gt;0,H338,1E+99),IF(J338&gt;0,J338,1E+99),IF(L338&gt;0,L338,1E+99),IF(N338&gt;0,N338,1E+99),IF(P338&gt;0,P338,1E+99),IF(R338&gt;0,R338,1E+99),IF(T338&gt;0,T338,1E+99),IF(V338&gt;0,V338,1E+99),IF(X338&gt;0,X338,1E+99),IF(Z338&gt;0,Z338,1E+99),IF(AB338&gt;0,AB338,1E+99),IF(AD338&gt;0,AD338,1E+99),IF(AF338&gt;0,AF338,1E+99),IF(AH338&gt;0,AH338,1E+99),IF(AJ338&gt;0,AJ338,1E+99),IF(AL338&gt;0,AL338,1E+99),IF(AN338&gt;0,AN338,1E+99),IF(AP338&gt;0,AP338,1E+99),IF(AR338&gt;0,AR338,1E+99),IF(AT338&gt;0,AT338,1E+99),IF(AV338&gt;0,AV338,1E+99),IF(AX338&gt;0,AX338,1E+99),IF(AZ338&gt;0,AZ338,1E+99)),IF(m=1E+99,"",m))</x:f>
        <x:v>0.002</x:v>
      </x:c>
      <x:c r="BC338" s="12" t="e">
        <x:f>IF(BB338="","",INDEX({"v1.4.20","v1.4.20","v1.4.21","v1.4.21","v1.4.23","v1.4.23","v1.4.26","v1.4.26","v1.4.26.1","v1.4.26.1","v1.4.27","v1.4.27","v1.4.29","v1.4.29","v1.4.30","v1.4.30","v1.4.31","v1.4.31","v1.4.33","v1.4.33","v1.4.35","v1.4.35.2","v1.5","v1.5.1","v1.5.1"},MATCH(BB338,CHOOSE({1,2,3,4,5,6,7,8,9,10,11,12,13,14,15,16,17,18,19,20,21,22,23,24,25},D338,F338,H338,J338,L338,N338,P338,R338,T338,V338,X338,Z338,AB338,AD338,AF338,AH338,AJ338,AL338,AN338,AP338,AR338,AT338,AV338,AX338,AZ338),0)))</x:f>
      </x:c>
      <x:c r="BD338" s="14" t="n">
        <x:f>LET(m,MIN(IF(E338&gt;0,E338,1E+99),IF(G338&gt;0,G338,1E+99),IF(I338&gt;0,I338,1E+99),IF(K338&gt;0,K338,1E+99),IF(M338&gt;0,M338,1E+99),IF(O338&gt;0,O338,1E+99),IF(Q338&gt;0,Q338,1E+99),IF(S338&gt;0,S338,1E+99),IF(U338&gt;0,U338,1E+99),IF(W338&gt;0,W338,1E+99),IF(Y338&gt;0,Y338,1E+99),IF(AA338&gt;0,AA338,1E+99),IF(AC338&gt;0,AC338,1E+99),IF(AE338&gt;0,AE338,1E+99),IF(AG338&gt;0,AG338,1E+99),IF(AI338&gt;0,AI338,1E+99),IF(AK338&gt;0,AK338,1E+99),IF(AM338&gt;0,AM338,1E+99),IF(AO338&gt;0,AO338,1E+99),IF(AQ338&gt;0,AQ338,1E+99),IF(AS338&gt;0,AS338,1E+99),IF(AU338&gt;0,AU338,1E+99),IF(AW338&gt;0,AW338,1E+99),IF(AY338&gt;0,AY338,1E+99),IF(BA338&gt;0,BA338,1E+99)),IF(m=1E+99,"",m))</x:f>
        <x:v>0.8</x:v>
      </x:c>
      <x:c r="BE338" s="16" t="e">
        <x:f>IF(BD338="","",INDEX({"v1.4.20","v1.4.20","v1.4.21","v1.4.21","v1.4.23","v1.4.23","v1.4.26","v1.4.26","v1.4.26.1","v1.4.26.1","v1.4.27","v1.4.27","v1.4.29","v1.4.29","v1.4.30","v1.4.30","v1.4.31","v1.4.31","v1.4.33","v1.4.33","v1.4.35","v1.4.35.2","v1.5","v1.5.1","v1.5.1"},MATCH(BD338,CHOOSE({1,2,3,4,5,6,7,8,9,10,11,12,13,14,15,16,17,18,19,20,21,22,23,24,25},E338,G338,I338,K338,M338,O338,Q338,S338,U338,W338,Y338,AA338,AC338,AE338,AG338,AI338,AK338,AM338,AO338,AQ338,AS338,AU338,AW338,AY338,BA338),0)))</x:f>
      </x:c>
      <x:c r="BF338" s="10" t="n">
        <x:f>IFERROR((AX338-BB338)/BB338,"")</x:f>
        <x:v>0</x:v>
      </x:c>
      <x:c r="BG338" s="10" t="n">
        <x:f>IFERROR((AY338-BD338)/BD338,"")</x:f>
        <x:v>10.245</x:v>
      </x:c>
    </x:row>
    <x:row r="339">
      <x:c r="A339" t="str"/>
      <x:c r="B339" t="str">
        <x:v>Framework Test 9 - Monthly Change Subheaders</x:v>
      </x:c>
      <x:c r="C339" t="str">
        <x:v>Compact Test 9 summary stored in Dashboard Quality Report</x:v>
      </x:c>
      <x:c r="D339" s="8" t="n">
        <x:v>8.987</x:v>
      </x:c>
      <x:c r="E339" s="8" t="n">
        <x:v>32.966</x:v>
      </x:c>
      <x:c r="F339" s="8"/>
      <x:c r="G339" s="8"/>
      <x:c r="H339" s="8"/>
      <x:c r="I339" s="8"/>
      <x:c r="J339" s="8"/>
      <x:c r="K339" s="8"/>
      <x:c r="L339" s="8"/>
      <x:c r="M339" s="8"/>
      <x:c r="N339" s="8"/>
      <x:c r="O339" s="8"/>
      <x:c r="P339" s="8"/>
      <x:c r="Q339" s="8"/>
      <x:c r="R339" s="8"/>
      <x:c r="S339" s="8"/>
      <x:c r="T339" s="8"/>
      <x:c r="U339" s="8"/>
      <x:c r="V339" s="8"/>
      <x:c r="W339" s="8"/>
      <x:c r="X339" s="8"/>
      <x:c r="Y339" s="8"/>
      <x:c r="Z339" s="8"/>
      <x:c r="AA339" s="8"/>
      <x:c r="AB339" s="8"/>
      <x:c r="AC339" s="8"/>
      <x:c r="AD339" s="8"/>
      <x:c r="AE339" s="8"/>
      <x:c r="AF339" s="8"/>
      <x:c r="AG339" s="8"/>
      <x:c r="AH339" s="8"/>
      <x:c r="AI339" s="8"/>
      <x:c r="AJ339" s="8"/>
      <x:c r="AK339" s="8"/>
      <x:c r="AL339" s="8"/>
      <x:c r="AM339" s="8"/>
      <x:c r="AN339" s="8"/>
      <x:c r="AO339" s="8"/>
      <x:c r="AP339" s="8"/>
      <x:c r="AQ339" s="8"/>
      <x:c r="AR339" s="8"/>
      <x:c r="AS339" s="8"/>
      <x:c r="AT339" s="8"/>
      <x:c r="AU339" s="8"/>
      <x:c r="AV339" s="8"/>
      <x:c r="AW339" s="8"/>
      <x:c r="AX339" s="8"/>
      <x:c r="AY339" s="8"/>
      <x:c r="AZ339" s="8"/>
      <x:c r="BA339" s="8"/>
      <x:c r="BB339" s="8" t="n">
        <x:f>LET(m,MIN(IF(D339&gt;0,D339,1E+99),IF(F339&gt;0,F339,1E+99),IF(H339&gt;0,H339,1E+99),IF(J339&gt;0,J339,1E+99),IF(L339&gt;0,L339,1E+99),IF(N339&gt;0,N339,1E+99),IF(P339&gt;0,P339,1E+99),IF(R339&gt;0,R339,1E+99),IF(T339&gt;0,T339,1E+99),IF(V339&gt;0,V339,1E+99),IF(X339&gt;0,X339,1E+99),IF(Z339&gt;0,Z339,1E+99),IF(AB339&gt;0,AB339,1E+99),IF(AD339&gt;0,AD339,1E+99),IF(AF339&gt;0,AF339,1E+99),IF(AH339&gt;0,AH339,1E+99),IF(AJ339&gt;0,AJ339,1E+99),IF(AL339&gt;0,AL339,1E+99),IF(AN339&gt;0,AN339,1E+99),IF(AP339&gt;0,AP339,1E+99),IF(AR339&gt;0,AR339,1E+99),IF(AT339&gt;0,AT339,1E+99),IF(AV339&gt;0,AV339,1E+99),IF(AX339&gt;0,AX339,1E+99),IF(AZ339&gt;0,AZ339,1E+99)),IF(m=1E+99,"",m))</x:f>
        <x:v>8.987</x:v>
      </x:c>
      <x:c r="BC339" s="12" t="str">
        <x:f>IF(BB339="","",INDEX({"v1.4.20","v1.4.20","v1.4.21","v1.4.21","v1.4.23","v1.4.23","v1.4.26","v1.4.26","v1.4.26.1","v1.4.26.1","v1.4.27","v1.4.27","v1.4.29","v1.4.29","v1.4.30","v1.4.30","v1.4.31","v1.4.31","v1.4.33","v1.4.33","v1.4.35","v1.4.35.2","v1.5","v1.5.1","v1.5.1"},MATCH(BB339,CHOOSE({1,2,3,4,5,6,7,8,9,10,11,12,13,14,15,16,17,18,19,20,21,22,23,24,25},D339,F339,H339,J339,L339,N339,P339,R339,T339,V339,X339,Z339,AB339,AD339,AF339,AH339,AJ339,AL339,AN339,AP339,AR339,AT339,AV339,AX339,AZ339),0)))</x:f>
        <x:v>v1.4.20</x:v>
      </x:c>
      <x:c r="BD339" s="14" t="n">
        <x:f>LET(m,MIN(IF(E339&gt;0,E339,1E+99),IF(G339&gt;0,G339,1E+99),IF(I339&gt;0,I339,1E+99),IF(K339&gt;0,K339,1E+99),IF(M339&gt;0,M339,1E+99),IF(O339&gt;0,O339,1E+99),IF(Q339&gt;0,Q339,1E+99),IF(S339&gt;0,S339,1E+99),IF(U339&gt;0,U339,1E+99),IF(W339&gt;0,W339,1E+99),IF(Y339&gt;0,Y339,1E+99),IF(AA339&gt;0,AA339,1E+99),IF(AC339&gt;0,AC339,1E+99),IF(AE339&gt;0,AE339,1E+99),IF(AG339&gt;0,AG339,1E+99),IF(AI339&gt;0,AI339,1E+99),IF(AK339&gt;0,AK339,1E+99),IF(AM339&gt;0,AM339,1E+99),IF(AO339&gt;0,AO339,1E+99),IF(AQ339&gt;0,AQ339,1E+99),IF(AS339&gt;0,AS339,1E+99),IF(AU339&gt;0,AU339,1E+99),IF(AW339&gt;0,AW339,1E+99),IF(AY339&gt;0,AY339,1E+99),IF(BA339&gt;0,BA339,1E+99)),IF(m=1E+99,"",m))</x:f>
        <x:v>32.966</x:v>
      </x:c>
      <x:c r="BE339" s="16" t="str">
        <x:f>IF(BD339="","",INDEX({"v1.4.20","v1.4.20","v1.4.21","v1.4.21","v1.4.23","v1.4.23","v1.4.26","v1.4.26","v1.4.26.1","v1.4.26.1","v1.4.27","v1.4.27","v1.4.29","v1.4.29","v1.4.30","v1.4.30","v1.4.31","v1.4.31","v1.4.33","v1.4.33","v1.4.35","v1.4.35.2","v1.5","v1.5.1","v1.5.1"},MATCH(BD339,CHOOSE({1,2,3,4,5,6,7,8,9,10,11,12,13,14,15,16,17,18,19,20,21,22,23,24,25},E339,G339,I339,K339,M339,O339,Q339,S339,U339,W339,Y339,AA339,AC339,AE339,AG339,AI339,AK339,AM339,AO339,AQ339,AS339,AU339,AW339,AY339,BA339),0)))</x:f>
        <x:v>v1.4.20</x:v>
      </x:c>
      <x:c r="BF339" s="10" t="n">
        <x:f>IFERROR((AX339-BB339)/BB339,"")</x:f>
        <x:v>-1</x:v>
      </x:c>
      <x:c r="BG339" s="10" t="n">
        <x:f>IFERROR((AY339-BD339)/BD339,"")</x:f>
        <x:v>-1</x:v>
      </x:c>
    </x:row>
    <x:row r="340">
      <x:c r="A340" t="str"/>
      <x:c r="B340" t="str">
        <x:v>Framework Test 9 - Monthly Change Subheaders</x:v>
      </x:c>
      <x:c r="C340" t="str">
        <x:v>Compact subheader samples formatted</x:v>
      </x:c>
      <x:c r="D340" s="8" t="n">
        <x:v>1.302</x:v>
      </x:c>
      <x:c r="E340" s="8" t="n">
        <x:v>23.979</x:v>
      </x:c>
      <x:c r="F340" s="8"/>
      <x:c r="G340" s="8"/>
      <x:c r="H340" s="8"/>
      <x:c r="I340" s="8"/>
      <x:c r="J340" s="8"/>
      <x:c r="K340" s="8"/>
      <x:c r="L340" s="8"/>
      <x:c r="M340" s="8"/>
      <x:c r="N340" s="8"/>
      <x:c r="O340" s="8"/>
      <x:c r="P340" s="8"/>
      <x:c r="Q340" s="8"/>
      <x:c r="R340" s="8"/>
      <x:c r="S340" s="8"/>
      <x:c r="T340" s="8"/>
      <x:c r="U340" s="8"/>
      <x:c r="V340" s="8"/>
      <x:c r="W340" s="8"/>
      <x:c r="X340" s="8"/>
      <x:c r="Y340" s="8"/>
      <x:c r="Z340" s="8"/>
      <x:c r="AA340" s="8"/>
      <x:c r="AB340" s="8"/>
      <x:c r="AC340" s="8"/>
      <x:c r="AD340" s="8"/>
      <x:c r="AE340" s="8"/>
      <x:c r="AF340" s="8"/>
      <x:c r="AG340" s="8"/>
      <x:c r="AH340" s="8"/>
      <x:c r="AI340" s="8"/>
      <x:c r="AJ340" s="8"/>
      <x:c r="AK340" s="8"/>
      <x:c r="AL340" s="8"/>
      <x:c r="AM340" s="8"/>
      <x:c r="AN340" s="8"/>
      <x:c r="AO340" s="8"/>
      <x:c r="AP340" s="8"/>
      <x:c r="AQ340" s="8"/>
      <x:c r="AR340" s="8"/>
      <x:c r="AS340" s="8"/>
      <x:c r="AT340" s="8"/>
      <x:c r="AU340" s="8"/>
      <x:c r="AV340" s="8"/>
      <x:c r="AW340" s="8"/>
      <x:c r="AX340" s="8"/>
      <x:c r="AY340" s="8"/>
      <x:c r="AZ340" s="8"/>
      <x:c r="BA340" s="8"/>
      <x:c r="BB340" s="8" t="n">
        <x:f>LET(m,MIN(IF(D340&gt;0,D340,1E+99),IF(F340&gt;0,F340,1E+99),IF(H340&gt;0,H340,1E+99),IF(J340&gt;0,J340,1E+99),IF(L340&gt;0,L340,1E+99),IF(N340&gt;0,N340,1E+99),IF(P340&gt;0,P340,1E+99),IF(R340&gt;0,R340,1E+99),IF(T340&gt;0,T340,1E+99),IF(V340&gt;0,V340,1E+99),IF(X340&gt;0,X340,1E+99),IF(Z340&gt;0,Z340,1E+99),IF(AB340&gt;0,AB340,1E+99),IF(AD340&gt;0,AD340,1E+99),IF(AF340&gt;0,AF340,1E+99),IF(AH340&gt;0,AH340,1E+99),IF(AJ340&gt;0,AJ340,1E+99),IF(AL340&gt;0,AL340,1E+99),IF(AN340&gt;0,AN340,1E+99),IF(AP340&gt;0,AP340,1E+99),IF(AR340&gt;0,AR340,1E+99),IF(AT340&gt;0,AT340,1E+99),IF(AV340&gt;0,AV340,1E+99),IF(AX340&gt;0,AX340,1E+99),IF(AZ340&gt;0,AZ340,1E+99)),IF(m=1E+99,"",m))</x:f>
        <x:v>1.302</x:v>
      </x:c>
      <x:c r="BC340" s="12" t="str">
        <x:f>IF(BB340="","",INDEX({"v1.4.20","v1.4.20","v1.4.21","v1.4.21","v1.4.23","v1.4.23","v1.4.26","v1.4.26","v1.4.26.1","v1.4.26.1","v1.4.27","v1.4.27","v1.4.29","v1.4.29","v1.4.30","v1.4.30","v1.4.31","v1.4.31","v1.4.33","v1.4.33","v1.4.35","v1.4.35.2","v1.5","v1.5.1","v1.5.1"},MATCH(BB340,CHOOSE({1,2,3,4,5,6,7,8,9,10,11,12,13,14,15,16,17,18,19,20,21,22,23,24,25},D340,F340,H340,J340,L340,N340,P340,R340,T340,V340,X340,Z340,AB340,AD340,AF340,AH340,AJ340,AL340,AN340,AP340,AR340,AT340,AV340,AX340,AZ340),0)))</x:f>
        <x:v>v1.4.20</x:v>
      </x:c>
      <x:c r="BD340" s="14" t="n">
        <x:f>LET(m,MIN(IF(E340&gt;0,E340,1E+99),IF(G340&gt;0,G340,1E+99),IF(I340&gt;0,I340,1E+99),IF(K340&gt;0,K340,1E+99),IF(M340&gt;0,M340,1E+99),IF(O340&gt;0,O340,1E+99),IF(Q340&gt;0,Q340,1E+99),IF(S340&gt;0,S340,1E+99),IF(U340&gt;0,U340,1E+99),IF(W340&gt;0,W340,1E+99),IF(Y340&gt;0,Y340,1E+99),IF(AA340&gt;0,AA340,1E+99),IF(AC340&gt;0,AC340,1E+99),IF(AE340&gt;0,AE340,1E+99),IF(AG340&gt;0,AG340,1E+99),IF(AI340&gt;0,AI340,1E+99),IF(AK340&gt;0,AK340,1E+99),IF(AM340&gt;0,AM340,1E+99),IF(AO340&gt;0,AO340,1E+99),IF(AQ340&gt;0,AQ340,1E+99),IF(AS340&gt;0,AS340,1E+99),IF(AU340&gt;0,AU340,1E+99),IF(AW340&gt;0,AW340,1E+99),IF(AY340&gt;0,AY340,1E+99),IF(BA340&gt;0,BA340,1E+99)),IF(m=1E+99,"",m))</x:f>
        <x:v>23.979</x:v>
      </x:c>
      <x:c r="BE340" s="16" t="str">
        <x:f>IF(BD340="","",INDEX({"v1.4.20","v1.4.20","v1.4.21","v1.4.21","v1.4.23","v1.4.23","v1.4.26","v1.4.26","v1.4.26.1","v1.4.26.1","v1.4.27","v1.4.27","v1.4.29","v1.4.29","v1.4.30","v1.4.30","v1.4.31","v1.4.31","v1.4.33","v1.4.33","v1.4.35","v1.4.35.2","v1.5","v1.5.1","v1.5.1"},MATCH(BD340,CHOOSE({1,2,3,4,5,6,7,8,9,10,11,12,13,14,15,16,17,18,19,20,21,22,23,24,25},E340,G340,I340,K340,M340,O340,Q340,S340,U340,W340,Y340,AA340,AC340,AE340,AG340,AI340,AK340,AM340,AO340,AQ340,AS340,AU340,AW340,AY340,BA340),0)))</x:f>
        <x:v>v1.4.20</x:v>
      </x:c>
      <x:c r="BF340" s="10" t="n">
        <x:f>IFERROR((AX340-BB340)/BB340,"")</x:f>
        <x:v>-1</x:v>
      </x:c>
      <x:c r="BG340" s="10" t="n">
        <x:f>IFERROR((AY340-BD340)/BD340,"")</x:f>
        <x:v>-1</x:v>
      </x:c>
    </x:row>
    <x:row r="341">
      <x:c r="A341" t="str"/>
      <x:c r="B341" t="str">
        <x:v>Framework Test 9 - Monthly Change Subheaders</x:v>
      </x:c>
      <x:c r="C341" t="str">
        <x:v>Dashboard Quality Report Section D updated - no separate Test 9 sheet created</x:v>
      </x:c>
      <x:c r="D341" s="8"/>
      <x:c r="E341" s="8"/>
      <x:c r="F341" s="8"/>
      <x:c r="G341" s="8"/>
      <x:c r="H341" s="8" t="n">
        <x:v>0.44</x:v>
      </x:c>
      <x:c r="I341" s="8" t="n">
        <x:v>0.798</x:v>
      </x:c>
      <x:c r="J341" s="8" t="n">
        <x:v>0.44</x:v>
      </x:c>
      <x:c r="K341" s="8" t="n">
        <x:v>0.798</x:v>
      </x:c>
      <x:c r="L341" s="8" t="n">
        <x:v>5.277</x:v>
      </x:c>
      <x:c r="M341" s="8" t="n">
        <x:v>5.506</x:v>
      </x:c>
      <x:c r="N341" s="8" t="n">
        <x:v>5.277</x:v>
      </x:c>
      <x:c r="O341" s="8" t="n">
        <x:v>5.506</x:v>
      </x:c>
      <x:c r="P341" s="8" t="n">
        <x:v>4.079</x:v>
      </x:c>
      <x:c r="Q341" s="8" t="n">
        <x:v>4.217</x:v>
      </x:c>
      <x:c r="R341" s="8" t="n">
        <x:v>4.079</x:v>
      </x:c>
      <x:c r="S341" s="8" t="n">
        <x:v>4.217</x:v>
      </x:c>
      <x:c r="T341" s="8"/>
      <x:c r="U341" s="8"/>
      <x:c r="V341" s="8"/>
      <x:c r="W341" s="8"/>
      <x:c r="X341" s="8" t="n">
        <x:v>5.572</x:v>
      </x:c>
      <x:c r="Y341" s="8" t="n">
        <x:v>5.846</x:v>
      </x:c>
      <x:c r="Z341" s="8" t="n">
        <x:v>5.572</x:v>
      </x:c>
      <x:c r="AA341" s="8" t="n">
        <x:v>5.846</x:v>
      </x:c>
      <x:c r="AB341" s="8" t="n">
        <x:v>7.34</x:v>
      </x:c>
      <x:c r="AC341" s="8" t="n">
        <x:v>7.685</x:v>
      </x:c>
      <x:c r="AD341" s="8" t="n">
        <x:v>7.34</x:v>
      </x:c>
      <x:c r="AE341" s="8" t="n">
        <x:v>7.685</x:v>
      </x:c>
      <x:c r="AF341" s="8" t="n">
        <x:v>5.194</x:v>
      </x:c>
      <x:c r="AG341" s="8" t="n">
        <x:v>5.411</x:v>
      </x:c>
      <x:c r="AH341" s="8" t="n">
        <x:v>5.194</x:v>
      </x:c>
      <x:c r="AI341" s="8" t="n">
        <x:v>5.411</x:v>
      </x:c>
      <x:c r="AJ341" s="8"/>
      <x:c r="AK341" s="8"/>
      <x:c r="AL341" s="8"/>
      <x:c r="AM341" s="8"/>
      <x:c r="AN341" s="8"/>
      <x:c r="AO341" s="8"/>
      <x:c r="AP341" s="8"/>
      <x:c r="AQ341" s="8"/>
      <x:c r="AR341" s="8"/>
      <x:c r="AS341" s="8"/>
      <x:c r="AT341" s="8"/>
      <x:c r="AU341" s="8"/>
      <x:c r="AV341" s="8"/>
      <x:c r="AW341" s="8"/>
      <x:c r="AX341" s="8"/>
      <x:c r="AY341" s="8"/>
      <x:c r="AZ341" s="8"/>
      <x:c r="BA341" s="8"/>
      <x:c r="BB341" s="8" t="n">
        <x:f>LET(m,MIN(IF(D341&gt;0,D341,1E+99),IF(F341&gt;0,F341,1E+99),IF(H341&gt;0,H341,1E+99),IF(J341&gt;0,J341,1E+99),IF(L341&gt;0,L341,1E+99),IF(N341&gt;0,N341,1E+99),IF(P341&gt;0,P341,1E+99),IF(R341&gt;0,R341,1E+99),IF(T341&gt;0,T341,1E+99),IF(V341&gt;0,V341,1E+99),IF(X341&gt;0,X341,1E+99),IF(Z341&gt;0,Z341,1E+99),IF(AB341&gt;0,AB341,1E+99),IF(AD341&gt;0,AD341,1E+99),IF(AF341&gt;0,AF341,1E+99),IF(AH341&gt;0,AH341,1E+99),IF(AJ341&gt;0,AJ341,1E+99),IF(AL341&gt;0,AL341,1E+99),IF(AN341&gt;0,AN341,1E+99),IF(AP341&gt;0,AP341,1E+99),IF(AR341&gt;0,AR341,1E+99),IF(AT341&gt;0,AT341,1E+99),IF(AV341&gt;0,AV341,1E+99),IF(AX341&gt;0,AX341,1E+99),IF(AZ341&gt;0,AZ341,1E+99)),IF(m=1E+99,"",m))</x:f>
        <x:v>0.44</x:v>
      </x:c>
      <x:c r="BC341" s="12" t="e">
        <x:f>IF(BB341="","",INDEX({"v1.4.20","v1.4.20","v1.4.21","v1.4.21","v1.4.23","v1.4.23","v1.4.26","v1.4.26","v1.4.26.1","v1.4.26.1","v1.4.27","v1.4.27","v1.4.29","v1.4.29","v1.4.30","v1.4.30","v1.4.31","v1.4.31","v1.4.33","v1.4.33","v1.4.35","v1.4.35.2","v1.5","v1.5.1","v1.5.1"},MATCH(BB341,CHOOSE({1,2,3,4,5,6,7,8,9,10,11,12,13,14,15,16,17,18,19,20,21,22,23,24,25},D341,F341,H341,J341,L341,N341,P341,R341,T341,V341,X341,Z341,AB341,AD341,AF341,AH341,AJ341,AL341,AN341,AP341,AR341,AT341,AV341,AX341,AZ341),0)))</x:f>
      </x:c>
      <x:c r="BD341" s="14" t="n">
        <x:f>LET(m,MIN(IF(E341&gt;0,E341,1E+99),IF(G341&gt;0,G341,1E+99),IF(I341&gt;0,I341,1E+99),IF(K341&gt;0,K341,1E+99),IF(M341&gt;0,M341,1E+99),IF(O341&gt;0,O341,1E+99),IF(Q341&gt;0,Q341,1E+99),IF(S341&gt;0,S341,1E+99),IF(U341&gt;0,U341,1E+99),IF(W341&gt;0,W341,1E+99),IF(Y341&gt;0,Y341,1E+99),IF(AA341&gt;0,AA341,1E+99),IF(AC341&gt;0,AC341,1E+99),IF(AE341&gt;0,AE341,1E+99),IF(AG341&gt;0,AG341,1E+99),IF(AI341&gt;0,AI341,1E+99),IF(AK341&gt;0,AK341,1E+99),IF(AM341&gt;0,AM341,1E+99),IF(AO341&gt;0,AO341,1E+99),IF(AQ341&gt;0,AQ341,1E+99),IF(AS341&gt;0,AS341,1E+99),IF(AU341&gt;0,AU341,1E+99),IF(AW341&gt;0,AW341,1E+99),IF(AY341&gt;0,AY341,1E+99),IF(BA341&gt;0,BA341,1E+99)),IF(m=1E+99,"",m))</x:f>
        <x:v>0.798</x:v>
      </x:c>
      <x:c r="BE341" s="16" t="e">
        <x:f>IF(BD341="","",INDEX({"v1.4.20","v1.4.20","v1.4.21","v1.4.21","v1.4.23","v1.4.23","v1.4.26","v1.4.26","v1.4.26.1","v1.4.26.1","v1.4.27","v1.4.27","v1.4.29","v1.4.29","v1.4.30","v1.4.30","v1.4.31","v1.4.31","v1.4.33","v1.4.33","v1.4.35","v1.4.35.2","v1.5","v1.5.1","v1.5.1"},MATCH(BD341,CHOOSE({1,2,3,4,5,6,7,8,9,10,11,12,13,14,15,16,17,18,19,20,21,22,23,24,25},E341,G341,I341,K341,M341,O341,Q341,S341,U341,W341,Y341,AA341,AC341,AE341,AG341,AI341,AK341,AM341,AO341,AQ341,AS341,AU341,AW341,AY341,BA341),0)))</x:f>
      </x:c>
      <x:c r="BF341" s="10" t="n">
        <x:f>IFERROR((AX341-BB341)/BB341,"")</x:f>
        <x:v>-1</x:v>
      </x:c>
      <x:c r="BG341" s="10" t="n">
        <x:f>IFERROR((AY341-BD341)/BD341,"")</x:f>
        <x:v>-1</x:v>
      </x:c>
    </x:row>
    <x:row r="342">
      <x:c r="A342" t="str"/>
      <x:c r="B342" t="str">
        <x:v>Framework Test 9 - Monthly Change Subheaders</x:v>
      </x:c>
      <x:c r="C342" t="str">
        <x:v>Test 9 compact sheet prepared</x:v>
      </x:c>
      <x:c r="D342" s="8" t="n">
        <x:v>20.694</x:v>
      </x:c>
      <x:c r="E342" s="8" t="n">
        <x:v>22.677</x:v>
      </x:c>
      <x:c r="F342" s="8"/>
      <x:c r="G342" s="8"/>
      <x:c r="H342" s="8"/>
      <x:c r="I342" s="8"/>
      <x:c r="J342" s="8"/>
      <x:c r="K342" s="8"/>
      <x:c r="L342" s="8"/>
      <x:c r="M342" s="8"/>
      <x:c r="N342" s="8"/>
      <x:c r="O342" s="8"/>
      <x:c r="P342" s="8"/>
      <x:c r="Q342" s="8"/>
      <x:c r="R342" s="8"/>
      <x:c r="S342" s="8"/>
      <x:c r="T342" s="8"/>
      <x:c r="U342" s="8"/>
      <x:c r="V342" s="8"/>
      <x:c r="W342" s="8"/>
      <x:c r="X342" s="8"/>
      <x:c r="Y342" s="8"/>
      <x:c r="Z342" s="8"/>
      <x:c r="AA342" s="8"/>
      <x:c r="AB342" s="8"/>
      <x:c r="AC342" s="8"/>
      <x:c r="AD342" s="8"/>
      <x:c r="AE342" s="8"/>
      <x:c r="AF342" s="8"/>
      <x:c r="AG342" s="8"/>
      <x:c r="AH342" s="8"/>
      <x:c r="AI342" s="8"/>
      <x:c r="AJ342" s="8"/>
      <x:c r="AK342" s="8"/>
      <x:c r="AL342" s="8"/>
      <x:c r="AM342" s="8"/>
      <x:c r="AN342" s="8"/>
      <x:c r="AO342" s="8"/>
      <x:c r="AP342" s="8"/>
      <x:c r="AQ342" s="8"/>
      <x:c r="AR342" s="8"/>
      <x:c r="AS342" s="8"/>
      <x:c r="AT342" s="8"/>
      <x:c r="AU342" s="8"/>
      <x:c r="AV342" s="8"/>
      <x:c r="AW342" s="8"/>
      <x:c r="AX342" s="8"/>
      <x:c r="AY342" s="8"/>
      <x:c r="AZ342" s="8"/>
      <x:c r="BA342" s="8"/>
      <x:c r="BB342" s="8" t="n">
        <x:f>LET(m,MIN(IF(D342&gt;0,D342,1E+99),IF(F342&gt;0,F342,1E+99),IF(H342&gt;0,H342,1E+99),IF(J342&gt;0,J342,1E+99),IF(L342&gt;0,L342,1E+99),IF(N342&gt;0,N342,1E+99),IF(P342&gt;0,P342,1E+99),IF(R342&gt;0,R342,1E+99),IF(T342&gt;0,T342,1E+99),IF(V342&gt;0,V342,1E+99),IF(X342&gt;0,X342,1E+99),IF(Z342&gt;0,Z342,1E+99),IF(AB342&gt;0,AB342,1E+99),IF(AD342&gt;0,AD342,1E+99),IF(AF342&gt;0,AF342,1E+99),IF(AH342&gt;0,AH342,1E+99),IF(AJ342&gt;0,AJ342,1E+99),IF(AL342&gt;0,AL342,1E+99),IF(AN342&gt;0,AN342,1E+99),IF(AP342&gt;0,AP342,1E+99),IF(AR342&gt;0,AR342,1E+99),IF(AT342&gt;0,AT342,1E+99),IF(AV342&gt;0,AV342,1E+99),IF(AX342&gt;0,AX342,1E+99),IF(AZ342&gt;0,AZ342,1E+99)),IF(m=1E+99,"",m))</x:f>
        <x:v>20.694</x:v>
      </x:c>
      <x:c r="BC342" s="12" t="str">
        <x:f>IF(BB342="","",INDEX({"v1.4.20","v1.4.20","v1.4.21","v1.4.21","v1.4.23","v1.4.23","v1.4.26","v1.4.26","v1.4.26.1","v1.4.26.1","v1.4.27","v1.4.27","v1.4.29","v1.4.29","v1.4.30","v1.4.30","v1.4.31","v1.4.31","v1.4.33","v1.4.33","v1.4.35","v1.4.35.2","v1.5","v1.5.1","v1.5.1"},MATCH(BB342,CHOOSE({1,2,3,4,5,6,7,8,9,10,11,12,13,14,15,16,17,18,19,20,21,22,23,24,25},D342,F342,H342,J342,L342,N342,P342,R342,T342,V342,X342,Z342,AB342,AD342,AF342,AH342,AJ342,AL342,AN342,AP342,AR342,AT342,AV342,AX342,AZ342),0)))</x:f>
        <x:v>v1.4.20</x:v>
      </x:c>
      <x:c r="BD342" s="14" t="n">
        <x:f>LET(m,MIN(IF(E342&gt;0,E342,1E+99),IF(G342&gt;0,G342,1E+99),IF(I342&gt;0,I342,1E+99),IF(K342&gt;0,K342,1E+99),IF(M342&gt;0,M342,1E+99),IF(O342&gt;0,O342,1E+99),IF(Q342&gt;0,Q342,1E+99),IF(S342&gt;0,S342,1E+99),IF(U342&gt;0,U342,1E+99),IF(W342&gt;0,W342,1E+99),IF(Y342&gt;0,Y342,1E+99),IF(AA342&gt;0,AA342,1E+99),IF(AC342&gt;0,AC342,1E+99),IF(AE342&gt;0,AE342,1E+99),IF(AG342&gt;0,AG342,1E+99),IF(AI342&gt;0,AI342,1E+99),IF(AK342&gt;0,AK342,1E+99),IF(AM342&gt;0,AM342,1E+99),IF(AO342&gt;0,AO342,1E+99),IF(AQ342&gt;0,AQ342,1E+99),IF(AS342&gt;0,AS342,1E+99),IF(AU342&gt;0,AU342,1E+99),IF(AW342&gt;0,AW342,1E+99),IF(AY342&gt;0,AY342,1E+99),IF(BA342&gt;0,BA342,1E+99)),IF(m=1E+99,"",m))</x:f>
        <x:v>22.677</x:v>
      </x:c>
      <x:c r="BE342" s="16" t="str">
        <x:f>IF(BD342="","",INDEX({"v1.4.20","v1.4.20","v1.4.21","v1.4.21","v1.4.23","v1.4.23","v1.4.26","v1.4.26","v1.4.26.1","v1.4.26.1","v1.4.27","v1.4.27","v1.4.29","v1.4.29","v1.4.30","v1.4.30","v1.4.31","v1.4.31","v1.4.33","v1.4.33","v1.4.35","v1.4.35.2","v1.5","v1.5.1","v1.5.1"},MATCH(BD342,CHOOSE({1,2,3,4,5,6,7,8,9,10,11,12,13,14,15,16,17,18,19,20,21,22,23,24,25},E342,G342,I342,K342,M342,O342,Q342,S342,U342,W342,Y342,AA342,AC342,AE342,AG342,AI342,AK342,AM342,AO342,AQ342,AS342,AU342,AW342,AY342,BA342),0)))</x:f>
        <x:v>v1.4.20</x:v>
      </x:c>
      <x:c r="BF342" s="10" t="n">
        <x:f>IFERROR((AX342-BB342)/BB342,"")</x:f>
        <x:v>-1</x:v>
      </x:c>
      <x:c r="BG342" s="10" t="n">
        <x:f>IFERROR((AY342-BD342)/BD342,"")</x:f>
        <x:v>-1</x:v>
      </x:c>
    </x:row>
    <x:row r="343">
      <x:c r="A343" t="str"/>
      <x:c r="B343" t="str">
        <x:v>Run Dashboard Quality Quick</x:v>
      </x:c>
      <x:c r="C343" t="str">
        <x:v>Start</x:v>
      </x:c>
      <x:c r="D343" s="8"/>
      <x:c r="E343" s="8"/>
      <x:c r="F343" s="8"/>
      <x:c r="G343" s="8"/>
      <x:c r="H343" s="8"/>
      <x:c r="I343" s="8"/>
      <x:c r="J343" s="8"/>
      <x:c r="K343" s="8"/>
      <x:c r="L343" s="8"/>
      <x:c r="M343" s="8"/>
      <x:c r="N343" s="8"/>
      <x:c r="O343" s="8"/>
      <x:c r="P343" s="8"/>
      <x:c r="Q343" s="8"/>
      <x:c r="R343" s="8"/>
      <x:c r="S343" s="8"/>
      <x:c r="T343" s="8" t="n">
        <x:v>0</x:v>
      </x:c>
      <x:c r="U343" s="8" t="n">
        <x:v>0</x:v>
      </x:c>
      <x:c r="V343" s="8" t="n">
        <x:v>0</x:v>
      </x:c>
      <x:c r="W343" s="8" t="n">
        <x:v>0</x:v>
      </x:c>
      <x:c r="X343" s="8"/>
      <x:c r="Y343" s="8"/>
      <x:c r="Z343" s="8"/>
      <x:c r="AA343" s="8"/>
      <x:c r="AB343" s="8"/>
      <x:c r="AC343" s="8"/>
      <x:c r="AD343" s="8"/>
      <x:c r="AE343" s="8"/>
      <x:c r="AF343" s="8"/>
      <x:c r="AG343" s="8"/>
      <x:c r="AH343" s="8"/>
      <x:c r="AI343" s="8"/>
      <x:c r="AJ343" s="8"/>
      <x:c r="AK343" s="8"/>
      <x:c r="AL343" s="8"/>
      <x:c r="AM343" s="8"/>
      <x:c r="AN343" s="8" t="n">
        <x:v>0</x:v>
      </x:c>
      <x:c r="AO343" s="8" t="n">
        <x:v>0</x:v>
      </x:c>
      <x:c r="AP343" s="8" t="n">
        <x:v>0</x:v>
      </x:c>
      <x:c r="AQ343" s="8" t="n">
        <x:v>0</x:v>
      </x:c>
      <x:c r="AR343" s="8" t="n">
        <x:v>0</x:v>
      </x:c>
      <x:c r="AS343" s="8" t="n">
        <x:v>0</x:v>
      </x:c>
      <x:c r="AT343" s="8" t="n">
        <x:v>0</x:v>
      </x:c>
      <x:c r="AU343" s="8" t="n">
        <x:v>0</x:v>
      </x:c>
      <x:c r="AV343" s="8" t="n">
        <x:v>0.001</x:v>
      </x:c>
      <x:c r="AW343" s="8" t="n">
        <x:v>0.001</x:v>
      </x:c>
      <x:c r="AX343" s="8" t="n">
        <x:v>0</x:v>
      </x:c>
      <x:c r="AY343" s="8" t="n">
        <x:v>0</x:v>
      </x:c>
      <x:c r="AZ343" s="8" t="n">
        <x:v>0</x:v>
      </x:c>
      <x:c r="BA343" s="8" t="n">
        <x:v>0</x:v>
      </x:c>
      <x:c r="BB343" s="8" t="n">
        <x:f>LET(m,MIN(IF(D343&gt;0,D343,1E+99),IF(F343&gt;0,F343,1E+99),IF(H343&gt;0,H343,1E+99),IF(J343&gt;0,J343,1E+99),IF(L343&gt;0,L343,1E+99),IF(N343&gt;0,N343,1E+99),IF(P343&gt;0,P343,1E+99),IF(R343&gt;0,R343,1E+99),IF(T343&gt;0,T343,1E+99),IF(V343&gt;0,V343,1E+99),IF(X343&gt;0,X343,1E+99),IF(Z343&gt;0,Z343,1E+99),IF(AB343&gt;0,AB343,1E+99),IF(AD343&gt;0,AD343,1E+99),IF(AF343&gt;0,AF343,1E+99),IF(AH343&gt;0,AH343,1E+99),IF(AJ343&gt;0,AJ343,1E+99),IF(AL343&gt;0,AL343,1E+99),IF(AN343&gt;0,AN343,1E+99),IF(AP343&gt;0,AP343,1E+99),IF(AR343&gt;0,AR343,1E+99),IF(AT343&gt;0,AT343,1E+99),IF(AV343&gt;0,AV343,1E+99),IF(AX343&gt;0,AX343,1E+99),IF(AZ343&gt;0,AZ343,1E+99)),IF(m=1E+99,"",m))</x:f>
        <x:v>0.001</x:v>
      </x:c>
      <x:c r="BC343" s="12" t="e">
        <x:f>IF(BB343="","",INDEX({"v1.4.20","v1.4.20","v1.4.21","v1.4.21","v1.4.23","v1.4.23","v1.4.26","v1.4.26","v1.4.26.1","v1.4.26.1","v1.4.27","v1.4.27","v1.4.29","v1.4.29","v1.4.30","v1.4.30","v1.4.31","v1.4.31","v1.4.33","v1.4.33","v1.4.35","v1.4.35.2","v1.5","v1.5.1","v1.5.1"},MATCH(BB343,CHOOSE({1,2,3,4,5,6,7,8,9,10,11,12,13,14,15,16,17,18,19,20,21,22,23,24,25},D343,F343,H343,J343,L343,N343,P343,R343,T343,V343,X343,Z343,AB343,AD343,AF343,AH343,AJ343,AL343,AN343,AP343,AR343,AT343,AV343,AX343,AZ343),0)))</x:f>
      </x:c>
      <x:c r="BD343" s="14" t="n">
        <x:f>LET(m,MIN(IF(E343&gt;0,E343,1E+99),IF(G343&gt;0,G343,1E+99),IF(I343&gt;0,I343,1E+99),IF(K343&gt;0,K343,1E+99),IF(M343&gt;0,M343,1E+99),IF(O343&gt;0,O343,1E+99),IF(Q343&gt;0,Q343,1E+99),IF(S343&gt;0,S343,1E+99),IF(U343&gt;0,U343,1E+99),IF(W343&gt;0,W343,1E+99),IF(Y343&gt;0,Y343,1E+99),IF(AA343&gt;0,AA343,1E+99),IF(AC343&gt;0,AC343,1E+99),IF(AE343&gt;0,AE343,1E+99),IF(AG343&gt;0,AG343,1E+99),IF(AI343&gt;0,AI343,1E+99),IF(AK343&gt;0,AK343,1E+99),IF(AM343&gt;0,AM343,1E+99),IF(AO343&gt;0,AO343,1E+99),IF(AQ343&gt;0,AQ343,1E+99),IF(AS343&gt;0,AS343,1E+99),IF(AU343&gt;0,AU343,1E+99),IF(AW343&gt;0,AW343,1E+99),IF(AY343&gt;0,AY343,1E+99),IF(BA343&gt;0,BA343,1E+99)),IF(m=1E+99,"",m))</x:f>
        <x:v>0.001</x:v>
      </x:c>
      <x:c r="BE343" s="16" t="e">
        <x:f>IF(BD343="","",INDEX({"v1.4.20","v1.4.20","v1.4.21","v1.4.21","v1.4.23","v1.4.23","v1.4.26","v1.4.26","v1.4.26.1","v1.4.26.1","v1.4.27","v1.4.27","v1.4.29","v1.4.29","v1.4.30","v1.4.30","v1.4.31","v1.4.31","v1.4.33","v1.4.33","v1.4.35","v1.4.35.2","v1.5","v1.5.1","v1.5.1"},MATCH(BD343,CHOOSE({1,2,3,4,5,6,7,8,9,10,11,12,13,14,15,16,17,18,19,20,21,22,23,24,25},E343,G343,I343,K343,M343,O343,Q343,S343,U343,W343,Y343,AA343,AC343,AE343,AG343,AI343,AK343,AM343,AO343,AQ343,AS343,AU343,AW343,AY343,BA343),0)))</x:f>
      </x:c>
      <x:c r="BF343" s="10" t="n">
        <x:f>IFERROR((AX343-BB343)/BB343,"")</x:f>
        <x:v>-1</x:v>
      </x:c>
      <x:c r="BG343" s="10" t="n">
        <x:f>IFERROR((AY343-BD343)/BD343,"")</x:f>
        <x:v>-1</x:v>
      </x:c>
    </x:row>
    <x:row r="344">
      <x:c r="A344" t="str"/>
      <x:c r="B344" t="str">
        <x:v>Run Dashboard Quality Quick</x:v>
      </x:c>
      <x:c r="C344" t="str">
        <x:v>Section A Template Validation complete</x:v>
      </x:c>
      <x:c r="D344" s="8"/>
      <x:c r="E344" s="8"/>
      <x:c r="F344" s="8"/>
      <x:c r="G344" s="8"/>
      <x:c r="H344" s="8"/>
      <x:c r="I344" s="8"/>
      <x:c r="J344" s="8"/>
      <x:c r="K344" s="8"/>
      <x:c r="L344" s="8"/>
      <x:c r="M344" s="8"/>
      <x:c r="N344" s="8"/>
      <x:c r="O344" s="8"/>
      <x:c r="P344" s="8"/>
      <x:c r="Q344" s="8"/>
      <x:c r="R344" s="8"/>
      <x:c r="S344" s="8"/>
      <x:c r="T344" s="8" t="n">
        <x:v>40.552</x:v>
      </x:c>
      <x:c r="U344" s="8" t="n">
        <x:v>40.552</x:v>
      </x:c>
      <x:c r="V344" s="8" t="n">
        <x:v>40.552</x:v>
      </x:c>
      <x:c r="W344" s="8" t="n">
        <x:v>40.552</x:v>
      </x:c>
      <x:c r="X344" s="8"/>
      <x:c r="Y344" s="8"/>
      <x:c r="Z344" s="8"/>
      <x:c r="AA344" s="8"/>
      <x:c r="AB344" s="8"/>
      <x:c r="AC344" s="8"/>
      <x:c r="AD344" s="8"/>
      <x:c r="AE344" s="8"/>
      <x:c r="AF344" s="8"/>
      <x:c r="AG344" s="8"/>
      <x:c r="AH344" s="8"/>
      <x:c r="AI344" s="8"/>
      <x:c r="AJ344" s="8"/>
      <x:c r="AK344" s="8"/>
      <x:c r="AL344" s="8"/>
      <x:c r="AM344" s="8"/>
      <x:c r="AN344" s="8" t="n">
        <x:v>44.119</x:v>
      </x:c>
      <x:c r="AO344" s="8" t="n">
        <x:v>44.119</x:v>
      </x:c>
      <x:c r="AP344" s="8" t="n">
        <x:v>44.119</x:v>
      </x:c>
      <x:c r="AQ344" s="8" t="n">
        <x:v>44.119</x:v>
      </x:c>
      <x:c r="AR344" s="8" t="n">
        <x:v>53.391</x:v>
      </x:c>
      <x:c r="AS344" s="8" t="n">
        <x:v>53.391</x:v>
      </x:c>
      <x:c r="AT344" s="8" t="n">
        <x:v>34.429</x:v>
      </x:c>
      <x:c r="AU344" s="8" t="n">
        <x:v>34.429</x:v>
      </x:c>
      <x:c r="AV344" s="8" t="n">
        <x:v>60.137</x:v>
      </x:c>
      <x:c r="AW344" s="8" t="n">
        <x:v>60.138</x:v>
      </x:c>
      <x:c r="AX344" s="8" t="n">
        <x:v>52.715</x:v>
      </x:c>
      <x:c r="AY344" s="8" t="n">
        <x:v>52.715</x:v>
      </x:c>
      <x:c r="AZ344" s="8" t="n">
        <x:v>52.715</x:v>
      </x:c>
      <x:c r="BA344" s="8" t="n">
        <x:v>52.715</x:v>
      </x:c>
      <x:c r="BB344" s="8" t="n">
        <x:f>LET(m,MIN(IF(D344&gt;0,D344,1E+99),IF(F344&gt;0,F344,1E+99),IF(H344&gt;0,H344,1E+99),IF(J344&gt;0,J344,1E+99),IF(L344&gt;0,L344,1E+99),IF(N344&gt;0,N344,1E+99),IF(P344&gt;0,P344,1E+99),IF(R344&gt;0,R344,1E+99),IF(T344&gt;0,T344,1E+99),IF(V344&gt;0,V344,1E+99),IF(X344&gt;0,X344,1E+99),IF(Z344&gt;0,Z344,1E+99),IF(AB344&gt;0,AB344,1E+99),IF(AD344&gt;0,AD344,1E+99),IF(AF344&gt;0,AF344,1E+99),IF(AH344&gt;0,AH344,1E+99),IF(AJ344&gt;0,AJ344,1E+99),IF(AL344&gt;0,AL344,1E+99),IF(AN344&gt;0,AN344,1E+99),IF(AP344&gt;0,AP344,1E+99),IF(AR344&gt;0,AR344,1E+99),IF(AT344&gt;0,AT344,1E+99),IF(AV344&gt;0,AV344,1E+99),IF(AX344&gt;0,AX344,1E+99),IF(AZ344&gt;0,AZ344,1E+99)),IF(m=1E+99,"",m))</x:f>
        <x:v>34.429</x:v>
      </x:c>
      <x:c r="BC344" s="12" t="e">
        <x:f>IF(BB344="","",INDEX({"v1.4.20","v1.4.20","v1.4.21","v1.4.21","v1.4.23","v1.4.23","v1.4.26","v1.4.26","v1.4.26.1","v1.4.26.1","v1.4.27","v1.4.27","v1.4.29","v1.4.29","v1.4.30","v1.4.30","v1.4.31","v1.4.31","v1.4.33","v1.4.33","v1.4.35","v1.4.35.2","v1.5","v1.5.1","v1.5.1"},MATCH(BB344,CHOOSE({1,2,3,4,5,6,7,8,9,10,11,12,13,14,15,16,17,18,19,20,21,22,23,24,25},D344,F344,H344,J344,L344,N344,P344,R344,T344,V344,X344,Z344,AB344,AD344,AF344,AH344,AJ344,AL344,AN344,AP344,AR344,AT344,AV344,AX344,AZ344),0)))</x:f>
      </x:c>
      <x:c r="BD344" s="14" t="n">
        <x:f>LET(m,MIN(IF(E344&gt;0,E344,1E+99),IF(G344&gt;0,G344,1E+99),IF(I344&gt;0,I344,1E+99),IF(K344&gt;0,K344,1E+99),IF(M344&gt;0,M344,1E+99),IF(O344&gt;0,O344,1E+99),IF(Q344&gt;0,Q344,1E+99),IF(S344&gt;0,S344,1E+99),IF(U344&gt;0,U344,1E+99),IF(W344&gt;0,W344,1E+99),IF(Y344&gt;0,Y344,1E+99),IF(AA344&gt;0,AA344,1E+99),IF(AC344&gt;0,AC344,1E+99),IF(AE344&gt;0,AE344,1E+99),IF(AG344&gt;0,AG344,1E+99),IF(AI344&gt;0,AI344,1E+99),IF(AK344&gt;0,AK344,1E+99),IF(AM344&gt;0,AM344,1E+99),IF(AO344&gt;0,AO344,1E+99),IF(AQ344&gt;0,AQ344,1E+99),IF(AS344&gt;0,AS344,1E+99),IF(AU344&gt;0,AU344,1E+99),IF(AW344&gt;0,AW344,1E+99),IF(AY344&gt;0,AY344,1E+99),IF(BA344&gt;0,BA344,1E+99)),IF(m=1E+99,"",m))</x:f>
        <x:v>34.429</x:v>
      </x:c>
      <x:c r="BE344" s="16" t="e">
        <x:f>IF(BD344="","",INDEX({"v1.4.20","v1.4.20","v1.4.21","v1.4.21","v1.4.23","v1.4.23","v1.4.26","v1.4.26","v1.4.26.1","v1.4.26.1","v1.4.27","v1.4.27","v1.4.29","v1.4.29","v1.4.30","v1.4.30","v1.4.31","v1.4.31","v1.4.33","v1.4.33","v1.4.35","v1.4.35.2","v1.5","v1.5.1","v1.5.1"},MATCH(BD344,CHOOSE({1,2,3,4,5,6,7,8,9,10,11,12,13,14,15,16,17,18,19,20,21,22,23,24,25},E344,G344,I344,K344,M344,O344,Q344,S344,U344,W344,Y344,AA344,AC344,AE344,AG344,AI344,AK344,AM344,AO344,AQ344,AS344,AU344,AW344,AY344,BA344),0)))</x:f>
      </x:c>
      <x:c r="BF344" s="10" t="n">
        <x:f>IFERROR((AX344-BB344)/BB344,"")</x:f>
        <x:v>0.5311220192279764</x:v>
      </x:c>
      <x:c r="BG344" s="10" t="n">
        <x:f>IFERROR((AY344-BD344)/BD344,"")</x:f>
        <x:v>0.5311220192279764</x:v>
      </x:c>
    </x:row>
    <x:row r="345">
      <x:c r="A345" t="str"/>
      <x:c r="B345" t="str">
        <x:v>Run Dashboard Quality Quick</x:v>
      </x:c>
      <x:c r="C345" t="str">
        <x:v>Section B Template Header Audit complete</x:v>
      </x:c>
      <x:c r="D345" s="8"/>
      <x:c r="E345" s="8"/>
      <x:c r="F345" s="8"/>
      <x:c r="G345" s="8"/>
      <x:c r="H345" s="8"/>
      <x:c r="I345" s="8"/>
      <x:c r="J345" s="8"/>
      <x:c r="K345" s="8"/>
      <x:c r="L345" s="8"/>
      <x:c r="M345" s="8"/>
      <x:c r="N345" s="8"/>
      <x:c r="O345" s="8"/>
      <x:c r="P345" s="8"/>
      <x:c r="Q345" s="8"/>
      <x:c r="R345" s="8"/>
      <x:c r="S345" s="8"/>
      <x:c r="T345" s="8" t="n">
        <x:v>15.279</x:v>
      </x:c>
      <x:c r="U345" s="8" t="n">
        <x:v>55.831</x:v>
      </x:c>
      <x:c r="V345" s="8" t="n">
        <x:v>15.279</x:v>
      </x:c>
      <x:c r="W345" s="8" t="n">
        <x:v>55.831</x:v>
      </x:c>
      <x:c r="X345" s="8"/>
      <x:c r="Y345" s="8"/>
      <x:c r="Z345" s="8"/>
      <x:c r="AA345" s="8"/>
      <x:c r="AB345" s="8"/>
      <x:c r="AC345" s="8"/>
      <x:c r="AD345" s="8"/>
      <x:c r="AE345" s="8"/>
      <x:c r="AF345" s="8"/>
      <x:c r="AG345" s="8"/>
      <x:c r="AH345" s="8"/>
      <x:c r="AI345" s="8"/>
      <x:c r="AJ345" s="8"/>
      <x:c r="AK345" s="8"/>
      <x:c r="AL345" s="8"/>
      <x:c r="AM345" s="8"/>
      <x:c r="AN345" s="8" t="n">
        <x:v>10.54</x:v>
      </x:c>
      <x:c r="AO345" s="8" t="n">
        <x:v>54.659</x:v>
      </x:c>
      <x:c r="AP345" s="8" t="n">
        <x:v>10.54</x:v>
      </x:c>
      <x:c r="AQ345" s="8" t="n">
        <x:v>54.659</x:v>
      </x:c>
      <x:c r="AR345" s="8" t="n">
        <x:v>16.999</x:v>
      </x:c>
      <x:c r="AS345" s="8" t="n">
        <x:v>70.39</x:v>
      </x:c>
      <x:c r="AT345" s="8" t="n">
        <x:v>8.911</x:v>
      </x:c>
      <x:c r="AU345" s="8" t="n">
        <x:v>43.34</x:v>
      </x:c>
      <x:c r="AV345" s="8" t="n">
        <x:v>13.845</x:v>
      </x:c>
      <x:c r="AW345" s="8" t="n">
        <x:v>73.983</x:v>
      </x:c>
      <x:c r="AX345" s="8" t="n">
        <x:v>10.319</x:v>
      </x:c>
      <x:c r="AY345" s="8" t="n">
        <x:v>63.034</x:v>
      </x:c>
      <x:c r="AZ345" s="8" t="n">
        <x:v>10.319</x:v>
      </x:c>
      <x:c r="BA345" s="8" t="n">
        <x:v>63.034</x:v>
      </x:c>
      <x:c r="BB345" s="8" t="n">
        <x:f>LET(m,MIN(IF(D345&gt;0,D345,1E+99),IF(F345&gt;0,F345,1E+99),IF(H345&gt;0,H345,1E+99),IF(J345&gt;0,J345,1E+99),IF(L345&gt;0,L345,1E+99),IF(N345&gt;0,N345,1E+99),IF(P345&gt;0,P345,1E+99),IF(R345&gt;0,R345,1E+99),IF(T345&gt;0,T345,1E+99),IF(V345&gt;0,V345,1E+99),IF(X345&gt;0,X345,1E+99),IF(Z345&gt;0,Z345,1E+99),IF(AB345&gt;0,AB345,1E+99),IF(AD345&gt;0,AD345,1E+99),IF(AF345&gt;0,AF345,1E+99),IF(AH345&gt;0,AH345,1E+99),IF(AJ345&gt;0,AJ345,1E+99),IF(AL345&gt;0,AL345,1E+99),IF(AN345&gt;0,AN345,1E+99),IF(AP345&gt;0,AP345,1E+99),IF(AR345&gt;0,AR345,1E+99),IF(AT345&gt;0,AT345,1E+99),IF(AV345&gt;0,AV345,1E+99),IF(AX345&gt;0,AX345,1E+99),IF(AZ345&gt;0,AZ345,1E+99)),IF(m=1E+99,"",m))</x:f>
        <x:v>8.911</x:v>
      </x:c>
      <x:c r="BC345" s="12" t="e">
        <x:f>IF(BB345="","",INDEX({"v1.4.20","v1.4.20","v1.4.21","v1.4.21","v1.4.23","v1.4.23","v1.4.26","v1.4.26","v1.4.26.1","v1.4.26.1","v1.4.27","v1.4.27","v1.4.29","v1.4.29","v1.4.30","v1.4.30","v1.4.31","v1.4.31","v1.4.33","v1.4.33","v1.4.35","v1.4.35.2","v1.5","v1.5.1","v1.5.1"},MATCH(BB345,CHOOSE({1,2,3,4,5,6,7,8,9,10,11,12,13,14,15,16,17,18,19,20,21,22,23,24,25},D345,F345,H345,J345,L345,N345,P345,R345,T345,V345,X345,Z345,AB345,AD345,AF345,AH345,AJ345,AL345,AN345,AP345,AR345,AT345,AV345,AX345,AZ345),0)))</x:f>
      </x:c>
      <x:c r="BD345" s="14" t="n">
        <x:f>LET(m,MIN(IF(E345&gt;0,E345,1E+99),IF(G345&gt;0,G345,1E+99),IF(I345&gt;0,I345,1E+99),IF(K345&gt;0,K345,1E+99),IF(M345&gt;0,M345,1E+99),IF(O345&gt;0,O345,1E+99),IF(Q345&gt;0,Q345,1E+99),IF(S345&gt;0,S345,1E+99),IF(U345&gt;0,U345,1E+99),IF(W345&gt;0,W345,1E+99),IF(Y345&gt;0,Y345,1E+99),IF(AA345&gt;0,AA345,1E+99),IF(AC345&gt;0,AC345,1E+99),IF(AE345&gt;0,AE345,1E+99),IF(AG345&gt;0,AG345,1E+99),IF(AI345&gt;0,AI345,1E+99),IF(AK345&gt;0,AK345,1E+99),IF(AM345&gt;0,AM345,1E+99),IF(AO345&gt;0,AO345,1E+99),IF(AQ345&gt;0,AQ345,1E+99),IF(AS345&gt;0,AS345,1E+99),IF(AU345&gt;0,AU345,1E+99),IF(AW345&gt;0,AW345,1E+99),IF(AY345&gt;0,AY345,1E+99),IF(BA345&gt;0,BA345,1E+99)),IF(m=1E+99,"",m))</x:f>
        <x:v>43.34</x:v>
      </x:c>
      <x:c r="BE345" s="16" t="e">
        <x:f>IF(BD345="","",INDEX({"v1.4.20","v1.4.20","v1.4.21","v1.4.21","v1.4.23","v1.4.23","v1.4.26","v1.4.26","v1.4.26.1","v1.4.26.1","v1.4.27","v1.4.27","v1.4.29","v1.4.29","v1.4.30","v1.4.30","v1.4.31","v1.4.31","v1.4.33","v1.4.33","v1.4.35","v1.4.35.2","v1.5","v1.5.1","v1.5.1"},MATCH(BD345,CHOOSE({1,2,3,4,5,6,7,8,9,10,11,12,13,14,15,16,17,18,19,20,21,22,23,24,25},E345,G345,I345,K345,M345,O345,Q345,S345,U345,W345,Y345,AA345,AC345,AE345,AG345,AI345,AK345,AM345,AO345,AQ345,AS345,AU345,AW345,AY345,BA345),0)))</x:f>
      </x:c>
      <x:c r="BF345" s="10" t="n">
        <x:f>IFERROR((AX345-BB345)/BB345,"")</x:f>
        <x:v>0.15800695769273945</x:v>
      </x:c>
      <x:c r="BG345" s="10" t="n">
        <x:f>IFERROR((AY345-BD345)/BD345,"")</x:f>
        <x:v>0.4544070143054913</x:v>
      </x:c>
    </x:row>
    <x:row r="346">
      <x:c r="A346" t="str"/>
      <x:c r="B346" t="str">
        <x:v>Run Dashboard Quality Quick</x:v>
      </x:c>
      <x:c r="C346" t="str">
        <x:v>Section C Test 6 complete</x:v>
      </x:c>
      <x:c r="D346" s="8"/>
      <x:c r="E346" s="8"/>
      <x:c r="F346" s="8"/>
      <x:c r="G346" s="8"/>
      <x:c r="H346" s="8"/>
      <x:c r="I346" s="8"/>
      <x:c r="J346" s="8"/>
      <x:c r="K346" s="8"/>
      <x:c r="L346" s="8"/>
      <x:c r="M346" s="8"/>
      <x:c r="N346" s="8"/>
      <x:c r="O346" s="8"/>
      <x:c r="P346" s="8"/>
      <x:c r="Q346" s="8"/>
      <x:c r="R346" s="8"/>
      <x:c r="S346" s="8"/>
      <x:c r="T346" s="8" t="n">
        <x:v>14.936</x:v>
      </x:c>
      <x:c r="U346" s="8" t="n">
        <x:v>70.767</x:v>
      </x:c>
      <x:c r="V346" s="8" t="n">
        <x:v>14.936</x:v>
      </x:c>
      <x:c r="W346" s="8" t="n">
        <x:v>70.767</x:v>
      </x:c>
      <x:c r="X346" s="8"/>
      <x:c r="Y346" s="8"/>
      <x:c r="Z346" s="8"/>
      <x:c r="AA346" s="8"/>
      <x:c r="AB346" s="8"/>
      <x:c r="AC346" s="8"/>
      <x:c r="AD346" s="8"/>
      <x:c r="AE346" s="8"/>
      <x:c r="AF346" s="8"/>
      <x:c r="AG346" s="8"/>
      <x:c r="AH346" s="8"/>
      <x:c r="AI346" s="8"/>
      <x:c r="AJ346" s="8"/>
      <x:c r="AK346" s="8"/>
      <x:c r="AL346" s="8"/>
      <x:c r="AM346" s="8"/>
      <x:c r="AN346" s="8" t="n">
        <x:v>10.706</x:v>
      </x:c>
      <x:c r="AO346" s="8" t="n">
        <x:v>65.365</x:v>
      </x:c>
      <x:c r="AP346" s="8" t="n">
        <x:v>10.706</x:v>
      </x:c>
      <x:c r="AQ346" s="8" t="n">
        <x:v>65.365</x:v>
      </x:c>
      <x:c r="AR346" s="8" t="n">
        <x:v>15.972</x:v>
      </x:c>
      <x:c r="AS346" s="8" t="n">
        <x:v>86.362</x:v>
      </x:c>
      <x:c r="AT346" s="8" t="n">
        <x:v>9.344</x:v>
      </x:c>
      <x:c r="AU346" s="8" t="n">
        <x:v>52.684</x:v>
      </x:c>
      <x:c r="AV346" s="8" t="n">
        <x:v>15.087</x:v>
      </x:c>
      <x:c r="AW346" s="8" t="n">
        <x:v>89.07</x:v>
      </x:c>
      <x:c r="AX346" s="8" t="n">
        <x:v>13.676</x:v>
      </x:c>
      <x:c r="AY346" s="8" t="n">
        <x:v>76.71</x:v>
      </x:c>
      <x:c r="AZ346" s="8" t="n">
        <x:v>13.676</x:v>
      </x:c>
      <x:c r="BA346" s="8" t="n">
        <x:v>76.71</x:v>
      </x:c>
      <x:c r="BB346" s="8" t="n">
        <x:f>LET(m,MIN(IF(D346&gt;0,D346,1E+99),IF(F346&gt;0,F346,1E+99),IF(H346&gt;0,H346,1E+99),IF(J346&gt;0,J346,1E+99),IF(L346&gt;0,L346,1E+99),IF(N346&gt;0,N346,1E+99),IF(P346&gt;0,P346,1E+99),IF(R346&gt;0,R346,1E+99),IF(T346&gt;0,T346,1E+99),IF(V346&gt;0,V346,1E+99),IF(X346&gt;0,X346,1E+99),IF(Z346&gt;0,Z346,1E+99),IF(AB346&gt;0,AB346,1E+99),IF(AD346&gt;0,AD346,1E+99),IF(AF346&gt;0,AF346,1E+99),IF(AH346&gt;0,AH346,1E+99),IF(AJ346&gt;0,AJ346,1E+99),IF(AL346&gt;0,AL346,1E+99),IF(AN346&gt;0,AN346,1E+99),IF(AP346&gt;0,AP346,1E+99),IF(AR346&gt;0,AR346,1E+99),IF(AT346&gt;0,AT346,1E+99),IF(AV346&gt;0,AV346,1E+99),IF(AX346&gt;0,AX346,1E+99),IF(AZ346&gt;0,AZ346,1E+99)),IF(m=1E+99,"",m))</x:f>
        <x:v>9.344</x:v>
      </x:c>
      <x:c r="BC346" s="12" t="e">
        <x:f>IF(BB346="","",INDEX({"v1.4.20","v1.4.20","v1.4.21","v1.4.21","v1.4.23","v1.4.23","v1.4.26","v1.4.26","v1.4.26.1","v1.4.26.1","v1.4.27","v1.4.27","v1.4.29","v1.4.29","v1.4.30","v1.4.30","v1.4.31","v1.4.31","v1.4.33","v1.4.33","v1.4.35","v1.4.35.2","v1.5","v1.5.1","v1.5.1"},MATCH(BB346,CHOOSE({1,2,3,4,5,6,7,8,9,10,11,12,13,14,15,16,17,18,19,20,21,22,23,24,25},D346,F346,H346,J346,L346,N346,P346,R346,T346,V346,X346,Z346,AB346,AD346,AF346,AH346,AJ346,AL346,AN346,AP346,AR346,AT346,AV346,AX346,AZ346),0)))</x:f>
      </x:c>
      <x:c r="BD346" s="14" t="n">
        <x:f>LET(m,MIN(IF(E346&gt;0,E346,1E+99),IF(G346&gt;0,G346,1E+99),IF(I346&gt;0,I346,1E+99),IF(K346&gt;0,K346,1E+99),IF(M346&gt;0,M346,1E+99),IF(O346&gt;0,O346,1E+99),IF(Q346&gt;0,Q346,1E+99),IF(S346&gt;0,S346,1E+99),IF(U346&gt;0,U346,1E+99),IF(W346&gt;0,W346,1E+99),IF(Y346&gt;0,Y346,1E+99),IF(AA346&gt;0,AA346,1E+99),IF(AC346&gt;0,AC346,1E+99),IF(AE346&gt;0,AE346,1E+99),IF(AG346&gt;0,AG346,1E+99),IF(AI346&gt;0,AI346,1E+99),IF(AK346&gt;0,AK346,1E+99),IF(AM346&gt;0,AM346,1E+99),IF(AO346&gt;0,AO346,1E+99),IF(AQ346&gt;0,AQ346,1E+99),IF(AS346&gt;0,AS346,1E+99),IF(AU346&gt;0,AU346,1E+99),IF(AW346&gt;0,AW346,1E+99),IF(AY346&gt;0,AY346,1E+99),IF(BA346&gt;0,BA346,1E+99)),IF(m=1E+99,"",m))</x:f>
        <x:v>52.684</x:v>
      </x:c>
      <x:c r="BE346" s="16" t="e">
        <x:f>IF(BD346="","",INDEX({"v1.4.20","v1.4.20","v1.4.21","v1.4.21","v1.4.23","v1.4.23","v1.4.26","v1.4.26","v1.4.26.1","v1.4.26.1","v1.4.27","v1.4.27","v1.4.29","v1.4.29","v1.4.30","v1.4.30","v1.4.31","v1.4.31","v1.4.33","v1.4.33","v1.4.35","v1.4.35.2","v1.5","v1.5.1","v1.5.1"},MATCH(BD346,CHOOSE({1,2,3,4,5,6,7,8,9,10,11,12,13,14,15,16,17,18,19,20,21,22,23,24,25},E346,G346,I346,K346,M346,O346,Q346,S346,U346,W346,Y346,AA346,AC346,AE346,AG346,AI346,AK346,AM346,AO346,AQ346,AS346,AU346,AW346,AY346,BA346),0)))</x:f>
      </x:c>
      <x:c r="BF346" s="10" t="n">
        <x:f>IFERROR((AX346-BB346)/BB346,"")</x:f>
        <x:v>0.4636130136986302</x:v>
      </x:c>
      <x:c r="BG346" s="10" t="n">
        <x:f>IFERROR((AY346-BD346)/BD346,"")</x:f>
        <x:v>0.45603978437476267</x:v>
      </x:c>
    </x:row>
    <x:row r="347">
      <x:c r="A347" t="str"/>
      <x:c r="B347" t="str">
        <x:v>Run Dashboard Quality Quick</x:v>
      </x:c>
      <x:c r="C347" t="str">
        <x:v>Section D Test 7 complete</x:v>
      </x:c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8"/>
      <x:c r="O347" s="8"/>
      <x:c r="P347" s="8"/>
      <x:c r="Q347" s="8"/>
      <x:c r="R347" s="8"/>
      <x:c r="S347" s="8"/>
      <x:c r="T347" s="8" t="n">
        <x:v>23.154</x:v>
      </x:c>
      <x:c r="U347" s="8" t="n">
        <x:v>93.921</x:v>
      </x:c>
      <x:c r="V347" s="8" t="n">
        <x:v>23.154</x:v>
      </x:c>
      <x:c r="W347" s="8" t="n">
        <x:v>93.921</x:v>
      </x:c>
      <x:c r="X347" s="8"/>
      <x:c r="Y347" s="8"/>
      <x:c r="Z347" s="8"/>
      <x:c r="AA347" s="8"/>
      <x:c r="AB347" s="8"/>
      <x:c r="AC347" s="8"/>
      <x:c r="AD347" s="8"/>
      <x:c r="AE347" s="8"/>
      <x:c r="AF347" s="8"/>
      <x:c r="AG347" s="8"/>
      <x:c r="AH347" s="8"/>
      <x:c r="AI347" s="8"/>
      <x:c r="AJ347" s="8"/>
      <x:c r="AK347" s="8"/>
      <x:c r="AL347" s="8"/>
      <x:c r="AM347" s="8"/>
      <x:c r="AN347" s="8" t="n">
        <x:v>16.392</x:v>
      </x:c>
      <x:c r="AO347" s="8" t="n">
        <x:v>81.757</x:v>
      </x:c>
      <x:c r="AP347" s="8" t="n">
        <x:v>16.392</x:v>
      </x:c>
      <x:c r="AQ347" s="8" t="n">
        <x:v>81.757</x:v>
      </x:c>
      <x:c r="AR347" s="8" t="n">
        <x:v>25.475</x:v>
      </x:c>
      <x:c r="AS347" s="8" t="n">
        <x:v>111.837</x:v>
      </x:c>
      <x:c r="AT347" s="8" t="n">
        <x:v>15.115</x:v>
      </x:c>
      <x:c r="AU347" s="8" t="n">
        <x:v>67.799</x:v>
      </x:c>
      <x:c r="AV347" s="8" t="n">
        <x:v>27.225</x:v>
      </x:c>
      <x:c r="AW347" s="8" t="n">
        <x:v>116.295</x:v>
      </x:c>
      <x:c r="AX347" s="8" t="n">
        <x:v>23.386</x:v>
      </x:c>
      <x:c r="AY347" s="8" t="n">
        <x:v>100.096</x:v>
      </x:c>
      <x:c r="AZ347" s="8" t="n">
        <x:v>23.386</x:v>
      </x:c>
      <x:c r="BA347" s="8" t="n">
        <x:v>100.096</x:v>
      </x:c>
      <x:c r="BB347" s="8" t="n">
        <x:f>LET(m,MIN(IF(D347&gt;0,D347,1E+99),IF(F347&gt;0,F347,1E+99),IF(H347&gt;0,H347,1E+99),IF(J347&gt;0,J347,1E+99),IF(L347&gt;0,L347,1E+99),IF(N347&gt;0,N347,1E+99),IF(P347&gt;0,P347,1E+99),IF(R347&gt;0,R347,1E+99),IF(T347&gt;0,T347,1E+99),IF(V347&gt;0,V347,1E+99),IF(X347&gt;0,X347,1E+99),IF(Z347&gt;0,Z347,1E+99),IF(AB347&gt;0,AB347,1E+99),IF(AD347&gt;0,AD347,1E+99),IF(AF347&gt;0,AF347,1E+99),IF(AH347&gt;0,AH347,1E+99),IF(AJ347&gt;0,AJ347,1E+99),IF(AL347&gt;0,AL347,1E+99),IF(AN347&gt;0,AN347,1E+99),IF(AP347&gt;0,AP347,1E+99),IF(AR347&gt;0,AR347,1E+99),IF(AT347&gt;0,AT347,1E+99),IF(AV347&gt;0,AV347,1E+99),IF(AX347&gt;0,AX347,1E+99),IF(AZ347&gt;0,AZ347,1E+99)),IF(m=1E+99,"",m))</x:f>
        <x:v>15.115</x:v>
      </x:c>
      <x:c r="BC347" s="12" t="e">
        <x:f>IF(BB347="","",INDEX({"v1.4.20","v1.4.20","v1.4.21","v1.4.21","v1.4.23","v1.4.23","v1.4.26","v1.4.26","v1.4.26.1","v1.4.26.1","v1.4.27","v1.4.27","v1.4.29","v1.4.29","v1.4.30","v1.4.30","v1.4.31","v1.4.31","v1.4.33","v1.4.33","v1.4.35","v1.4.35.2","v1.5","v1.5.1","v1.5.1"},MATCH(BB347,CHOOSE({1,2,3,4,5,6,7,8,9,10,11,12,13,14,15,16,17,18,19,20,21,22,23,24,25},D347,F347,H347,J347,L347,N347,P347,R347,T347,V347,X347,Z347,AB347,AD347,AF347,AH347,AJ347,AL347,AN347,AP347,AR347,AT347,AV347,AX347,AZ347),0)))</x:f>
      </x:c>
      <x:c r="BD347" s="14" t="n">
        <x:f>LET(m,MIN(IF(E347&gt;0,E347,1E+99),IF(G347&gt;0,G347,1E+99),IF(I347&gt;0,I347,1E+99),IF(K347&gt;0,K347,1E+99),IF(M347&gt;0,M347,1E+99),IF(O347&gt;0,O347,1E+99),IF(Q347&gt;0,Q347,1E+99),IF(S347&gt;0,S347,1E+99),IF(U347&gt;0,U347,1E+99),IF(W347&gt;0,W347,1E+99),IF(Y347&gt;0,Y347,1E+99),IF(AA347&gt;0,AA347,1E+99),IF(AC347&gt;0,AC347,1E+99),IF(AE347&gt;0,AE347,1E+99),IF(AG347&gt;0,AG347,1E+99),IF(AI347&gt;0,AI347,1E+99),IF(AK347&gt;0,AK347,1E+99),IF(AM347&gt;0,AM347,1E+99),IF(AO347&gt;0,AO347,1E+99),IF(AQ347&gt;0,AQ347,1E+99),IF(AS347&gt;0,AS347,1E+99),IF(AU347&gt;0,AU347,1E+99),IF(AW347&gt;0,AW347,1E+99),IF(AY347&gt;0,AY347,1E+99),IF(BA347&gt;0,BA347,1E+99)),IF(m=1E+99,"",m))</x:f>
        <x:v>67.799</x:v>
      </x:c>
      <x:c r="BE347" s="16" t="e">
        <x:f>IF(BD347="","",INDEX({"v1.4.20","v1.4.20","v1.4.21","v1.4.21","v1.4.23","v1.4.23","v1.4.26","v1.4.26","v1.4.26.1","v1.4.26.1","v1.4.27","v1.4.27","v1.4.29","v1.4.29","v1.4.30","v1.4.30","v1.4.31","v1.4.31","v1.4.33","v1.4.33","v1.4.35","v1.4.35.2","v1.5","v1.5.1","v1.5.1"},MATCH(BD347,CHOOSE({1,2,3,4,5,6,7,8,9,10,11,12,13,14,15,16,17,18,19,20,21,22,23,24,25},E347,G347,I347,K347,M347,O347,Q347,S347,U347,W347,Y347,AA347,AC347,AE347,AG347,AI347,AK347,AM347,AO347,AQ347,AS347,AU347,AW347,AY347,BA347),0)))</x:f>
      </x:c>
      <x:c r="BF347" s="10" t="n">
        <x:f>IFERROR((AX347-BB347)/BB347,"")</x:f>
        <x:v>0.5472047634799867</x:v>
      </x:c>
      <x:c r="BG347" s="10" t="n">
        <x:f>IFERROR((AY347-BD347)/BD347,"")</x:f>
        <x:v>0.4763639581704744</x:v>
      </x:c>
    </x:row>
    <x:row r="348">
      <x:c r="A348" t="str"/>
      <x:c r="B348" t="str">
        <x:v>Run Dashboard Quality Quick</x:v>
      </x:c>
      <x:c r="C348" t="str">
        <x:v>Section E Test 9 complete</x:v>
      </x:c>
      <x:c r="D348" s="8"/>
      <x:c r="E348" s="8"/>
      <x:c r="F348" s="8"/>
      <x:c r="G348" s="8"/>
      <x:c r="H348" s="8"/>
      <x:c r="I348" s="8"/>
      <x:c r="J348" s="8"/>
      <x:c r="K348" s="8"/>
      <x:c r="L348" s="8"/>
      <x:c r="M348" s="8"/>
      <x:c r="N348" s="8"/>
      <x:c r="O348" s="8"/>
      <x:c r="P348" s="8"/>
      <x:c r="Q348" s="8"/>
      <x:c r="R348" s="8"/>
      <x:c r="S348" s="8"/>
      <x:c r="T348" s="8" t="n">
        <x:v>10.02</x:v>
      </x:c>
      <x:c r="U348" s="8" t="n">
        <x:v>103.941</x:v>
      </x:c>
      <x:c r="V348" s="8" t="n">
        <x:v>10.02</x:v>
      </x:c>
      <x:c r="W348" s="8" t="n">
        <x:v>103.941</x:v>
      </x:c>
      <x:c r="X348" s="8"/>
      <x:c r="Y348" s="8"/>
      <x:c r="Z348" s="8"/>
      <x:c r="AA348" s="8"/>
      <x:c r="AB348" s="8"/>
      <x:c r="AC348" s="8"/>
      <x:c r="AD348" s="8"/>
      <x:c r="AE348" s="8"/>
      <x:c r="AF348" s="8"/>
      <x:c r="AG348" s="8"/>
      <x:c r="AH348" s="8"/>
      <x:c r="AI348" s="8"/>
      <x:c r="AJ348" s="8"/>
      <x:c r="AK348" s="8"/>
      <x:c r="AL348" s="8"/>
      <x:c r="AM348" s="8"/>
      <x:c r="AN348" s="8" t="n">
        <x:v>7.44</x:v>
      </x:c>
      <x:c r="AO348" s="8" t="n">
        <x:v>89.197</x:v>
      </x:c>
      <x:c r="AP348" s="8" t="n">
        <x:v>7.44</x:v>
      </x:c>
      <x:c r="AQ348" s="8" t="n">
        <x:v>89.197</x:v>
      </x:c>
      <x:c r="AR348" s="8" t="n">
        <x:v>10.667</x:v>
      </x:c>
      <x:c r="AS348" s="8" t="n">
        <x:v>122.504</x:v>
      </x:c>
      <x:c r="AT348" s="8" t="n">
        <x:v>10.728</x:v>
      </x:c>
      <x:c r="AU348" s="8" t="n">
        <x:v>78.527</x:v>
      </x:c>
      <x:c r="AV348" s="8" t="n">
        <x:v>11.298</x:v>
      </x:c>
      <x:c r="AW348" s="8" t="n">
        <x:v>127.593</x:v>
      </x:c>
      <x:c r="AX348" s="8" t="n">
        <x:v>11.29</x:v>
      </x:c>
      <x:c r="AY348" s="8" t="n">
        <x:v>111.386</x:v>
      </x:c>
      <x:c r="AZ348" s="8" t="n">
        <x:v>11.29</x:v>
      </x:c>
      <x:c r="BA348" s="8" t="n">
        <x:v>111.386</x:v>
      </x:c>
      <x:c r="BB348" s="8" t="n">
        <x:f>LET(m,MIN(IF(D348&gt;0,D348,1E+99),IF(F348&gt;0,F348,1E+99),IF(H348&gt;0,H348,1E+99),IF(J348&gt;0,J348,1E+99),IF(L348&gt;0,L348,1E+99),IF(N348&gt;0,N348,1E+99),IF(P348&gt;0,P348,1E+99),IF(R348&gt;0,R348,1E+99),IF(T348&gt;0,T348,1E+99),IF(V348&gt;0,V348,1E+99),IF(X348&gt;0,X348,1E+99),IF(Z348&gt;0,Z348,1E+99),IF(AB348&gt;0,AB348,1E+99),IF(AD348&gt;0,AD348,1E+99),IF(AF348&gt;0,AF348,1E+99),IF(AH348&gt;0,AH348,1E+99),IF(AJ348&gt;0,AJ348,1E+99),IF(AL348&gt;0,AL348,1E+99),IF(AN348&gt;0,AN348,1E+99),IF(AP348&gt;0,AP348,1E+99),IF(AR348&gt;0,AR348,1E+99),IF(AT348&gt;0,AT348,1E+99),IF(AV348&gt;0,AV348,1E+99),IF(AX348&gt;0,AX348,1E+99),IF(AZ348&gt;0,AZ348,1E+99)),IF(m=1E+99,"",m))</x:f>
        <x:v>7.44</x:v>
      </x:c>
      <x:c r="BC348" s="12" t="e">
        <x:f>IF(BB348="","",INDEX({"v1.4.20","v1.4.20","v1.4.21","v1.4.21","v1.4.23","v1.4.23","v1.4.26","v1.4.26","v1.4.26.1","v1.4.26.1","v1.4.27","v1.4.27","v1.4.29","v1.4.29","v1.4.30","v1.4.30","v1.4.31","v1.4.31","v1.4.33","v1.4.33","v1.4.35","v1.4.35.2","v1.5","v1.5.1","v1.5.1"},MATCH(BB348,CHOOSE({1,2,3,4,5,6,7,8,9,10,11,12,13,14,15,16,17,18,19,20,21,22,23,24,25},D348,F348,H348,J348,L348,N348,P348,R348,T348,V348,X348,Z348,AB348,AD348,AF348,AH348,AJ348,AL348,AN348,AP348,AR348,AT348,AV348,AX348,AZ348),0)))</x:f>
      </x:c>
      <x:c r="BD348" s="14" t="n">
        <x:f>LET(m,MIN(IF(E348&gt;0,E348,1E+99),IF(G348&gt;0,G348,1E+99),IF(I348&gt;0,I348,1E+99),IF(K348&gt;0,K348,1E+99),IF(M348&gt;0,M348,1E+99),IF(O348&gt;0,O348,1E+99),IF(Q348&gt;0,Q348,1E+99),IF(S348&gt;0,S348,1E+99),IF(U348&gt;0,U348,1E+99),IF(W348&gt;0,W348,1E+99),IF(Y348&gt;0,Y348,1E+99),IF(AA348&gt;0,AA348,1E+99),IF(AC348&gt;0,AC348,1E+99),IF(AE348&gt;0,AE348,1E+99),IF(AG348&gt;0,AG348,1E+99),IF(AI348&gt;0,AI348,1E+99),IF(AK348&gt;0,AK348,1E+99),IF(AM348&gt;0,AM348,1E+99),IF(AO348&gt;0,AO348,1E+99),IF(AQ348&gt;0,AQ348,1E+99),IF(AS348&gt;0,AS348,1E+99),IF(AU348&gt;0,AU348,1E+99),IF(AW348&gt;0,AW348,1E+99),IF(AY348&gt;0,AY348,1E+99),IF(BA348&gt;0,BA348,1E+99)),IF(m=1E+99,"",m))</x:f>
        <x:v>78.527</x:v>
      </x:c>
      <x:c r="BE348" s="16" t="e">
        <x:f>IF(BD348="","",INDEX({"v1.4.20","v1.4.20","v1.4.21","v1.4.21","v1.4.23","v1.4.23","v1.4.26","v1.4.26","v1.4.26.1","v1.4.26.1","v1.4.27","v1.4.27","v1.4.29","v1.4.29","v1.4.30","v1.4.30","v1.4.31","v1.4.31","v1.4.33","v1.4.33","v1.4.35","v1.4.35.2","v1.5","v1.5.1","v1.5.1"},MATCH(BD348,CHOOSE({1,2,3,4,5,6,7,8,9,10,11,12,13,14,15,16,17,18,19,20,21,22,23,24,25},E348,G348,I348,K348,M348,O348,Q348,S348,U348,W348,Y348,AA348,AC348,AE348,AG348,AI348,AK348,AM348,AO348,AQ348,AS348,AU348,AW348,AY348,BA348),0)))</x:f>
      </x:c>
      <x:c r="BF348" s="10" t="n">
        <x:f>IFERROR((AX348-BB348)/BB348,"")</x:f>
        <x:v>0.5174731182795697</x:v>
      </x:c>
      <x:c r="BG348" s="10" t="n">
        <x:f>IFERROR((AY348-BD348)/BD348,"")</x:f>
        <x:v>0.41844206451284266</x:v>
      </x:c>
    </x:row>
    <x:row r="349">
      <x:c r="A349" t="str"/>
      <x:c r="B349" t="str">
        <x:v>Run Dashboard Quality Quick</x:v>
      </x:c>
      <x:c r="C349" t="str">
        <x:v>Complete</x:v>
      </x:c>
      <x:c r="D349" s="8"/>
      <x:c r="E349" s="8"/>
      <x:c r="F349" s="8"/>
      <x:c r="G349" s="8"/>
      <x:c r="H349" s="8"/>
      <x:c r="I349" s="8"/>
      <x:c r="J349" s="8"/>
      <x:c r="K349" s="8"/>
      <x:c r="L349" s="8"/>
      <x:c r="M349" s="8"/>
      <x:c r="N349" s="8"/>
      <x:c r="O349" s="8"/>
      <x:c r="P349" s="8"/>
      <x:c r="Q349" s="8"/>
      <x:c r="R349" s="8"/>
      <x:c r="S349" s="8"/>
      <x:c r="T349" s="8" t="n">
        <x:v>0</x:v>
      </x:c>
      <x:c r="U349" s="8" t="n">
        <x:v>103.941</x:v>
      </x:c>
      <x:c r="V349" s="8" t="n">
        <x:v>0</x:v>
      </x:c>
      <x:c r="W349" s="8" t="n">
        <x:v>103.941</x:v>
      </x:c>
      <x:c r="X349" s="8"/>
      <x:c r="Y349" s="8"/>
      <x:c r="Z349" s="8"/>
      <x:c r="AA349" s="8"/>
      <x:c r="AB349" s="8"/>
      <x:c r="AC349" s="8"/>
      <x:c r="AD349" s="8"/>
      <x:c r="AE349" s="8"/>
      <x:c r="AF349" s="8"/>
      <x:c r="AG349" s="8"/>
      <x:c r="AH349" s="8"/>
      <x:c r="AI349" s="8"/>
      <x:c r="AJ349" s="8"/>
      <x:c r="AK349" s="8"/>
      <x:c r="AL349" s="8"/>
      <x:c r="AM349" s="8"/>
      <x:c r="AN349" s="8" t="n">
        <x:v>0</x:v>
      </x:c>
      <x:c r="AO349" s="8" t="n">
        <x:v>89.197</x:v>
      </x:c>
      <x:c r="AP349" s="8" t="n">
        <x:v>0</x:v>
      </x:c>
      <x:c r="AQ349" s="8" t="n">
        <x:v>89.197</x:v>
      </x:c>
      <x:c r="AR349" s="8" t="n">
        <x:v>0</x:v>
      </x:c>
      <x:c r="AS349" s="8" t="n">
        <x:v>122.504</x:v>
      </x:c>
      <x:c r="AT349" s="8" t="n">
        <x:v>0</x:v>
      </x:c>
      <x:c r="AU349" s="8" t="n">
        <x:v>78.527</x:v>
      </x:c>
      <x:c r="AV349" s="8" t="n">
        <x:v>0</x:v>
      </x:c>
      <x:c r="AW349" s="8" t="n">
        <x:v>127.593</x:v>
      </x:c>
      <x:c r="AX349" s="8" t="n">
        <x:v>0</x:v>
      </x:c>
      <x:c r="AY349" s="8" t="n">
        <x:v>111.386</x:v>
      </x:c>
      <x:c r="AZ349" s="8" t="n">
        <x:v>0</x:v>
      </x:c>
      <x:c r="BA349" s="8" t="n">
        <x:v>111.386</x:v>
      </x:c>
      <x:c r="BB349" s="8" t="str">
        <x:f>LET(m,MIN(IF(D349&gt;0,D349,1E+99),IF(F349&gt;0,F349,1E+99),IF(H349&gt;0,H349,1E+99),IF(J349&gt;0,J349,1E+99),IF(L349&gt;0,L349,1E+99),IF(N349&gt;0,N349,1E+99),IF(P349&gt;0,P349,1E+99),IF(R349&gt;0,R349,1E+99),IF(T349&gt;0,T349,1E+99),IF(V349&gt;0,V349,1E+99),IF(X349&gt;0,X349,1E+99),IF(Z349&gt;0,Z349,1E+99),IF(AB349&gt;0,AB349,1E+99),IF(AD349&gt;0,AD349,1E+99),IF(AF349&gt;0,AF349,1E+99),IF(AH349&gt;0,AH349,1E+99),IF(AJ349&gt;0,AJ349,1E+99),IF(AL349&gt;0,AL349,1E+99),IF(AN349&gt;0,AN349,1E+99),IF(AP349&gt;0,AP349,1E+99),IF(AR349&gt;0,AR349,1E+99),IF(AT349&gt;0,AT349,1E+99),IF(AV349&gt;0,AV349,1E+99),IF(AX349&gt;0,AX349,1E+99),IF(AZ349&gt;0,AZ349,1E+99)),IF(m=1E+99,"",m))</x:f>
      </x:c>
      <x:c r="BC349" s="12" t="str">
        <x:f>IF(BB349="","",INDEX({"v1.4.20","v1.4.20","v1.4.21","v1.4.21","v1.4.23","v1.4.23","v1.4.26","v1.4.26","v1.4.26.1","v1.4.26.1","v1.4.27","v1.4.27","v1.4.29","v1.4.29","v1.4.30","v1.4.30","v1.4.31","v1.4.31","v1.4.33","v1.4.33","v1.4.35","v1.4.35.2","v1.5","v1.5.1","v1.5.1"},MATCH(BB349,CHOOSE({1,2,3,4,5,6,7,8,9,10,11,12,13,14,15,16,17,18,19,20,21,22,23,24,25},D349,F349,H349,J349,L349,N349,P349,R349,T349,V349,X349,Z349,AB349,AD349,AF349,AH349,AJ349,AL349,AN349,AP349,AR349,AT349,AV349,AX349,AZ349),0)))</x:f>
      </x:c>
      <x:c r="BD349" s="14" t="n">
        <x:f>LET(m,MIN(IF(E349&gt;0,E349,1E+99),IF(G349&gt;0,G349,1E+99),IF(I349&gt;0,I349,1E+99),IF(K349&gt;0,K349,1E+99),IF(M349&gt;0,M349,1E+99),IF(O349&gt;0,O349,1E+99),IF(Q349&gt;0,Q349,1E+99),IF(S349&gt;0,S349,1E+99),IF(U349&gt;0,U349,1E+99),IF(W349&gt;0,W349,1E+99),IF(Y349&gt;0,Y349,1E+99),IF(AA349&gt;0,AA349,1E+99),IF(AC349&gt;0,AC349,1E+99),IF(AE349&gt;0,AE349,1E+99),IF(AG349&gt;0,AG349,1E+99),IF(AI349&gt;0,AI349,1E+99),IF(AK349&gt;0,AK349,1E+99),IF(AM349&gt;0,AM349,1E+99),IF(AO349&gt;0,AO349,1E+99),IF(AQ349&gt;0,AQ349,1E+99),IF(AS349&gt;0,AS349,1E+99),IF(AU349&gt;0,AU349,1E+99),IF(AW349&gt;0,AW349,1E+99),IF(AY349&gt;0,AY349,1E+99),IF(BA349&gt;0,BA349,1E+99)),IF(m=1E+99,"",m))</x:f>
        <x:v>78.527</x:v>
      </x:c>
      <x:c r="BE349" s="16" t="e">
        <x:f>IF(BD349="","",INDEX({"v1.4.20","v1.4.20","v1.4.21","v1.4.21","v1.4.23","v1.4.23","v1.4.26","v1.4.26","v1.4.26.1","v1.4.26.1","v1.4.27","v1.4.27","v1.4.29","v1.4.29","v1.4.30","v1.4.30","v1.4.31","v1.4.31","v1.4.33","v1.4.33","v1.4.35","v1.4.35.2","v1.5","v1.5.1","v1.5.1"},MATCH(BD349,CHOOSE({1,2,3,4,5,6,7,8,9,10,11,12,13,14,15,16,17,18,19,20,21,22,23,24,25},E349,G349,I349,K349,M349,O349,Q349,S349,U349,W349,Y349,AA349,AC349,AE349,AG349,AI349,AK349,AM349,AO349,AQ349,AS349,AU349,AW349,AY349,BA349),0)))</x:f>
      </x:c>
      <x:c r="BF349" s="10" t="str">
        <x:f>IFERROR((AX349-BB349)/BB349,"")</x:f>
      </x:c>
      <x:c r="BG349" s="10" t="n">
        <x:f>IFERROR((AY349-BD349)/BD349,"")</x:f>
        <x:v>0.41844206451284266</x:v>
      </x:c>
    </x:row>
    <x:row r="350">
      <x:c r="A350" t="str"/>
      <x:c r="B350" t="str">
        <x:v>Format Banner Report</x:v>
      </x:c>
      <x:c r="C350" t="str">
        <x:v>Start</x:v>
      </x:c>
      <x:c r="D350" s="8" t="n">
        <x:v>0</x:v>
      </x:c>
      <x:c r="E350" s="8" t="n">
        <x:v>0</x:v>
      </x:c>
      <x:c r="F350" s="8" t="n">
        <x:v>0</x:v>
      </x:c>
      <x:c r="G350" s="8" t="n">
        <x:v>0</x:v>
      </x:c>
      <x:c r="H350" s="8" t="n">
        <x:v>0</x:v>
      </x:c>
      <x:c r="I350" s="8" t="n">
        <x:v>0</x:v>
      </x:c>
      <x:c r="J350" s="8" t="n">
        <x:v>0</x:v>
      </x:c>
      <x:c r="K350" s="8" t="n">
        <x:v>0</x:v>
      </x:c>
      <x:c r="L350" s="8" t="n">
        <x:v>0</x:v>
      </x:c>
      <x:c r="M350" s="8" t="n">
        <x:v>0</x:v>
      </x:c>
      <x:c r="N350" s="8" t="n">
        <x:v>0</x:v>
      </x:c>
      <x:c r="O350" s="8" t="n">
        <x:v>0</x:v>
      </x:c>
      <x:c r="P350" s="8" t="n">
        <x:v>0</x:v>
      </x:c>
      <x:c r="Q350" s="8" t="n">
        <x:v>0</x:v>
      </x:c>
      <x:c r="R350" s="8" t="n">
        <x:v>0</x:v>
      </x:c>
      <x:c r="S350" s="8" t="n">
        <x:v>0</x:v>
      </x:c>
      <x:c r="T350" s="8" t="n">
        <x:v>0</x:v>
      </x:c>
      <x:c r="U350" s="8" t="n">
        <x:v>0</x:v>
      </x:c>
      <x:c r="V350" s="8" t="n">
        <x:v>0</x:v>
      </x:c>
      <x:c r="W350" s="8" t="n">
        <x:v>0</x:v>
      </x:c>
      <x:c r="X350" s="8" t="n">
        <x:v>0</x:v>
      </x:c>
      <x:c r="Y350" s="8" t="n">
        <x:v>0</x:v>
      </x:c>
      <x:c r="Z350" s="8" t="n">
        <x:v>0</x:v>
      </x:c>
      <x:c r="AA350" s="8" t="n">
        <x:v>0</x:v>
      </x:c>
      <x:c r="AB350" s="8" t="n">
        <x:v>0</x:v>
      </x:c>
      <x:c r="AC350" s="8" t="n">
        <x:v>0</x:v>
      </x:c>
      <x:c r="AD350" s="8" t="n">
        <x:v>0</x:v>
      </x:c>
      <x:c r="AE350" s="8" t="n">
        <x:v>0</x:v>
      </x:c>
      <x:c r="AF350" s="8" t="n">
        <x:v>0</x:v>
      </x:c>
      <x:c r="AG350" s="8" t="n">
        <x:v>0</x:v>
      </x:c>
      <x:c r="AH350" s="8" t="n">
        <x:v>0</x:v>
      </x:c>
      <x:c r="AI350" s="8" t="n">
        <x:v>0</x:v>
      </x:c>
      <x:c r="AJ350" s="8" t="n">
        <x:v>0</x:v>
      </x:c>
      <x:c r="AK350" s="8" t="n">
        <x:v>0</x:v>
      </x:c>
      <x:c r="AL350" s="8" t="n">
        <x:v>0</x:v>
      </x:c>
      <x:c r="AM350" s="8" t="n">
        <x:v>0</x:v>
      </x:c>
      <x:c r="AN350" s="8" t="n">
        <x:v>0</x:v>
      </x:c>
      <x:c r="AO350" s="8" t="n">
        <x:v>0</x:v>
      </x:c>
      <x:c r="AP350" s="8" t="n">
        <x:v>0</x:v>
      </x:c>
      <x:c r="AQ350" s="8" t="n">
        <x:v>0</x:v>
      </x:c>
      <x:c r="AR350" s="8"/>
      <x:c r="AS350" s="8"/>
      <x:c r="AT350" s="8" t="n">
        <x:v>0</x:v>
      </x:c>
      <x:c r="AU350" s="8" t="n">
        <x:v>0</x:v>
      </x:c>
      <x:c r="AV350" s="8" t="n">
        <x:v>0</x:v>
      </x:c>
      <x:c r="AW350" s="8" t="n">
        <x:v>0</x:v>
      </x:c>
      <x:c r="AX350" s="8" t="n">
        <x:v>0.001</x:v>
      </x:c>
      <x:c r="AY350" s="8" t="n">
        <x:v>0.001</x:v>
      </x:c>
      <x:c r="AZ350" s="8" t="n">
        <x:v>0.001</x:v>
      </x:c>
      <x:c r="BA350" s="8" t="n">
        <x:v>0.001</x:v>
      </x:c>
      <x:c r="BB350" s="8" t="n">
        <x:f>LET(m,MIN(IF(D350&gt;0,D350,1E+99),IF(F350&gt;0,F350,1E+99),IF(H350&gt;0,H350,1E+99),IF(J350&gt;0,J350,1E+99),IF(L350&gt;0,L350,1E+99),IF(N350&gt;0,N350,1E+99),IF(P350&gt;0,P350,1E+99),IF(R350&gt;0,R350,1E+99),IF(T350&gt;0,T350,1E+99),IF(V350&gt;0,V350,1E+99),IF(X350&gt;0,X350,1E+99),IF(Z350&gt;0,Z350,1E+99),IF(AB350&gt;0,AB350,1E+99),IF(AD350&gt;0,AD350,1E+99),IF(AF350&gt;0,AF350,1E+99),IF(AH350&gt;0,AH350,1E+99),IF(AJ350&gt;0,AJ350,1E+99),IF(AL350&gt;0,AL350,1E+99),IF(AN350&gt;0,AN350,1E+99),IF(AP350&gt;0,AP350,1E+99),IF(AR350&gt;0,AR350,1E+99),IF(AT350&gt;0,AT350,1E+99),IF(AV350&gt;0,AV350,1E+99),IF(AX350&gt;0,AX350,1E+99),IF(AZ350&gt;0,AZ350,1E+99)),IF(m=1E+99,"",m))</x:f>
        <x:v>0.001</x:v>
      </x:c>
      <x:c r="BC350" s="12" t="e">
        <x:f>IF(BB350="","",INDEX({"v1.4.20","v1.4.20","v1.4.21","v1.4.21","v1.4.23","v1.4.23","v1.4.26","v1.4.26","v1.4.26.1","v1.4.26.1","v1.4.27","v1.4.27","v1.4.29","v1.4.29","v1.4.30","v1.4.30","v1.4.31","v1.4.31","v1.4.33","v1.4.33","v1.4.35","v1.4.35.2","v1.5","v1.5.1","v1.5.1"},MATCH(BB350,CHOOSE({1,2,3,4,5,6,7,8,9,10,11,12,13,14,15,16,17,18,19,20,21,22,23,24,25},D350,F350,H350,J350,L350,N350,P350,R350,T350,V350,X350,Z350,AB350,AD350,AF350,AH350,AJ350,AL350,AN350,AP350,AR350,AT350,AV350,AX350,AZ350),0)))</x:f>
      </x:c>
      <x:c r="BD350" s="14" t="n">
        <x:f>LET(m,MIN(IF(E350&gt;0,E350,1E+99),IF(G350&gt;0,G350,1E+99),IF(I350&gt;0,I350,1E+99),IF(K350&gt;0,K350,1E+99),IF(M350&gt;0,M350,1E+99),IF(O350&gt;0,O350,1E+99),IF(Q350&gt;0,Q350,1E+99),IF(S350&gt;0,S350,1E+99),IF(U350&gt;0,U350,1E+99),IF(W350&gt;0,W350,1E+99),IF(Y350&gt;0,Y350,1E+99),IF(AA350&gt;0,AA350,1E+99),IF(AC350&gt;0,AC350,1E+99),IF(AE350&gt;0,AE350,1E+99),IF(AG350&gt;0,AG350,1E+99),IF(AI350&gt;0,AI350,1E+99),IF(AK350&gt;0,AK350,1E+99),IF(AM350&gt;0,AM350,1E+99),IF(AO350&gt;0,AO350,1E+99),IF(AQ350&gt;0,AQ350,1E+99),IF(AS350&gt;0,AS350,1E+99),IF(AU350&gt;0,AU350,1E+99),IF(AW350&gt;0,AW350,1E+99),IF(AY350&gt;0,AY350,1E+99),IF(BA350&gt;0,BA350,1E+99)),IF(m=1E+99,"",m))</x:f>
        <x:v>0.001</x:v>
      </x:c>
      <x:c r="BE350" s="16" t="e">
        <x:f>IF(BD350="","",INDEX({"v1.4.20","v1.4.20","v1.4.21","v1.4.21","v1.4.23","v1.4.23","v1.4.26","v1.4.26","v1.4.26.1","v1.4.26.1","v1.4.27","v1.4.27","v1.4.29","v1.4.29","v1.4.30","v1.4.30","v1.4.31","v1.4.31","v1.4.33","v1.4.33","v1.4.35","v1.4.35.2","v1.5","v1.5.1","v1.5.1"},MATCH(BD350,CHOOSE({1,2,3,4,5,6,7,8,9,10,11,12,13,14,15,16,17,18,19,20,21,22,23,24,25},E350,G350,I350,K350,M350,O350,Q350,S350,U350,W350,Y350,AA350,AC350,AE350,AG350,AI350,AK350,AM350,AO350,AQ350,AS350,AU350,AW350,AY350,BA350),0)))</x:f>
      </x:c>
      <x:c r="BF350" s="10" t="n">
        <x:f>IFERROR((AX350-BB350)/BB350,"")</x:f>
        <x:v>0</x:v>
      </x:c>
      <x:c r="BG350" s="10" t="n">
        <x:f>IFERROR((AY350-BD350)/BD350,"")</x:f>
        <x:v>0</x:v>
      </x:c>
    </x:row>
    <x:row r="351">
      <x:c r="A351" t="str"/>
      <x:c r="B351" t="str">
        <x:v>Format Banner Report</x:v>
      </x:c>
      <x:c r="C351" t="str">
        <x:v>Template duplicated as output sheet: Banners 04.26</x:v>
      </x:c>
      <x:c r="D351" s="8" t="n">
        <x:v>5.542</x:v>
      </x:c>
      <x:c r="E351" s="8" t="n">
        <x:v>11.999</x:v>
      </x:c>
      <x:c r="F351" s="8" t="n">
        <x:v>5.542</x:v>
      </x:c>
      <x:c r="G351" s="8" t="n">
        <x:v>11.999</x:v>
      </x:c>
      <x:c r="H351" s="8" t="n">
        <x:v>6.432</x:v>
      </x:c>
      <x:c r="I351" s="8" t="n">
        <x:v>13.43</x:v>
      </x:c>
      <x:c r="J351" s="8" t="n">
        <x:v>6.432</x:v>
      </x:c>
      <x:c r="K351" s="8" t="n">
        <x:v>13.43</x:v>
      </x:c>
      <x:c r="L351" s="8" t="n">
        <x:v>7.331</x:v>
      </x:c>
      <x:c r="M351" s="8" t="n">
        <x:v>14.451</x:v>
      </x:c>
      <x:c r="N351" s="8" t="n">
        <x:v>7.331</x:v>
      </x:c>
      <x:c r="O351" s="8" t="n">
        <x:v>14.451</x:v>
      </x:c>
      <x:c r="P351" s="8" t="n">
        <x:v>4.836</x:v>
      </x:c>
      <x:c r="Q351" s="8" t="n">
        <x:v>10.031</x:v>
      </x:c>
      <x:c r="R351" s="8" t="n">
        <x:v>4.836</x:v>
      </x:c>
      <x:c r="S351" s="8" t="n">
        <x:v>10.031</x:v>
      </x:c>
      <x:c r="T351" s="8" t="n">
        <x:v>5.306</x:v>
      </x:c>
      <x:c r="U351" s="8" t="n">
        <x:v>12.283</x:v>
      </x:c>
      <x:c r="V351" s="8" t="n">
        <x:v>5.306</x:v>
      </x:c>
      <x:c r="W351" s="8" t="n">
        <x:v>12.283</x:v>
      </x:c>
      <x:c r="X351" s="8" t="n">
        <x:v>11.68</x:v>
      </x:c>
      <x:c r="Y351" s="8" t="n">
        <x:v>16.682</x:v>
      </x:c>
      <x:c r="Z351" s="8" t="n">
        <x:v>11.68</x:v>
      </x:c>
      <x:c r="AA351" s="8" t="n">
        <x:v>16.682</x:v>
      </x:c>
      <x:c r="AB351" s="8" t="n">
        <x:v>7.886</x:v>
      </x:c>
      <x:c r="AC351" s="8" t="n">
        <x:v>16.897</x:v>
      </x:c>
      <x:c r="AD351" s="8" t="n">
        <x:v>7.886</x:v>
      </x:c>
      <x:c r="AE351" s="8" t="n">
        <x:v>16.897</x:v>
      </x:c>
      <x:c r="AF351" s="8" t="n">
        <x:v>5.778</x:v>
      </x:c>
      <x:c r="AG351" s="8" t="n">
        <x:v>11.57</x:v>
      </x:c>
      <x:c r="AH351" s="8" t="n">
        <x:v>5.778</x:v>
      </x:c>
      <x:c r="AI351" s="8" t="n">
        <x:v>11.57</x:v>
      </x:c>
      <x:c r="AJ351" s="8" t="n">
        <x:v>9.158</x:v>
      </x:c>
      <x:c r="AK351" s="8" t="n">
        <x:v>16.363</x:v>
      </x:c>
      <x:c r="AL351" s="8" t="n">
        <x:v>9.158</x:v>
      </x:c>
      <x:c r="AM351" s="8" t="n">
        <x:v>16.363</x:v>
      </x:c>
      <x:c r="AN351" s="8" t="n">
        <x:v>5.574</x:v>
      </x:c>
      <x:c r="AO351" s="8" t="n">
        <x:v>11.696</x:v>
      </x:c>
      <x:c r="AP351" s="8" t="n">
        <x:v>5.574</x:v>
      </x:c>
      <x:c r="AQ351" s="8" t="n">
        <x:v>11.696</x:v>
      </x:c>
      <x:c r="AR351" s="8"/>
      <x:c r="AS351" s="8"/>
      <x:c r="AT351" s="8" t="n">
        <x:v>5.604</x:v>
      </x:c>
      <x:c r="AU351" s="8" t="n">
        <x:v>15.921</x:v>
      </x:c>
      <x:c r="AV351" s="8" t="n">
        <x:v>7.613</x:v>
      </x:c>
      <x:c r="AW351" s="8" t="n">
        <x:v>15.079</x:v>
      </x:c>
      <x:c r="AX351" s="8" t="n">
        <x:v>7.227</x:v>
      </x:c>
      <x:c r="AY351" s="8" t="n">
        <x:v>14.988</x:v>
      </x:c>
      <x:c r="AZ351" s="8" t="n">
        <x:v>7.227</x:v>
      </x:c>
      <x:c r="BA351" s="8" t="n">
        <x:v>14.988</x:v>
      </x:c>
      <x:c r="BB351" s="8" t="n">
        <x:f>LET(m,MIN(IF(D351&gt;0,D351,1E+99),IF(F351&gt;0,F351,1E+99),IF(H351&gt;0,H351,1E+99),IF(J351&gt;0,J351,1E+99),IF(L351&gt;0,L351,1E+99),IF(N351&gt;0,N351,1E+99),IF(P351&gt;0,P351,1E+99),IF(R351&gt;0,R351,1E+99),IF(T351&gt;0,T351,1E+99),IF(V351&gt;0,V351,1E+99),IF(X351&gt;0,X351,1E+99),IF(Z351&gt;0,Z351,1E+99),IF(AB351&gt;0,AB351,1E+99),IF(AD351&gt;0,AD351,1E+99),IF(AF351&gt;0,AF351,1E+99),IF(AH351&gt;0,AH351,1E+99),IF(AJ351&gt;0,AJ351,1E+99),IF(AL351&gt;0,AL351,1E+99),IF(AN351&gt;0,AN351,1E+99),IF(AP351&gt;0,AP351,1E+99),IF(AR351&gt;0,AR351,1E+99),IF(AT351&gt;0,AT351,1E+99),IF(AV351&gt;0,AV351,1E+99),IF(AX351&gt;0,AX351,1E+99),IF(AZ351&gt;0,AZ351,1E+99)),IF(m=1E+99,"",m))</x:f>
        <x:v>4.836</x:v>
      </x:c>
      <x:c r="BC351" s="12" t="e">
        <x:f>IF(BB351="","",INDEX({"v1.4.20","v1.4.20","v1.4.21","v1.4.21","v1.4.23","v1.4.23","v1.4.26","v1.4.26","v1.4.26.1","v1.4.26.1","v1.4.27","v1.4.27","v1.4.29","v1.4.29","v1.4.30","v1.4.30","v1.4.31","v1.4.31","v1.4.33","v1.4.33","v1.4.35","v1.4.35.2","v1.5","v1.5.1","v1.5.1"},MATCH(BB351,CHOOSE({1,2,3,4,5,6,7,8,9,10,11,12,13,14,15,16,17,18,19,20,21,22,23,24,25},D351,F351,H351,J351,L351,N351,P351,R351,T351,V351,X351,Z351,AB351,AD351,AF351,AH351,AJ351,AL351,AN351,AP351,AR351,AT351,AV351,AX351,AZ351),0)))</x:f>
      </x:c>
      <x:c r="BD351" s="14" t="n">
        <x:f>LET(m,MIN(IF(E351&gt;0,E351,1E+99),IF(G351&gt;0,G351,1E+99),IF(I351&gt;0,I351,1E+99),IF(K351&gt;0,K351,1E+99),IF(M351&gt;0,M351,1E+99),IF(O351&gt;0,O351,1E+99),IF(Q351&gt;0,Q351,1E+99),IF(S351&gt;0,S351,1E+99),IF(U351&gt;0,U351,1E+99),IF(W351&gt;0,W351,1E+99),IF(Y351&gt;0,Y351,1E+99),IF(AA351&gt;0,AA351,1E+99),IF(AC351&gt;0,AC351,1E+99),IF(AE351&gt;0,AE351,1E+99),IF(AG351&gt;0,AG351,1E+99),IF(AI351&gt;0,AI351,1E+99),IF(AK351&gt;0,AK351,1E+99),IF(AM351&gt;0,AM351,1E+99),IF(AO351&gt;0,AO351,1E+99),IF(AQ351&gt;0,AQ351,1E+99),IF(AS351&gt;0,AS351,1E+99),IF(AU351&gt;0,AU351,1E+99),IF(AW351&gt;0,AW351,1E+99),IF(AY351&gt;0,AY351,1E+99),IF(BA351&gt;0,BA351,1E+99)),IF(m=1E+99,"",m))</x:f>
        <x:v>10.031</x:v>
      </x:c>
      <x:c r="BE351" s="16" t="e">
        <x:f>IF(BD351="","",INDEX({"v1.4.20","v1.4.20","v1.4.21","v1.4.21","v1.4.23","v1.4.23","v1.4.26","v1.4.26","v1.4.26.1","v1.4.26.1","v1.4.27","v1.4.27","v1.4.29","v1.4.29","v1.4.30","v1.4.30","v1.4.31","v1.4.31","v1.4.33","v1.4.33","v1.4.35","v1.4.35.2","v1.5","v1.5.1","v1.5.1"},MATCH(BD351,CHOOSE({1,2,3,4,5,6,7,8,9,10,11,12,13,14,15,16,17,18,19,20,21,22,23,24,25},E351,G351,I351,K351,M351,O351,Q351,S351,U351,W351,Y351,AA351,AC351,AE351,AG351,AI351,AK351,AM351,AO351,AQ351,AS351,AU351,AW351,AY351,BA351),0)))</x:f>
      </x:c>
      <x:c r="BF351" s="10" t="n">
        <x:f>IFERROR((AX351-BB351)/BB351,"")</x:f>
        <x:v>0.4944168734491315</x:v>
      </x:c>
      <x:c r="BG351" s="10" t="n">
        <x:f>IFERROR((AY351-BD351)/BD351,"")</x:f>
        <x:v>0.4941680789552386</x:v>
      </x:c>
    </x:row>
    <x:row r="352">
      <x:c r="A352" t="str"/>
      <x:c r="B352" t="str">
        <x:v>Format Banner Report</x:v>
      </x:c>
      <x:c r="C352" t="str">
        <x:v>Report title dates written</x:v>
      </x:c>
      <x:c r="D352" s="8" t="n">
        <x:v>0.653</x:v>
      </x:c>
      <x:c r="E352" s="8" t="n">
        <x:v>12.652</x:v>
      </x:c>
      <x:c r="F352" s="8" t="n">
        <x:v>0.653</x:v>
      </x:c>
      <x:c r="G352" s="8" t="n">
        <x:v>12.652</x:v>
      </x:c>
      <x:c r="H352" s="8" t="n">
        <x:v>0.669</x:v>
      </x:c>
      <x:c r="I352" s="8" t="n">
        <x:v>14.099</x:v>
      </x:c>
      <x:c r="J352" s="8" t="n">
        <x:v>0.669</x:v>
      </x:c>
      <x:c r="K352" s="8" t="n">
        <x:v>14.099</x:v>
      </x:c>
      <x:c r="L352" s="8" t="n">
        <x:v>0.752</x:v>
      </x:c>
      <x:c r="M352" s="8" t="n">
        <x:v>15.203</x:v>
      </x:c>
      <x:c r="N352" s="8" t="n">
        <x:v>0.752</x:v>
      </x:c>
      <x:c r="O352" s="8" t="n">
        <x:v>15.203</x:v>
      </x:c>
      <x:c r="P352" s="8" t="n">
        <x:v>0.495</x:v>
      </x:c>
      <x:c r="Q352" s="8" t="n">
        <x:v>10.526</x:v>
      </x:c>
      <x:c r="R352" s="8" t="n">
        <x:v>0.495</x:v>
      </x:c>
      <x:c r="S352" s="8" t="n">
        <x:v>10.526</x:v>
      </x:c>
      <x:c r="T352" s="8" t="n">
        <x:v>0.58</x:v>
      </x:c>
      <x:c r="U352" s="8" t="n">
        <x:v>12.863</x:v>
      </x:c>
      <x:c r="V352" s="8" t="n">
        <x:v>0.58</x:v>
      </x:c>
      <x:c r="W352" s="8" t="n">
        <x:v>12.863</x:v>
      </x:c>
      <x:c r="X352" s="8" t="n">
        <x:v>9.031</x:v>
      </x:c>
      <x:c r="Y352" s="8" t="n">
        <x:v>25.713</x:v>
      </x:c>
      <x:c r="Z352" s="8" t="n">
        <x:v>9.031</x:v>
      </x:c>
      <x:c r="AA352" s="8" t="n">
        <x:v>25.713</x:v>
      </x:c>
      <x:c r="AB352" s="8" t="n">
        <x:v>0.847</x:v>
      </x:c>
      <x:c r="AC352" s="8" t="n">
        <x:v>17.744</x:v>
      </x:c>
      <x:c r="AD352" s="8" t="n">
        <x:v>0.847</x:v>
      </x:c>
      <x:c r="AE352" s="8" t="n">
        <x:v>17.744</x:v>
      </x:c>
      <x:c r="AF352" s="8" t="n">
        <x:v>0.581</x:v>
      </x:c>
      <x:c r="AG352" s="8" t="n">
        <x:v>12.151</x:v>
      </x:c>
      <x:c r="AH352" s="8" t="n">
        <x:v>0.581</x:v>
      </x:c>
      <x:c r="AI352" s="8" t="n">
        <x:v>12.151</x:v>
      </x:c>
      <x:c r="AJ352" s="8" t="n">
        <x:v>1.048</x:v>
      </x:c>
      <x:c r="AK352" s="8" t="n">
        <x:v>17.411</x:v>
      </x:c>
      <x:c r="AL352" s="8" t="n">
        <x:v>1.048</x:v>
      </x:c>
      <x:c r="AM352" s="8" t="n">
        <x:v>17.411</x:v>
      </x:c>
      <x:c r="AN352" s="8" t="n">
        <x:v>0.944</x:v>
      </x:c>
      <x:c r="AO352" s="8" t="n">
        <x:v>12.64</x:v>
      </x:c>
      <x:c r="AP352" s="8" t="n">
        <x:v>0.944</x:v>
      </x:c>
      <x:c r="AQ352" s="8" t="n">
        <x:v>12.64</x:v>
      </x:c>
      <x:c r="AR352" s="8"/>
      <x:c r="AS352" s="8"/>
      <x:c r="AT352" s="8" t="n">
        <x:v>0.527</x:v>
      </x:c>
      <x:c r="AU352" s="8" t="n">
        <x:v>16.448</x:v>
      </x:c>
      <x:c r="AV352" s="8" t="n">
        <x:v>0.886</x:v>
      </x:c>
      <x:c r="AW352" s="8" t="n">
        <x:v>15.965</x:v>
      </x:c>
      <x:c r="AX352" s="8" t="n">
        <x:v>0.749</x:v>
      </x:c>
      <x:c r="AY352" s="8" t="n">
        <x:v>15.737</x:v>
      </x:c>
      <x:c r="AZ352" s="8" t="n">
        <x:v>0.749</x:v>
      </x:c>
      <x:c r="BA352" s="8" t="n">
        <x:v>15.737</x:v>
      </x:c>
      <x:c r="BB352" s="8" t="n">
        <x:f>LET(m,MIN(IF(D352&gt;0,D352,1E+99),IF(F352&gt;0,F352,1E+99),IF(H352&gt;0,H352,1E+99),IF(J352&gt;0,J352,1E+99),IF(L352&gt;0,L352,1E+99),IF(N352&gt;0,N352,1E+99),IF(P352&gt;0,P352,1E+99),IF(R352&gt;0,R352,1E+99),IF(T352&gt;0,T352,1E+99),IF(V352&gt;0,V352,1E+99),IF(X352&gt;0,X352,1E+99),IF(Z352&gt;0,Z352,1E+99),IF(AB352&gt;0,AB352,1E+99),IF(AD352&gt;0,AD352,1E+99),IF(AF352&gt;0,AF352,1E+99),IF(AH352&gt;0,AH352,1E+99),IF(AJ352&gt;0,AJ352,1E+99),IF(AL352&gt;0,AL352,1E+99),IF(AN352&gt;0,AN352,1E+99),IF(AP352&gt;0,AP352,1E+99),IF(AR352&gt;0,AR352,1E+99),IF(AT352&gt;0,AT352,1E+99),IF(AV352&gt;0,AV352,1E+99),IF(AX352&gt;0,AX352,1E+99),IF(AZ352&gt;0,AZ352,1E+99)),IF(m=1E+99,"",m))</x:f>
        <x:v>0.495</x:v>
      </x:c>
      <x:c r="BC352" s="12" t="e">
        <x:f>IF(BB352="","",INDEX({"v1.4.20","v1.4.20","v1.4.21","v1.4.21","v1.4.23","v1.4.23","v1.4.26","v1.4.26","v1.4.26.1","v1.4.26.1","v1.4.27","v1.4.27","v1.4.29","v1.4.29","v1.4.30","v1.4.30","v1.4.31","v1.4.31","v1.4.33","v1.4.33","v1.4.35","v1.4.35.2","v1.5","v1.5.1","v1.5.1"},MATCH(BB352,CHOOSE({1,2,3,4,5,6,7,8,9,10,11,12,13,14,15,16,17,18,19,20,21,22,23,24,25},D352,F352,H352,J352,L352,N352,P352,R352,T352,V352,X352,Z352,AB352,AD352,AF352,AH352,AJ352,AL352,AN352,AP352,AR352,AT352,AV352,AX352,AZ352),0)))</x:f>
      </x:c>
      <x:c r="BD352" s="14" t="n">
        <x:f>LET(m,MIN(IF(E352&gt;0,E352,1E+99),IF(G352&gt;0,G352,1E+99),IF(I352&gt;0,I352,1E+99),IF(K352&gt;0,K352,1E+99),IF(M352&gt;0,M352,1E+99),IF(O352&gt;0,O352,1E+99),IF(Q352&gt;0,Q352,1E+99),IF(S352&gt;0,S352,1E+99),IF(U352&gt;0,U352,1E+99),IF(W352&gt;0,W352,1E+99),IF(Y352&gt;0,Y352,1E+99),IF(AA352&gt;0,AA352,1E+99),IF(AC352&gt;0,AC352,1E+99),IF(AE352&gt;0,AE352,1E+99),IF(AG352&gt;0,AG352,1E+99),IF(AI352&gt;0,AI352,1E+99),IF(AK352&gt;0,AK352,1E+99),IF(AM352&gt;0,AM352,1E+99),IF(AO352&gt;0,AO352,1E+99),IF(AQ352&gt;0,AQ352,1E+99),IF(AS352&gt;0,AS352,1E+99),IF(AU352&gt;0,AU352,1E+99),IF(AW352&gt;0,AW352,1E+99),IF(AY352&gt;0,AY352,1E+99),IF(BA352&gt;0,BA352,1E+99)),IF(m=1E+99,"",m))</x:f>
        <x:v>10.526</x:v>
      </x:c>
      <x:c r="BE352" s="16" t="e">
        <x:f>IF(BD352="","",INDEX({"v1.4.20","v1.4.20","v1.4.21","v1.4.21","v1.4.23","v1.4.23","v1.4.26","v1.4.26","v1.4.26.1","v1.4.26.1","v1.4.27","v1.4.27","v1.4.29","v1.4.29","v1.4.30","v1.4.30","v1.4.31","v1.4.31","v1.4.33","v1.4.33","v1.4.35","v1.4.35.2","v1.5","v1.5.1","v1.5.1"},MATCH(BD352,CHOOSE({1,2,3,4,5,6,7,8,9,10,11,12,13,14,15,16,17,18,19,20,21,22,23,24,25},E352,G352,I352,K352,M352,O352,Q352,S352,U352,W352,Y352,AA352,AC352,AE352,AG352,AI352,AK352,AM352,AO352,AQ352,AS352,AU352,AW352,AY352,BA352),0)))</x:f>
      </x:c>
      <x:c r="BF352" s="10" t="n">
        <x:f>IFERROR((AX352-BB352)/BB352,"")</x:f>
        <x:v>0.5131313131313131</x:v>
      </x:c>
      <x:c r="BG352" s="10" t="n">
        <x:f>IFERROR((AY352-BD352)/BD352,"")</x:f>
        <x:v>0.4950598517955539</x:v>
      </x:c>
    </x:row>
    <x:row r="353">
      <x:c r="A353" t="str"/>
      <x:c r="B353" t="str">
        <x:v>Format Banner Report</x:v>
      </x:c>
      <x:c r="C353" t="str">
        <x:v>Raw data bulk-copied to duplicated template</x:v>
      </x:c>
      <x:c r="D353" s="8" t="n">
        <x:v>1.003</x:v>
      </x:c>
      <x:c r="E353" s="8" t="n">
        <x:v>13.655</x:v>
      </x:c>
      <x:c r="F353" s="8" t="n">
        <x:v>1.003</x:v>
      </x:c>
      <x:c r="G353" s="8" t="n">
        <x:v>13.655</x:v>
      </x:c>
      <x:c r="H353" s="8" t="n">
        <x:v>2.371</x:v>
      </x:c>
      <x:c r="I353" s="8" t="n">
        <x:v>16.47</x:v>
      </x:c>
      <x:c r="J353" s="8" t="n">
        <x:v>2.371</x:v>
      </x:c>
      <x:c r="K353" s="8" t="n">
        <x:v>16.47</x:v>
      </x:c>
      <x:c r="L353" s="8" t="n">
        <x:v>1.69</x:v>
      </x:c>
      <x:c r="M353" s="8" t="n">
        <x:v>16.893</x:v>
      </x:c>
      <x:c r="N353" s="8" t="n">
        <x:v>1.69</x:v>
      </x:c>
      <x:c r="O353" s="8" t="n">
        <x:v>16.893</x:v>
      </x:c>
      <x:c r="P353" s="8" t="n">
        <x:v>1.445</x:v>
      </x:c>
      <x:c r="Q353" s="8" t="n">
        <x:v>11.971</x:v>
      </x:c>
      <x:c r="R353" s="8" t="n">
        <x:v>1.445</x:v>
      </x:c>
      <x:c r="S353" s="8" t="n">
        <x:v>11.971</x:v>
      </x:c>
      <x:c r="T353" s="8" t="n">
        <x:v>1.182</x:v>
      </x:c>
      <x:c r="U353" s="8" t="n">
        <x:v>14.045</x:v>
      </x:c>
      <x:c r="V353" s="8" t="n">
        <x:v>1.182</x:v>
      </x:c>
      <x:c r="W353" s="8" t="n">
        <x:v>14.045</x:v>
      </x:c>
      <x:c r="X353" s="8" t="n">
        <x:v>1.383</x:v>
      </x:c>
      <x:c r="Y353" s="8" t="n">
        <x:v>27.096</x:v>
      </x:c>
      <x:c r="Z353" s="8" t="n">
        <x:v>1.383</x:v>
      </x:c>
      <x:c r="AA353" s="8" t="n">
        <x:v>27.096</x:v>
      </x:c>
      <x:c r="AB353" s="8" t="n">
        <x:v>1.788</x:v>
      </x:c>
      <x:c r="AC353" s="8" t="n">
        <x:v>19.532</x:v>
      </x:c>
      <x:c r="AD353" s="8" t="n">
        <x:v>1.788</x:v>
      </x:c>
      <x:c r="AE353" s="8" t="n">
        <x:v>19.532</x:v>
      </x:c>
      <x:c r="AF353" s="8" t="n">
        <x:v>1.187</x:v>
      </x:c>
      <x:c r="AG353" s="8" t="n">
        <x:v>13.338</x:v>
      </x:c>
      <x:c r="AH353" s="8" t="n">
        <x:v>1.187</x:v>
      </x:c>
      <x:c r="AI353" s="8" t="n">
        <x:v>13.338</x:v>
      </x:c>
      <x:c r="AJ353" s="8" t="n">
        <x:v>4.491</x:v>
      </x:c>
      <x:c r="AK353" s="8" t="n">
        <x:v>21.902</x:v>
      </x:c>
      <x:c r="AL353" s="8" t="n">
        <x:v>4.491</x:v>
      </x:c>
      <x:c r="AM353" s="8" t="n">
        <x:v>21.902</x:v>
      </x:c>
      <x:c r="AN353" s="8" t="n">
        <x:v>0.952</x:v>
      </x:c>
      <x:c r="AO353" s="8" t="n">
        <x:v>13.592</x:v>
      </x:c>
      <x:c r="AP353" s="8" t="n">
        <x:v>0.952</x:v>
      </x:c>
      <x:c r="AQ353" s="8" t="n">
        <x:v>13.592</x:v>
      </x:c>
      <x:c r="AR353" s="8"/>
      <x:c r="AS353" s="8"/>
      <x:c r="AT353" s="8" t="n">
        <x:v>1.416</x:v>
      </x:c>
      <x:c r="AU353" s="8" t="n">
        <x:v>17.864</x:v>
      </x:c>
      <x:c r="AV353" s="8" t="n">
        <x:v>1.156</x:v>
      </x:c>
      <x:c r="AW353" s="8" t="n">
        <x:v>17.121</x:v>
      </x:c>
      <x:c r="AX353" s="8" t="n">
        <x:v>1.118</x:v>
      </x:c>
      <x:c r="AY353" s="8" t="n">
        <x:v>16.855</x:v>
      </x:c>
      <x:c r="AZ353" s="8" t="n">
        <x:v>1.118</x:v>
      </x:c>
      <x:c r="BA353" s="8" t="n">
        <x:v>16.855</x:v>
      </x:c>
      <x:c r="BB353" s="8" t="n">
        <x:f>LET(m,MIN(IF(D353&gt;0,D353,1E+99),IF(F353&gt;0,F353,1E+99),IF(H353&gt;0,H353,1E+99),IF(J353&gt;0,J353,1E+99),IF(L353&gt;0,L353,1E+99),IF(N353&gt;0,N353,1E+99),IF(P353&gt;0,P353,1E+99),IF(R353&gt;0,R353,1E+99),IF(T353&gt;0,T353,1E+99),IF(V353&gt;0,V353,1E+99),IF(X353&gt;0,X353,1E+99),IF(Z353&gt;0,Z353,1E+99),IF(AB353&gt;0,AB353,1E+99),IF(AD353&gt;0,AD353,1E+99),IF(AF353&gt;0,AF353,1E+99),IF(AH353&gt;0,AH353,1E+99),IF(AJ353&gt;0,AJ353,1E+99),IF(AL353&gt;0,AL353,1E+99),IF(AN353&gt;0,AN353,1E+99),IF(AP353&gt;0,AP353,1E+99),IF(AR353&gt;0,AR353,1E+99),IF(AT353&gt;0,AT353,1E+99),IF(AV353&gt;0,AV353,1E+99),IF(AX353&gt;0,AX353,1E+99),IF(AZ353&gt;0,AZ353,1E+99)),IF(m=1E+99,"",m))</x:f>
        <x:v>0.952</x:v>
      </x:c>
      <x:c r="BC353" s="12" t="e">
        <x:f>IF(BB353="","",INDEX({"v1.4.20","v1.4.20","v1.4.21","v1.4.21","v1.4.23","v1.4.23","v1.4.26","v1.4.26","v1.4.26.1","v1.4.26.1","v1.4.27","v1.4.27","v1.4.29","v1.4.29","v1.4.30","v1.4.30","v1.4.31","v1.4.31","v1.4.33","v1.4.33","v1.4.35","v1.4.35.2","v1.5","v1.5.1","v1.5.1"},MATCH(BB353,CHOOSE({1,2,3,4,5,6,7,8,9,10,11,12,13,14,15,16,17,18,19,20,21,22,23,24,25},D353,F353,H353,J353,L353,N353,P353,R353,T353,V353,X353,Z353,AB353,AD353,AF353,AH353,AJ353,AL353,AN353,AP353,AR353,AT353,AV353,AX353,AZ353),0)))</x:f>
      </x:c>
      <x:c r="BD353" s="14" t="n">
        <x:f>LET(m,MIN(IF(E353&gt;0,E353,1E+99),IF(G353&gt;0,G353,1E+99),IF(I353&gt;0,I353,1E+99),IF(K353&gt;0,K353,1E+99),IF(M353&gt;0,M353,1E+99),IF(O353&gt;0,O353,1E+99),IF(Q353&gt;0,Q353,1E+99),IF(S353&gt;0,S353,1E+99),IF(U353&gt;0,U353,1E+99),IF(W353&gt;0,W353,1E+99),IF(Y353&gt;0,Y353,1E+99),IF(AA353&gt;0,AA353,1E+99),IF(AC353&gt;0,AC353,1E+99),IF(AE353&gt;0,AE353,1E+99),IF(AG353&gt;0,AG353,1E+99),IF(AI353&gt;0,AI353,1E+99),IF(AK353&gt;0,AK353,1E+99),IF(AM353&gt;0,AM353,1E+99),IF(AO353&gt;0,AO353,1E+99),IF(AQ353&gt;0,AQ353,1E+99),IF(AS353&gt;0,AS353,1E+99),IF(AU353&gt;0,AU353,1E+99),IF(AW353&gt;0,AW353,1E+99),IF(AY353&gt;0,AY353,1E+99),IF(BA353&gt;0,BA353,1E+99)),IF(m=1E+99,"",m))</x:f>
        <x:v>11.971</x:v>
      </x:c>
      <x:c r="BE353" s="16" t="e">
        <x:f>IF(BD353="","",INDEX({"v1.4.20","v1.4.20","v1.4.21","v1.4.21","v1.4.23","v1.4.23","v1.4.26","v1.4.26","v1.4.26.1","v1.4.26.1","v1.4.27","v1.4.27","v1.4.29","v1.4.29","v1.4.30","v1.4.30","v1.4.31","v1.4.31","v1.4.33","v1.4.33","v1.4.35","v1.4.35.2","v1.5","v1.5.1","v1.5.1"},MATCH(BD353,CHOOSE({1,2,3,4,5,6,7,8,9,10,11,12,13,14,15,16,17,18,19,20,21,22,23,24,25},E353,G353,I353,K353,M353,O353,Q353,S353,U353,W353,Y353,AA353,AC353,AE353,AG353,AI353,AK353,AM353,AO353,AQ353,AS353,AU353,AW353,AY353,BA353),0)))</x:f>
      </x:c>
      <x:c r="BF353" s="10" t="n">
        <x:f>IFERROR((AX353-BB353)/BB353,"")</x:f>
        <x:v>0.17436974789915982</x:v>
      </x:c>
      <x:c r="BG353" s="10" t="n">
        <x:f>IFERROR((AY353-BD353)/BD353,"")</x:f>
        <x:v>0.4079859660847047</x:v>
      </x:c>
    </x:row>
    <x:row r="354">
      <x:c r="A354" t="str"/>
      <x:c r="B354" t="str">
        <x:v>Format Banner Report</x:v>
      </x:c>
      <x:c r="C354" t="str">
        <x:v>Production output validation skipped</x:v>
      </x:c>
      <x:c r="D354" s="8" t="n">
        <x:v>0</x:v>
      </x:c>
      <x:c r="E354" s="8" t="n">
        <x:v>13.655</x:v>
      </x:c>
      <x:c r="F354" s="8" t="n">
        <x:v>0</x:v>
      </x:c>
      <x:c r="G354" s="8" t="n">
        <x:v>13.655</x:v>
      </x:c>
      <x:c r="H354" s="8" t="n">
        <x:v>0</x:v>
      </x:c>
      <x:c r="I354" s="8" t="n">
        <x:v>16.47</x:v>
      </x:c>
      <x:c r="J354" s="8" t="n">
        <x:v>0</x:v>
      </x:c>
      <x:c r="K354" s="8" t="n">
        <x:v>16.47</x:v>
      </x:c>
      <x:c r="L354" s="8" t="n">
        <x:v>0</x:v>
      </x:c>
      <x:c r="M354" s="8" t="n">
        <x:v>16.893</x:v>
      </x:c>
      <x:c r="N354" s="8" t="n">
        <x:v>0</x:v>
      </x:c>
      <x:c r="O354" s="8" t="n">
        <x:v>16.893</x:v>
      </x:c>
      <x:c r="P354" s="8" t="n">
        <x:v>0</x:v>
      </x:c>
      <x:c r="Q354" s="8" t="n">
        <x:v>11.971</x:v>
      </x:c>
      <x:c r="R354" s="8" t="n">
        <x:v>0</x:v>
      </x:c>
      <x:c r="S354" s="8" t="n">
        <x:v>11.971</x:v>
      </x:c>
      <x:c r="T354" s="8" t="n">
        <x:v>0</x:v>
      </x:c>
      <x:c r="U354" s="8" t="n">
        <x:v>14.045</x:v>
      </x:c>
      <x:c r="V354" s="8" t="n">
        <x:v>0</x:v>
      </x:c>
      <x:c r="W354" s="8" t="n">
        <x:v>14.045</x:v>
      </x:c>
      <x:c r="X354" s="8" t="n">
        <x:v>0</x:v>
      </x:c>
      <x:c r="Y354" s="8" t="n">
        <x:v>27.096</x:v>
      </x:c>
      <x:c r="Z354" s="8" t="n">
        <x:v>0</x:v>
      </x:c>
      <x:c r="AA354" s="8" t="n">
        <x:v>27.096</x:v>
      </x:c>
      <x:c r="AB354" s="8" t="n">
        <x:v>0</x:v>
      </x:c>
      <x:c r="AC354" s="8" t="n">
        <x:v>19.532</x:v>
      </x:c>
      <x:c r="AD354" s="8" t="n">
        <x:v>0</x:v>
      </x:c>
      <x:c r="AE354" s="8" t="n">
        <x:v>19.532</x:v>
      </x:c>
      <x:c r="AF354" s="8" t="n">
        <x:v>0</x:v>
      </x:c>
      <x:c r="AG354" s="8" t="n">
        <x:v>13.338</x:v>
      </x:c>
      <x:c r="AH354" s="8" t="n">
        <x:v>0</x:v>
      </x:c>
      <x:c r="AI354" s="8" t="n">
        <x:v>13.338</x:v>
      </x:c>
      <x:c r="AJ354" s="8" t="n">
        <x:v>0</x:v>
      </x:c>
      <x:c r="AK354" s="8" t="n">
        <x:v>21.902</x:v>
      </x:c>
      <x:c r="AL354" s="8" t="n">
        <x:v>0</x:v>
      </x:c>
      <x:c r="AM354" s="8" t="n">
        <x:v>21.902</x:v>
      </x:c>
      <x:c r="AN354" s="8" t="n">
        <x:v>0.001</x:v>
      </x:c>
      <x:c r="AO354" s="8" t="n">
        <x:v>13.593</x:v>
      </x:c>
      <x:c r="AP354" s="8" t="n">
        <x:v>0.001</x:v>
      </x:c>
      <x:c r="AQ354" s="8" t="n">
        <x:v>13.593</x:v>
      </x:c>
      <x:c r="AR354" s="8"/>
      <x:c r="AS354" s="8"/>
      <x:c r="AT354" s="8" t="n">
        <x:v>0</x:v>
      </x:c>
      <x:c r="AU354" s="8" t="n">
        <x:v>17.864</x:v>
      </x:c>
      <x:c r="AV354" s="8" t="n">
        <x:v>0</x:v>
      </x:c>
      <x:c r="AW354" s="8" t="n">
        <x:v>17.121</x:v>
      </x:c>
      <x:c r="AX354" s="8" t="n">
        <x:v>0</x:v>
      </x:c>
      <x:c r="AY354" s="8" t="n">
        <x:v>16.855</x:v>
      </x:c>
      <x:c r="AZ354" s="8" t="n">
        <x:v>0</x:v>
      </x:c>
      <x:c r="BA354" s="8" t="n">
        <x:v>16.855</x:v>
      </x:c>
      <x:c r="BB354" s="8" t="n">
        <x:f>LET(m,MIN(IF(D354&gt;0,D354,1E+99),IF(F354&gt;0,F354,1E+99),IF(H354&gt;0,H354,1E+99),IF(J354&gt;0,J354,1E+99),IF(L354&gt;0,L354,1E+99),IF(N354&gt;0,N354,1E+99),IF(P354&gt;0,P354,1E+99),IF(R354&gt;0,R354,1E+99),IF(T354&gt;0,T354,1E+99),IF(V354&gt;0,V354,1E+99),IF(X354&gt;0,X354,1E+99),IF(Z354&gt;0,Z354,1E+99),IF(AB354&gt;0,AB354,1E+99),IF(AD354&gt;0,AD354,1E+99),IF(AF354&gt;0,AF354,1E+99),IF(AH354&gt;0,AH354,1E+99),IF(AJ354&gt;0,AJ354,1E+99),IF(AL354&gt;0,AL354,1E+99),IF(AN354&gt;0,AN354,1E+99),IF(AP354&gt;0,AP354,1E+99),IF(AR354&gt;0,AR354,1E+99),IF(AT354&gt;0,AT354,1E+99),IF(AV354&gt;0,AV354,1E+99),IF(AX354&gt;0,AX354,1E+99),IF(AZ354&gt;0,AZ354,1E+99)),IF(m=1E+99,"",m))</x:f>
        <x:v>0.001</x:v>
      </x:c>
      <x:c r="BC354" s="12" t="e">
        <x:f>IF(BB354="","",INDEX({"v1.4.20","v1.4.20","v1.4.21","v1.4.21","v1.4.23","v1.4.23","v1.4.26","v1.4.26","v1.4.26.1","v1.4.26.1","v1.4.27","v1.4.27","v1.4.29","v1.4.29","v1.4.30","v1.4.30","v1.4.31","v1.4.31","v1.4.33","v1.4.33","v1.4.35","v1.4.35.2","v1.5","v1.5.1","v1.5.1"},MATCH(BB354,CHOOSE({1,2,3,4,5,6,7,8,9,10,11,12,13,14,15,16,17,18,19,20,21,22,23,24,25},D354,F354,H354,J354,L354,N354,P354,R354,T354,V354,X354,Z354,AB354,AD354,AF354,AH354,AJ354,AL354,AN354,AP354,AR354,AT354,AV354,AX354,AZ354),0)))</x:f>
      </x:c>
      <x:c r="BD354" s="14" t="n">
        <x:f>LET(m,MIN(IF(E354&gt;0,E354,1E+99),IF(G354&gt;0,G354,1E+99),IF(I354&gt;0,I354,1E+99),IF(K354&gt;0,K354,1E+99),IF(M354&gt;0,M354,1E+99),IF(O354&gt;0,O354,1E+99),IF(Q354&gt;0,Q354,1E+99),IF(S354&gt;0,S354,1E+99),IF(U354&gt;0,U354,1E+99),IF(W354&gt;0,W354,1E+99),IF(Y354&gt;0,Y354,1E+99),IF(AA354&gt;0,AA354,1E+99),IF(AC354&gt;0,AC354,1E+99),IF(AE354&gt;0,AE354,1E+99),IF(AG354&gt;0,AG354,1E+99),IF(AI354&gt;0,AI354,1E+99),IF(AK354&gt;0,AK354,1E+99),IF(AM354&gt;0,AM354,1E+99),IF(AO354&gt;0,AO354,1E+99),IF(AQ354&gt;0,AQ354,1E+99),IF(AS354&gt;0,AS354,1E+99),IF(AU354&gt;0,AU354,1E+99),IF(AW354&gt;0,AW354,1E+99),IF(AY354&gt;0,AY354,1E+99),IF(BA354&gt;0,BA354,1E+99)),IF(m=1E+99,"",m))</x:f>
        <x:v>11.971</x:v>
      </x:c>
      <x:c r="BE354" s="16" t="e">
        <x:f>IF(BD354="","",INDEX({"v1.4.20","v1.4.20","v1.4.21","v1.4.21","v1.4.23","v1.4.23","v1.4.26","v1.4.26","v1.4.26.1","v1.4.26.1","v1.4.27","v1.4.27","v1.4.29","v1.4.29","v1.4.30","v1.4.30","v1.4.31","v1.4.31","v1.4.33","v1.4.33","v1.4.35","v1.4.35.2","v1.5","v1.5.1","v1.5.1"},MATCH(BD354,CHOOSE({1,2,3,4,5,6,7,8,9,10,11,12,13,14,15,16,17,18,19,20,21,22,23,24,25},E354,G354,I354,K354,M354,O354,Q354,S354,U354,W354,Y354,AA354,AC354,AE354,AG354,AI354,AK354,AM354,AO354,AQ354,AS354,AU354,AW354,AY354,BA354),0)))</x:f>
      </x:c>
      <x:c r="BF354" s="10" t="n">
        <x:f>IFERROR((AX354-BB354)/BB354,"")</x:f>
        <x:v>-1</x:v>
      </x:c>
      <x:c r="BG354" s="10" t="n">
        <x:f>IFERROR((AY354-BD354)/BD354,"")</x:f>
        <x:v>0.4079859660847047</x:v>
      </x:c>
    </x:row>
    <x:row r="355">
      <x:c r="A355" t="str"/>
      <x:c r="B355" t="str">
        <x:v>Format Banner Report</x:v>
      </x:c>
      <x:c r="C355" t="str">
        <x:v>Local raw sheet deleted after archive</x:v>
      </x:c>
      <x:c r="D355" s="8" t="n">
        <x:v>0.116</x:v>
      </x:c>
      <x:c r="E355" s="8" t="n">
        <x:v>19.876</x:v>
      </x:c>
      <x:c r="F355" s="8" t="n">
        <x:v>0.116</x:v>
      </x:c>
      <x:c r="G355" s="8" t="n">
        <x:v>19.876</x:v>
      </x:c>
      <x:c r="H355" s="8" t="n">
        <x:v>0.11</x:v>
      </x:c>
      <x:c r="I355" s="8" t="n">
        <x:v>20.785</x:v>
      </x:c>
      <x:c r="J355" s="8" t="n">
        <x:v>0.11</x:v>
      </x:c>
      <x:c r="K355" s="8" t="n">
        <x:v>20.785</x:v>
      </x:c>
      <x:c r="L355" s="8" t="n">
        <x:v>0.285</x:v>
      </x:c>
      <x:c r="M355" s="8" t="n">
        <x:v>23.4</x:v>
      </x:c>
      <x:c r="N355" s="8" t="n">
        <x:v>0.285</x:v>
      </x:c>
      <x:c r="O355" s="8" t="n">
        <x:v>23.4</x:v>
      </x:c>
      <x:c r="P355" s="8" t="n">
        <x:v>0.105</x:v>
      </x:c>
      <x:c r="Q355" s="8" t="n">
        <x:v>15.974</x:v>
      </x:c>
      <x:c r="R355" s="8" t="n">
        <x:v>0.105</x:v>
      </x:c>
      <x:c r="S355" s="8" t="n">
        <x:v>15.974</x:v>
      </x:c>
      <x:c r="T355" s="8" t="n">
        <x:v>0.137</x:v>
      </x:c>
      <x:c r="U355" s="8" t="n">
        <x:v>19.092</x:v>
      </x:c>
      <x:c r="V355" s="8" t="n">
        <x:v>0.137</x:v>
      </x:c>
      <x:c r="W355" s="8" t="n">
        <x:v>19.092</x:v>
      </x:c>
      <x:c r="X355" s="8" t="n">
        <x:v>0.092</x:v>
      </x:c>
      <x:c r="Y355" s="8" t="n">
        <x:v>32.322</x:v>
      </x:c>
      <x:c r="Z355" s="8" t="n">
        <x:v>0.092</x:v>
      </x:c>
      <x:c r="AA355" s="8" t="n">
        <x:v>32.322</x:v>
      </x:c>
      <x:c r="AB355" s="8" t="n">
        <x:v>0.163</x:v>
      </x:c>
      <x:c r="AC355" s="8" t="n">
        <x:v>26.532</x:v>
      </x:c>
      <x:c r="AD355" s="8" t="n">
        <x:v>0.163</x:v>
      </x:c>
      <x:c r="AE355" s="8" t="n">
        <x:v>26.532</x:v>
      </x:c>
      <x:c r="AF355" s="8" t="n">
        <x:v>0.147</x:v>
      </x:c>
      <x:c r="AG355" s="8" t="n">
        <x:v>18.273</x:v>
      </x:c>
      <x:c r="AH355" s="8" t="n">
        <x:v>0.147</x:v>
      </x:c>
      <x:c r="AI355" s="8" t="n">
        <x:v>18.273</x:v>
      </x:c>
      <x:c r="AJ355" s="8" t="n">
        <x:v>0.144</x:v>
      </x:c>
      <x:c r="AK355" s="8" t="n">
        <x:v>27.881</x:v>
      </x:c>
      <x:c r="AL355" s="8" t="n">
        <x:v>0.144</x:v>
      </x:c>
      <x:c r="AM355" s="8" t="n">
        <x:v>27.881</x:v>
      </x:c>
      <x:c r="AN355" s="8" t="n">
        <x:v>0.127</x:v>
      </x:c>
      <x:c r="AO355" s="8" t="n">
        <x:v>17.949</x:v>
      </x:c>
      <x:c r="AP355" s="8" t="n">
        <x:v>0.127</x:v>
      </x:c>
      <x:c r="AQ355" s="8" t="n">
        <x:v>17.949</x:v>
      </x:c>
      <x:c r="AR355" s="8"/>
      <x:c r="AS355" s="8"/>
      <x:c r="AT355" s="8" t="n">
        <x:v>0.122</x:v>
      </x:c>
      <x:c r="AU355" s="8" t="n">
        <x:v>22.465</x:v>
      </x:c>
      <x:c r="AV355" s="8" t="n">
        <x:v>0.313</x:v>
      </x:c>
      <x:c r="AW355" s="8" t="n">
        <x:v>22.571</x:v>
      </x:c>
      <x:c r="AX355" s="8" t="n">
        <x:v>0.102</x:v>
      </x:c>
      <x:c r="AY355" s="8" t="n">
        <x:v>21.58</x:v>
      </x:c>
      <x:c r="AZ355" s="8" t="n">
        <x:v>0.102</x:v>
      </x:c>
      <x:c r="BA355" s="8" t="n">
        <x:v>21.58</x:v>
      </x:c>
      <x:c r="BB355" s="8" t="n">
        <x:f>LET(m,MIN(IF(D355&gt;0,D355,1E+99),IF(F355&gt;0,F355,1E+99),IF(H355&gt;0,H355,1E+99),IF(J355&gt;0,J355,1E+99),IF(L355&gt;0,L355,1E+99),IF(N355&gt;0,N355,1E+99),IF(P355&gt;0,P355,1E+99),IF(R355&gt;0,R355,1E+99),IF(T355&gt;0,T355,1E+99),IF(V355&gt;0,V355,1E+99),IF(X355&gt;0,X355,1E+99),IF(Z355&gt;0,Z355,1E+99),IF(AB355&gt;0,AB355,1E+99),IF(AD355&gt;0,AD355,1E+99),IF(AF355&gt;0,AF355,1E+99),IF(AH355&gt;0,AH355,1E+99),IF(AJ355&gt;0,AJ355,1E+99),IF(AL355&gt;0,AL355,1E+99),IF(AN355&gt;0,AN355,1E+99),IF(AP355&gt;0,AP355,1E+99),IF(AR355&gt;0,AR355,1E+99),IF(AT355&gt;0,AT355,1E+99),IF(AV355&gt;0,AV355,1E+99),IF(AX355&gt;0,AX355,1E+99),IF(AZ355&gt;0,AZ355,1E+99)),IF(m=1E+99,"",m))</x:f>
        <x:v>0.092</x:v>
      </x:c>
      <x:c r="BC355" s="12" t="e">
        <x:f>IF(BB355="","",INDEX({"v1.4.20","v1.4.20","v1.4.21","v1.4.21","v1.4.23","v1.4.23","v1.4.26","v1.4.26","v1.4.26.1","v1.4.26.1","v1.4.27","v1.4.27","v1.4.29","v1.4.29","v1.4.30","v1.4.30","v1.4.31","v1.4.31","v1.4.33","v1.4.33","v1.4.35","v1.4.35.2","v1.5","v1.5.1","v1.5.1"},MATCH(BB355,CHOOSE({1,2,3,4,5,6,7,8,9,10,11,12,13,14,15,16,17,18,19,20,21,22,23,24,25},D355,F355,H355,J355,L355,N355,P355,R355,T355,V355,X355,Z355,AB355,AD355,AF355,AH355,AJ355,AL355,AN355,AP355,AR355,AT355,AV355,AX355,AZ355),0)))</x:f>
      </x:c>
      <x:c r="BD355" s="14" t="n">
        <x:f>LET(m,MIN(IF(E355&gt;0,E355,1E+99),IF(G355&gt;0,G355,1E+99),IF(I355&gt;0,I355,1E+99),IF(K355&gt;0,K355,1E+99),IF(M355&gt;0,M355,1E+99),IF(O355&gt;0,O355,1E+99),IF(Q355&gt;0,Q355,1E+99),IF(S355&gt;0,S355,1E+99),IF(U355&gt;0,U355,1E+99),IF(W355&gt;0,W355,1E+99),IF(Y355&gt;0,Y355,1E+99),IF(AA355&gt;0,AA355,1E+99),IF(AC355&gt;0,AC355,1E+99),IF(AE355&gt;0,AE355,1E+99),IF(AG355&gt;0,AG355,1E+99),IF(AI355&gt;0,AI355,1E+99),IF(AK355&gt;0,AK355,1E+99),IF(AM355&gt;0,AM355,1E+99),IF(AO355&gt;0,AO355,1E+99),IF(AQ355&gt;0,AQ355,1E+99),IF(AS355&gt;0,AS355,1E+99),IF(AU355&gt;0,AU355,1E+99),IF(AW355&gt;0,AW355,1E+99),IF(AY355&gt;0,AY355,1E+99),IF(BA355&gt;0,BA355,1E+99)),IF(m=1E+99,"",m))</x:f>
        <x:v>15.974</x:v>
      </x:c>
      <x:c r="BE355" s="16" t="e">
        <x:f>IF(BD355="","",INDEX({"v1.4.20","v1.4.20","v1.4.21","v1.4.21","v1.4.23","v1.4.23","v1.4.26","v1.4.26","v1.4.26.1","v1.4.26.1","v1.4.27","v1.4.27","v1.4.29","v1.4.29","v1.4.30","v1.4.30","v1.4.31","v1.4.31","v1.4.33","v1.4.33","v1.4.35","v1.4.35.2","v1.5","v1.5.1","v1.5.1"},MATCH(BD355,CHOOSE({1,2,3,4,5,6,7,8,9,10,11,12,13,14,15,16,17,18,19,20,21,22,23,24,25},E355,G355,I355,K355,M355,O355,Q355,S355,U355,W355,Y355,AA355,AC355,AE355,AG355,AI355,AK355,AM355,AO355,AQ355,AS355,AU355,AW355,AY355,BA355),0)))</x:f>
      </x:c>
      <x:c r="BF355" s="10" t="n">
        <x:f>IFERROR((AX355-BB355)/BB355,"")</x:f>
        <x:v>0.10869565217391298</x:v>
      </x:c>
      <x:c r="BG355" s="10" t="n">
        <x:f>IFERROR((AY355-BD355)/BD355,"")</x:f>
        <x:v>0.35094528608989595</x:v>
      </x:c>
    </x:row>
    <x:row r="356">
      <x:c r="A356" t="str"/>
      <x:c r="B356" t="str">
        <x:v>Format Banner Report</x:v>
      </x:c>
      <x:c r="C356" t="str">
        <x:v>Banner formatter complete</x:v>
      </x:c>
      <x:c r="D356" s="8" t="n">
        <x:v>0</x:v>
      </x:c>
      <x:c r="E356" s="8" t="n">
        <x:v>19.876</x:v>
      </x:c>
      <x:c r="F356" s="8" t="n">
        <x:v>0</x:v>
      </x:c>
      <x:c r="G356" s="8" t="n">
        <x:v>19.876</x:v>
      </x:c>
      <x:c r="H356" s="8" t="n">
        <x:v>0</x:v>
      </x:c>
      <x:c r="I356" s="8" t="n">
        <x:v>20.785</x:v>
      </x:c>
      <x:c r="J356" s="8" t="n">
        <x:v>0</x:v>
      </x:c>
      <x:c r="K356" s="8" t="n">
        <x:v>20.785</x:v>
      </x:c>
      <x:c r="L356" s="8" t="n">
        <x:v>0</x:v>
      </x:c>
      <x:c r="M356" s="8" t="n">
        <x:v>23.4</x:v>
      </x:c>
      <x:c r="N356" s="8" t="n">
        <x:v>0</x:v>
      </x:c>
      <x:c r="O356" s="8" t="n">
        <x:v>23.4</x:v>
      </x:c>
      <x:c r="P356" s="8" t="n">
        <x:v>0.001</x:v>
      </x:c>
      <x:c r="Q356" s="8" t="n">
        <x:v>15.975</x:v>
      </x:c>
      <x:c r="R356" s="8" t="n">
        <x:v>0.001</x:v>
      </x:c>
      <x:c r="S356" s="8" t="n">
        <x:v>15.975</x:v>
      </x:c>
      <x:c r="T356" s="8" t="n">
        <x:v>0</x:v>
      </x:c>
      <x:c r="U356" s="8" t="n">
        <x:v>19.092</x:v>
      </x:c>
      <x:c r="V356" s="8" t="n">
        <x:v>0</x:v>
      </x:c>
      <x:c r="W356" s="8" t="n">
        <x:v>19.092</x:v>
      </x:c>
      <x:c r="X356" s="8" t="n">
        <x:v>0.001</x:v>
      </x:c>
      <x:c r="Y356" s="8" t="n">
        <x:v>32.323</x:v>
      </x:c>
      <x:c r="Z356" s="8" t="n">
        <x:v>0.001</x:v>
      </x:c>
      <x:c r="AA356" s="8" t="n">
        <x:v>32.323</x:v>
      </x:c>
      <x:c r="AB356" s="8" t="n">
        <x:v>0</x:v>
      </x:c>
      <x:c r="AC356" s="8" t="n">
        <x:v>26.532</x:v>
      </x:c>
      <x:c r="AD356" s="8" t="n">
        <x:v>0</x:v>
      </x:c>
      <x:c r="AE356" s="8" t="n">
        <x:v>26.532</x:v>
      </x:c>
      <x:c r="AF356" s="8" t="n">
        <x:v>0</x:v>
      </x:c>
      <x:c r="AG356" s="8" t="n">
        <x:v>18.273</x:v>
      </x:c>
      <x:c r="AH356" s="8" t="n">
        <x:v>0</x:v>
      </x:c>
      <x:c r="AI356" s="8" t="n">
        <x:v>18.273</x:v>
      </x:c>
      <x:c r="AJ356" s="8" t="n">
        <x:v>0</x:v>
      </x:c>
      <x:c r="AK356" s="8" t="n">
        <x:v>27.881</x:v>
      </x:c>
      <x:c r="AL356" s="8" t="n">
        <x:v>0</x:v>
      </x:c>
      <x:c r="AM356" s="8" t="n">
        <x:v>27.881</x:v>
      </x:c>
      <x:c r="AN356" s="8" t="n">
        <x:v>0</x:v>
      </x:c>
      <x:c r="AO356" s="8" t="n">
        <x:v>17.949</x:v>
      </x:c>
      <x:c r="AP356" s="8" t="n">
        <x:v>0</x:v>
      </x:c>
      <x:c r="AQ356" s="8" t="n">
        <x:v>17.949</x:v>
      </x:c>
      <x:c r="AR356" s="8"/>
      <x:c r="AS356" s="8"/>
      <x:c r="AT356" s="8" t="n">
        <x:v>0</x:v>
      </x:c>
      <x:c r="AU356" s="8" t="n">
        <x:v>22.465</x:v>
      </x:c>
      <x:c r="AV356" s="8" t="n">
        <x:v>0</x:v>
      </x:c>
      <x:c r="AW356" s="8" t="n">
        <x:v>22.571</x:v>
      </x:c>
      <x:c r="AX356" s="8" t="n">
        <x:v>0.001</x:v>
      </x:c>
      <x:c r="AY356" s="8" t="n">
        <x:v>21.581</x:v>
      </x:c>
      <x:c r="AZ356" s="8" t="n">
        <x:v>0.001</x:v>
      </x:c>
      <x:c r="BA356" s="8" t="n">
        <x:v>21.581</x:v>
      </x:c>
      <x:c r="BB356" s="8" t="n">
        <x:f>LET(m,MIN(IF(D356&gt;0,D356,1E+99),IF(F356&gt;0,F356,1E+99),IF(H356&gt;0,H356,1E+99),IF(J356&gt;0,J356,1E+99),IF(L356&gt;0,L356,1E+99),IF(N356&gt;0,N356,1E+99),IF(P356&gt;0,P356,1E+99),IF(R356&gt;0,R356,1E+99),IF(T356&gt;0,T356,1E+99),IF(V356&gt;0,V356,1E+99),IF(X356&gt;0,X356,1E+99),IF(Z356&gt;0,Z356,1E+99),IF(AB356&gt;0,AB356,1E+99),IF(AD356&gt;0,AD356,1E+99),IF(AF356&gt;0,AF356,1E+99),IF(AH356&gt;0,AH356,1E+99),IF(AJ356&gt;0,AJ356,1E+99),IF(AL356&gt;0,AL356,1E+99),IF(AN356&gt;0,AN356,1E+99),IF(AP356&gt;0,AP356,1E+99),IF(AR356&gt;0,AR356,1E+99),IF(AT356&gt;0,AT356,1E+99),IF(AV356&gt;0,AV356,1E+99),IF(AX356&gt;0,AX356,1E+99),IF(AZ356&gt;0,AZ356,1E+99)),IF(m=1E+99,"",m))</x:f>
        <x:v>0.001</x:v>
      </x:c>
      <x:c r="BC356" s="12" t="e">
        <x:f>IF(BB356="","",INDEX({"v1.4.20","v1.4.20","v1.4.21","v1.4.21","v1.4.23","v1.4.23","v1.4.26","v1.4.26","v1.4.26.1","v1.4.26.1","v1.4.27","v1.4.27","v1.4.29","v1.4.29","v1.4.30","v1.4.30","v1.4.31","v1.4.31","v1.4.33","v1.4.33","v1.4.35","v1.4.35.2","v1.5","v1.5.1","v1.5.1"},MATCH(BB356,CHOOSE({1,2,3,4,5,6,7,8,9,10,11,12,13,14,15,16,17,18,19,20,21,22,23,24,25},D356,F356,H356,J356,L356,N356,P356,R356,T356,V356,X356,Z356,AB356,AD356,AF356,AH356,AJ356,AL356,AN356,AP356,AR356,AT356,AV356,AX356,AZ356),0)))</x:f>
      </x:c>
      <x:c r="BD356" s="14" t="n">
        <x:f>LET(m,MIN(IF(E356&gt;0,E356,1E+99),IF(G356&gt;0,G356,1E+99),IF(I356&gt;0,I356,1E+99),IF(K356&gt;0,K356,1E+99),IF(M356&gt;0,M356,1E+99),IF(O356&gt;0,O356,1E+99),IF(Q356&gt;0,Q356,1E+99),IF(S356&gt;0,S356,1E+99),IF(U356&gt;0,U356,1E+99),IF(W356&gt;0,W356,1E+99),IF(Y356&gt;0,Y356,1E+99),IF(AA356&gt;0,AA356,1E+99),IF(AC356&gt;0,AC356,1E+99),IF(AE356&gt;0,AE356,1E+99),IF(AG356&gt;0,AG356,1E+99),IF(AI356&gt;0,AI356,1E+99),IF(AK356&gt;0,AK356,1E+99),IF(AM356&gt;0,AM356,1E+99),IF(AO356&gt;0,AO356,1E+99),IF(AQ356&gt;0,AQ356,1E+99),IF(AS356&gt;0,AS356,1E+99),IF(AU356&gt;0,AU356,1E+99),IF(AW356&gt;0,AW356,1E+99),IF(AY356&gt;0,AY356,1E+99),IF(BA356&gt;0,BA356,1E+99)),IF(m=1E+99,"",m))</x:f>
        <x:v>15.975</x:v>
      </x:c>
      <x:c r="BE356" s="16" t="e">
        <x:f>IF(BD356="","",INDEX({"v1.4.20","v1.4.20","v1.4.21","v1.4.21","v1.4.23","v1.4.23","v1.4.26","v1.4.26","v1.4.26.1","v1.4.26.1","v1.4.27","v1.4.27","v1.4.29","v1.4.29","v1.4.30","v1.4.30","v1.4.31","v1.4.31","v1.4.33","v1.4.33","v1.4.35","v1.4.35.2","v1.5","v1.5.1","v1.5.1"},MATCH(BD356,CHOOSE({1,2,3,4,5,6,7,8,9,10,11,12,13,14,15,16,17,18,19,20,21,22,23,24,25},E356,G356,I356,K356,M356,O356,Q356,S356,U356,W356,Y356,AA356,AC356,AE356,AG356,AI356,AK356,AM356,AO356,AQ356,AS356,AU356,AW356,AY356,BA356),0)))</x:f>
      </x:c>
      <x:c r="BF356" s="10" t="n">
        <x:f>IFERROR((AX356-BB356)/BB356,"")</x:f>
        <x:v>0</x:v>
      </x:c>
      <x:c r="BG356" s="10" t="n">
        <x:f>IFERROR((AY356-BD356)/BD356,"")</x:f>
        <x:v>0.3509233176838811</x:v>
      </x:c>
    </x:row>
    <x:row r="357">
      <x:c r="A357" t="str"/>
      <x:c r="B357" t="str">
        <x:v>Format Banner Report</x:v>
      </x:c>
      <x:c r="C357" t="str">
        <x:v>Complete</x:v>
      </x:c>
      <x:c r="D357" s="8" t="n">
        <x:v>0</x:v>
      </x:c>
      <x:c r="E357" s="8" t="n">
        <x:v>19.876</x:v>
      </x:c>
      <x:c r="F357" s="8" t="n">
        <x:v>0</x:v>
      </x:c>
      <x:c r="G357" s="8" t="n">
        <x:v>19.876</x:v>
      </x:c>
      <x:c r="H357" s="8" t="n">
        <x:v>0</x:v>
      </x:c>
      <x:c r="I357" s="8" t="n">
        <x:v>20.785</x:v>
      </x:c>
      <x:c r="J357" s="8" t="n">
        <x:v>0</x:v>
      </x:c>
      <x:c r="K357" s="8" t="n">
        <x:v>20.785</x:v>
      </x:c>
      <x:c r="L357" s="8" t="n">
        <x:v>0</x:v>
      </x:c>
      <x:c r="M357" s="8" t="n">
        <x:v>23.4</x:v>
      </x:c>
      <x:c r="N357" s="8" t="n">
        <x:v>0</x:v>
      </x:c>
      <x:c r="O357" s="8" t="n">
        <x:v>23.4</x:v>
      </x:c>
      <x:c r="P357" s="8" t="n">
        <x:v>0</x:v>
      </x:c>
      <x:c r="Q357" s="8" t="n">
        <x:v>15.975</x:v>
      </x:c>
      <x:c r="R357" s="8" t="n">
        <x:v>0</x:v>
      </x:c>
      <x:c r="S357" s="8" t="n">
        <x:v>15.975</x:v>
      </x:c>
      <x:c r="T357" s="8" t="n">
        <x:v>0</x:v>
      </x:c>
      <x:c r="U357" s="8" t="n">
        <x:v>19.092</x:v>
      </x:c>
      <x:c r="V357" s="8" t="n">
        <x:v>0</x:v>
      </x:c>
      <x:c r="W357" s="8" t="n">
        <x:v>19.092</x:v>
      </x:c>
      <x:c r="X357" s="8" t="n">
        <x:v>0</x:v>
      </x:c>
      <x:c r="Y357" s="8" t="n">
        <x:v>32.323</x:v>
      </x:c>
      <x:c r="Z357" s="8" t="n">
        <x:v>0</x:v>
      </x:c>
      <x:c r="AA357" s="8" t="n">
        <x:v>32.323</x:v>
      </x:c>
      <x:c r="AB357" s="8" t="n">
        <x:v>0</x:v>
      </x:c>
      <x:c r="AC357" s="8" t="n">
        <x:v>26.532</x:v>
      </x:c>
      <x:c r="AD357" s="8" t="n">
        <x:v>0</x:v>
      </x:c>
      <x:c r="AE357" s="8" t="n">
        <x:v>26.532</x:v>
      </x:c>
      <x:c r="AF357" s="8" t="n">
        <x:v>0</x:v>
      </x:c>
      <x:c r="AG357" s="8" t="n">
        <x:v>18.273</x:v>
      </x:c>
      <x:c r="AH357" s="8" t="n">
        <x:v>0</x:v>
      </x:c>
      <x:c r="AI357" s="8" t="n">
        <x:v>18.273</x:v>
      </x:c>
      <x:c r="AJ357" s="8" t="n">
        <x:v>0</x:v>
      </x:c>
      <x:c r="AK357" s="8" t="n">
        <x:v>27.881</x:v>
      </x:c>
      <x:c r="AL357" s="8" t="n">
        <x:v>0</x:v>
      </x:c>
      <x:c r="AM357" s="8" t="n">
        <x:v>27.881</x:v>
      </x:c>
      <x:c r="AN357" s="8" t="n">
        <x:v>0</x:v>
      </x:c>
      <x:c r="AO357" s="8" t="n">
        <x:v>17.949</x:v>
      </x:c>
      <x:c r="AP357" s="8" t="n">
        <x:v>0</x:v>
      </x:c>
      <x:c r="AQ357" s="8" t="n">
        <x:v>17.949</x:v>
      </x:c>
      <x:c r="AR357" s="8"/>
      <x:c r="AS357" s="8"/>
      <x:c r="AT357" s="8" t="n">
        <x:v>0</x:v>
      </x:c>
      <x:c r="AU357" s="8" t="n">
        <x:v>22.465</x:v>
      </x:c>
      <x:c r="AV357" s="8" t="n">
        <x:v>0.001</x:v>
      </x:c>
      <x:c r="AW357" s="8" t="n">
        <x:v>22.572</x:v>
      </x:c>
      <x:c r="AX357" s="8" t="n">
        <x:v>0</x:v>
      </x:c>
      <x:c r="AY357" s="8" t="n">
        <x:v>21.581</x:v>
      </x:c>
      <x:c r="AZ357" s="8" t="n">
        <x:v>0</x:v>
      </x:c>
      <x:c r="BA357" s="8" t="n">
        <x:v>21.581</x:v>
      </x:c>
      <x:c r="BB357" s="8" t="n">
        <x:f>LET(m,MIN(IF(D357&gt;0,D357,1E+99),IF(F357&gt;0,F357,1E+99),IF(H357&gt;0,H357,1E+99),IF(J357&gt;0,J357,1E+99),IF(L357&gt;0,L357,1E+99),IF(N357&gt;0,N357,1E+99),IF(P357&gt;0,P357,1E+99),IF(R357&gt;0,R357,1E+99),IF(T357&gt;0,T357,1E+99),IF(V357&gt;0,V357,1E+99),IF(X357&gt;0,X357,1E+99),IF(Z357&gt;0,Z357,1E+99),IF(AB357&gt;0,AB357,1E+99),IF(AD357&gt;0,AD357,1E+99),IF(AF357&gt;0,AF357,1E+99),IF(AH357&gt;0,AH357,1E+99),IF(AJ357&gt;0,AJ357,1E+99),IF(AL357&gt;0,AL357,1E+99),IF(AN357&gt;0,AN357,1E+99),IF(AP357&gt;0,AP357,1E+99),IF(AR357&gt;0,AR357,1E+99),IF(AT357&gt;0,AT357,1E+99),IF(AV357&gt;0,AV357,1E+99),IF(AX357&gt;0,AX357,1E+99),IF(AZ357&gt;0,AZ357,1E+99)),IF(m=1E+99,"",m))</x:f>
        <x:v>0.001</x:v>
      </x:c>
      <x:c r="BC357" s="12" t="e">
        <x:f>IF(BB357="","",INDEX({"v1.4.20","v1.4.20","v1.4.21","v1.4.21","v1.4.23","v1.4.23","v1.4.26","v1.4.26","v1.4.26.1","v1.4.26.1","v1.4.27","v1.4.27","v1.4.29","v1.4.29","v1.4.30","v1.4.30","v1.4.31","v1.4.31","v1.4.33","v1.4.33","v1.4.35","v1.4.35.2","v1.5","v1.5.1","v1.5.1"},MATCH(BB357,CHOOSE({1,2,3,4,5,6,7,8,9,10,11,12,13,14,15,16,17,18,19,20,21,22,23,24,25},D357,F357,H357,J357,L357,N357,P357,R357,T357,V357,X357,Z357,AB357,AD357,AF357,AH357,AJ357,AL357,AN357,AP357,AR357,AT357,AV357,AX357,AZ357),0)))</x:f>
      </x:c>
      <x:c r="BD357" s="14" t="n">
        <x:f>LET(m,MIN(IF(E357&gt;0,E357,1E+99),IF(G357&gt;0,G357,1E+99),IF(I357&gt;0,I357,1E+99),IF(K357&gt;0,K357,1E+99),IF(M357&gt;0,M357,1E+99),IF(O357&gt;0,O357,1E+99),IF(Q357&gt;0,Q357,1E+99),IF(S357&gt;0,S357,1E+99),IF(U357&gt;0,U357,1E+99),IF(W357&gt;0,W357,1E+99),IF(Y357&gt;0,Y357,1E+99),IF(AA357&gt;0,AA357,1E+99),IF(AC357&gt;0,AC357,1E+99),IF(AE357&gt;0,AE357,1E+99),IF(AG357&gt;0,AG357,1E+99),IF(AI357&gt;0,AI357,1E+99),IF(AK357&gt;0,AK357,1E+99),IF(AM357&gt;0,AM357,1E+99),IF(AO357&gt;0,AO357,1E+99),IF(AQ357&gt;0,AQ357,1E+99),IF(AS357&gt;0,AS357,1E+99),IF(AU357&gt;0,AU357,1E+99),IF(AW357&gt;0,AW357,1E+99),IF(AY357&gt;0,AY357,1E+99),IF(BA357&gt;0,BA357,1E+99)),IF(m=1E+99,"",m))</x:f>
        <x:v>15.975</x:v>
      </x:c>
      <x:c r="BE357" s="16" t="e">
        <x:f>IF(BD357="","",INDEX({"v1.4.20","v1.4.20","v1.4.21","v1.4.21","v1.4.23","v1.4.23","v1.4.26","v1.4.26","v1.4.26.1","v1.4.26.1","v1.4.27","v1.4.27","v1.4.29","v1.4.29","v1.4.30","v1.4.30","v1.4.31","v1.4.31","v1.4.33","v1.4.33","v1.4.35","v1.4.35.2","v1.5","v1.5.1","v1.5.1"},MATCH(BD357,CHOOSE({1,2,3,4,5,6,7,8,9,10,11,12,13,14,15,16,17,18,19,20,21,22,23,24,25},E357,G357,I357,K357,M357,O357,Q357,S357,U357,W357,Y357,AA357,AC357,AE357,AG357,AI357,AK357,AM357,AO357,AQ357,AS357,AU357,AW357,AY357,BA357),0)))</x:f>
      </x:c>
      <x:c r="BF357" s="10" t="n">
        <x:f>IFERROR((AX357-BB357)/BB357,"")</x:f>
        <x:v>-1</x:v>
      </x:c>
      <x:c r="BG357" s="10" t="n">
        <x:f>IFERROR((AY357-BD357)/BD357,"")</x:f>
        <x:v>0.3509233176838811</x:v>
      </x:c>
    </x:row>
    <x:row r="358">
      <x:c r="A358" t="str"/>
      <x:c r="B358" t="str">
        <x:v>Format Banner Report</x:v>
      </x:c>
      <x:c r="C358" t="str">
        <x:v>ERROR - Formatter cancelled.</x:v>
      </x:c>
      <x:c r="D358" s="8"/>
      <x:c r="E358" s="8"/>
      <x:c r="F358" s="8"/>
      <x:c r="G358" s="8"/>
      <x:c r="H358" s="8"/>
      <x:c r="I358" s="8"/>
      <x:c r="J358" s="8"/>
      <x:c r="K358" s="8"/>
      <x:c r="L358" s="8"/>
      <x:c r="M358" s="8"/>
      <x:c r="N358" s="8"/>
      <x:c r="O358" s="8"/>
      <x:c r="P358" s="8"/>
      <x:c r="Q358" s="8"/>
      <x:c r="R358" s="8"/>
      <x:c r="S358" s="8"/>
      <x:c r="T358" s="8"/>
      <x:c r="U358" s="8"/>
      <x:c r="V358" s="8"/>
      <x:c r="W358" s="8"/>
      <x:c r="X358" s="8"/>
      <x:c r="Y358" s="8"/>
      <x:c r="Z358" s="8"/>
      <x:c r="AA358" s="8"/>
      <x:c r="AB358" s="8"/>
      <x:c r="AC358" s="8"/>
      <x:c r="AD358" s="8"/>
      <x:c r="AE358" s="8"/>
      <x:c r="AF358" s="8"/>
      <x:c r="AG358" s="8"/>
      <x:c r="AH358" s="8"/>
      <x:c r="AI358" s="8"/>
      <x:c r="AJ358" s="8"/>
      <x:c r="AK358" s="8"/>
      <x:c r="AL358" s="8" t="n">
        <x:v>8.321</x:v>
      </x:c>
      <x:c r="AM358" s="8" t="n">
        <x:v>8.321</x:v>
      </x:c>
      <x:c r="AN358" s="8"/>
      <x:c r="AO358" s="8"/>
      <x:c r="AP358" s="8"/>
      <x:c r="AQ358" s="8"/>
      <x:c r="AR358" s="8"/>
      <x:c r="AS358" s="8"/>
      <x:c r="AT358" s="8"/>
      <x:c r="AU358" s="8"/>
      <x:c r="AV358" s="8"/>
      <x:c r="AW358" s="8"/>
      <x:c r="AX358" s="8"/>
      <x:c r="AY358" s="8"/>
      <x:c r="AZ358" s="8"/>
      <x:c r="BA358" s="8"/>
      <x:c r="BB358" s="8" t="n">
        <x:f>LET(m,MIN(IF(D358&gt;0,D358,1E+99),IF(F358&gt;0,F358,1E+99),IF(H358&gt;0,H358,1E+99),IF(J358&gt;0,J358,1E+99),IF(L358&gt;0,L358,1E+99),IF(N358&gt;0,N358,1E+99),IF(P358&gt;0,P358,1E+99),IF(R358&gt;0,R358,1E+99),IF(T358&gt;0,T358,1E+99),IF(V358&gt;0,V358,1E+99),IF(X358&gt;0,X358,1E+99),IF(Z358&gt;0,Z358,1E+99),IF(AB358&gt;0,AB358,1E+99),IF(AD358&gt;0,AD358,1E+99),IF(AF358&gt;0,AF358,1E+99),IF(AH358&gt;0,AH358,1E+99),IF(AJ358&gt;0,AJ358,1E+99),IF(AL358&gt;0,AL358,1E+99),IF(AN358&gt;0,AN358,1E+99),IF(AP358&gt;0,AP358,1E+99),IF(AR358&gt;0,AR358,1E+99),IF(AT358&gt;0,AT358,1E+99),IF(AV358&gt;0,AV358,1E+99),IF(AX358&gt;0,AX358,1E+99),IF(AZ358&gt;0,AZ358,1E+99)),IF(m=1E+99,"",m))</x:f>
        <x:v>8.321</x:v>
      </x:c>
      <x:c r="BC358" s="12" t="e">
        <x:f>IF(BB358="","",INDEX({"v1.4.20","v1.4.20","v1.4.21","v1.4.21","v1.4.23","v1.4.23","v1.4.26","v1.4.26","v1.4.26.1","v1.4.26.1","v1.4.27","v1.4.27","v1.4.29","v1.4.29","v1.4.30","v1.4.30","v1.4.31","v1.4.31","v1.4.33","v1.4.33","v1.4.35","v1.4.35.2","v1.5","v1.5.1","v1.5.1"},MATCH(BB358,CHOOSE({1,2,3,4,5,6,7,8,9,10,11,12,13,14,15,16,17,18,19,20,21,22,23,24,25},D358,F358,H358,J358,L358,N358,P358,R358,T358,V358,X358,Z358,AB358,AD358,AF358,AH358,AJ358,AL358,AN358,AP358,AR358,AT358,AV358,AX358,AZ358),0)))</x:f>
      </x:c>
      <x:c r="BD358" s="14" t="n">
        <x:f>LET(m,MIN(IF(E358&gt;0,E358,1E+99),IF(G358&gt;0,G358,1E+99),IF(I358&gt;0,I358,1E+99),IF(K358&gt;0,K358,1E+99),IF(M358&gt;0,M358,1E+99),IF(O358&gt;0,O358,1E+99),IF(Q358&gt;0,Q358,1E+99),IF(S358&gt;0,S358,1E+99),IF(U358&gt;0,U358,1E+99),IF(W358&gt;0,W358,1E+99),IF(Y358&gt;0,Y358,1E+99),IF(AA358&gt;0,AA358,1E+99),IF(AC358&gt;0,AC358,1E+99),IF(AE358&gt;0,AE358,1E+99),IF(AG358&gt;0,AG358,1E+99),IF(AI358&gt;0,AI358,1E+99),IF(AK358&gt;0,AK358,1E+99),IF(AM358&gt;0,AM358,1E+99),IF(AO358&gt;0,AO358,1E+99),IF(AQ358&gt;0,AQ358,1E+99),IF(AS358&gt;0,AS358,1E+99),IF(AU358&gt;0,AU358,1E+99),IF(AW358&gt;0,AW358,1E+99),IF(AY358&gt;0,AY358,1E+99),IF(BA358&gt;0,BA358,1E+99)),IF(m=1E+99,"",m))</x:f>
        <x:v>8.321</x:v>
      </x:c>
      <x:c r="BE358" s="16" t="e">
        <x:f>IF(BD358="","",INDEX({"v1.4.20","v1.4.20","v1.4.21","v1.4.21","v1.4.23","v1.4.23","v1.4.26","v1.4.26","v1.4.26.1","v1.4.26.1","v1.4.27","v1.4.27","v1.4.29","v1.4.29","v1.4.30","v1.4.30","v1.4.31","v1.4.31","v1.4.33","v1.4.33","v1.4.35","v1.4.35.2","v1.5","v1.5.1","v1.5.1"},MATCH(BD358,CHOOSE({1,2,3,4,5,6,7,8,9,10,11,12,13,14,15,16,17,18,19,20,21,22,23,24,25},E358,G358,I358,K358,M358,O358,Q358,S358,U358,W358,Y358,AA358,AC358,AE358,AG358,AI358,AK358,AM358,AO358,AQ358,AS358,AU358,AW358,AY358,BA358),0)))</x:f>
      </x:c>
      <x:c r="BF358" s="10" t="n">
        <x:f>IFERROR((AX358-BB358)/BB358,"")</x:f>
        <x:v>-1</x:v>
      </x:c>
      <x:c r="BG358" s="10" t="n">
        <x:f>IFERROR((AY358-BD358)/BD358,"")</x:f>
        <x:v>-1</x:v>
      </x:c>
    </x:row>
    <x:row r="359">
      <x:c r="A359" t="str">
        <x:v>Raw Data</x:v>
      </x:c>
      <x:c r="B359" t="str">
        <x:v>Format Banner Report</x:v>
      </x:c>
      <x:c r="C359" t="str">
        <x:v>Raw sheet renamed: Raw Data - Banners 04.26</x:v>
      </x:c>
      <x:c r="D359" s="8" t="n">
        <x:v>6.454</x:v>
      </x:c>
      <x:c r="E359" s="8" t="n">
        <x:v>6.454</x:v>
      </x:c>
      <x:c r="F359" s="8" t="n">
        <x:v>6.454</x:v>
      </x:c>
      <x:c r="G359" s="8" t="n">
        <x:v>6.454</x:v>
      </x:c>
      <x:c r="H359" s="8" t="n">
        <x:v>6.997</x:v>
      </x:c>
      <x:c r="I359" s="8" t="n">
        <x:v>6.997</x:v>
      </x:c>
      <x:c r="J359" s="8" t="n">
        <x:v>6.997</x:v>
      </x:c>
      <x:c r="K359" s="8" t="n">
        <x:v>6.997</x:v>
      </x:c>
      <x:c r="L359" s="8" t="n">
        <x:v>7.114</x:v>
      </x:c>
      <x:c r="M359" s="8" t="n">
        <x:v>7.114</x:v>
      </x:c>
      <x:c r="N359" s="8" t="n">
        <x:v>7.114</x:v>
      </x:c>
      <x:c r="O359" s="8" t="n">
        <x:v>7.114</x:v>
      </x:c>
      <x:c r="P359" s="8" t="n">
        <x:v>5.194</x:v>
      </x:c>
      <x:c r="Q359" s="8" t="n">
        <x:v>5.194</x:v>
      </x:c>
      <x:c r="R359" s="8" t="n">
        <x:v>5.194</x:v>
      </x:c>
      <x:c r="S359" s="8" t="n">
        <x:v>5.194</x:v>
      </x:c>
      <x:c r="T359" s="8" t="n">
        <x:v>6.974</x:v>
      </x:c>
      <x:c r="U359" s="8" t="n">
        <x:v>6.974</x:v>
      </x:c>
      <x:c r="V359" s="8" t="n">
        <x:v>6.974</x:v>
      </x:c>
      <x:c r="W359" s="8" t="n">
        <x:v>6.974</x:v>
      </x:c>
      <x:c r="X359" s="8" t="n">
        <x:v>4.998</x:v>
      </x:c>
      <x:c r="Y359" s="8" t="n">
        <x:v>4.998</x:v>
      </x:c>
      <x:c r="Z359" s="8" t="n">
        <x:v>4.998</x:v>
      </x:c>
      <x:c r="AA359" s="8" t="n">
        <x:v>4.998</x:v>
      </x:c>
      <x:c r="AB359" s="8" t="n">
        <x:v>9.01</x:v>
      </x:c>
      <x:c r="AC359" s="8" t="n">
        <x:v>9.01</x:v>
      </x:c>
      <x:c r="AD359" s="8" t="n">
        <x:v>9.01</x:v>
      </x:c>
      <x:c r="AE359" s="8" t="n">
        <x:v>9.01</x:v>
      </x:c>
      <x:c r="AF359" s="8" t="n">
        <x:v>5.791</x:v>
      </x:c>
      <x:c r="AG359" s="8" t="n">
        <x:v>5.791</x:v>
      </x:c>
      <x:c r="AH359" s="8" t="n">
        <x:v>5.791</x:v>
      </x:c>
      <x:c r="AI359" s="8" t="n">
        <x:v>5.791</x:v>
      </x:c>
      <x:c r="AJ359" s="8" t="n">
        <x:v>7.204</x:v>
      </x:c>
      <x:c r="AK359" s="8" t="n">
        <x:v>7.204</x:v>
      </x:c>
      <x:c r="AL359" s="8" t="n">
        <x:v>7.204</x:v>
      </x:c>
      <x:c r="AM359" s="8" t="n">
        <x:v>7.204</x:v>
      </x:c>
      <x:c r="AN359" s="8" t="n">
        <x:v>6.121</x:v>
      </x:c>
      <x:c r="AO359" s="8" t="n">
        <x:v>6.121</x:v>
      </x:c>
      <x:c r="AP359" s="8" t="n">
        <x:v>6.121</x:v>
      </x:c>
      <x:c r="AQ359" s="8" t="n">
        <x:v>6.121</x:v>
      </x:c>
      <x:c r="AR359" s="8"/>
      <x:c r="AS359" s="8"/>
      <x:c r="AT359" s="8" t="n">
        <x:v>10.315</x:v>
      </x:c>
      <x:c r="AU359" s="8" t="n">
        <x:v>10.315</x:v>
      </x:c>
      <x:c r="AV359" s="8" t="n">
        <x:v>7.464</x:v>
      </x:c>
      <x:c r="AW359" s="8" t="n">
        <x:v>7.464</x:v>
      </x:c>
      <x:c r="AX359" s="8" t="n">
        <x:v>7.758</x:v>
      </x:c>
      <x:c r="AY359" s="8" t="n">
        <x:v>7.759</x:v>
      </x:c>
      <x:c r="AZ359" s="8" t="n">
        <x:v>7.758</x:v>
      </x:c>
      <x:c r="BA359" s="8" t="n">
        <x:v>7.759</x:v>
      </x:c>
      <x:c r="BB359" s="8" t="n">
        <x:f>LET(m,MIN(IF(D359&gt;0,D359,1E+99),IF(F359&gt;0,F359,1E+99),IF(H359&gt;0,H359,1E+99),IF(J359&gt;0,J359,1E+99),IF(L359&gt;0,L359,1E+99),IF(N359&gt;0,N359,1E+99),IF(P359&gt;0,P359,1E+99),IF(R359&gt;0,R359,1E+99),IF(T359&gt;0,T359,1E+99),IF(V359&gt;0,V359,1E+99),IF(X359&gt;0,X359,1E+99),IF(Z359&gt;0,Z359,1E+99),IF(AB359&gt;0,AB359,1E+99),IF(AD359&gt;0,AD359,1E+99),IF(AF359&gt;0,AF359,1E+99),IF(AH359&gt;0,AH359,1E+99),IF(AJ359&gt;0,AJ359,1E+99),IF(AL359&gt;0,AL359,1E+99),IF(AN359&gt;0,AN359,1E+99),IF(AP359&gt;0,AP359,1E+99),IF(AR359&gt;0,AR359,1E+99),IF(AT359&gt;0,AT359,1E+99),IF(AV359&gt;0,AV359,1E+99),IF(AX359&gt;0,AX359,1E+99),IF(AZ359&gt;0,AZ359,1E+99)),IF(m=1E+99,"",m))</x:f>
        <x:v>4.998</x:v>
      </x:c>
      <x:c r="BC359" s="12" t="e">
        <x:f>IF(BB359="","",INDEX({"v1.4.20","v1.4.20","v1.4.21","v1.4.21","v1.4.23","v1.4.23","v1.4.26","v1.4.26","v1.4.26.1","v1.4.26.1","v1.4.27","v1.4.27","v1.4.29","v1.4.29","v1.4.30","v1.4.30","v1.4.31","v1.4.31","v1.4.33","v1.4.33","v1.4.35","v1.4.35.2","v1.5","v1.5.1","v1.5.1"},MATCH(BB359,CHOOSE({1,2,3,4,5,6,7,8,9,10,11,12,13,14,15,16,17,18,19,20,21,22,23,24,25},D359,F359,H359,J359,L359,N359,P359,R359,T359,V359,X359,Z359,AB359,AD359,AF359,AH359,AJ359,AL359,AN359,AP359,AR359,AT359,AV359,AX359,AZ359),0)))</x:f>
      </x:c>
      <x:c r="BD359" s="14" t="n">
        <x:f>LET(m,MIN(IF(E359&gt;0,E359,1E+99),IF(G359&gt;0,G359,1E+99),IF(I359&gt;0,I359,1E+99),IF(K359&gt;0,K359,1E+99),IF(M359&gt;0,M359,1E+99),IF(O359&gt;0,O359,1E+99),IF(Q359&gt;0,Q359,1E+99),IF(S359&gt;0,S359,1E+99),IF(U359&gt;0,U359,1E+99),IF(W359&gt;0,W359,1E+99),IF(Y359&gt;0,Y359,1E+99),IF(AA359&gt;0,AA359,1E+99),IF(AC359&gt;0,AC359,1E+99),IF(AE359&gt;0,AE359,1E+99),IF(AG359&gt;0,AG359,1E+99),IF(AI359&gt;0,AI359,1E+99),IF(AK359&gt;0,AK359,1E+99),IF(AM359&gt;0,AM359,1E+99),IF(AO359&gt;0,AO359,1E+99),IF(AQ359&gt;0,AQ359,1E+99),IF(AS359&gt;0,AS359,1E+99),IF(AU359&gt;0,AU359,1E+99),IF(AW359&gt;0,AW359,1E+99),IF(AY359&gt;0,AY359,1E+99),IF(BA359&gt;0,BA359,1E+99)),IF(m=1E+99,"",m))</x:f>
        <x:v>4.998</x:v>
      </x:c>
      <x:c r="BE359" s="16" t="e">
        <x:f>IF(BD359="","",INDEX({"v1.4.20","v1.4.20","v1.4.21","v1.4.21","v1.4.23","v1.4.23","v1.4.26","v1.4.26","v1.4.26.1","v1.4.26.1","v1.4.27","v1.4.27","v1.4.29","v1.4.29","v1.4.30","v1.4.30","v1.4.31","v1.4.31","v1.4.33","v1.4.33","v1.4.35","v1.4.35.2","v1.5","v1.5.1","v1.5.1"},MATCH(BD359,CHOOSE({1,2,3,4,5,6,7,8,9,10,11,12,13,14,15,16,17,18,19,20,21,22,23,24,25},E359,G359,I359,K359,M359,O359,Q359,S359,U359,W359,Y359,AA359,AC359,AE359,AG359,AI359,AK359,AM359,AO359,AQ359,AS359,AU359,AW359,AY359,BA359),0)))</x:f>
      </x:c>
      <x:c r="BF359" s="10" t="n">
        <x:f>IFERROR((AX359-BB359)/BB359,"")</x:f>
        <x:v>0.5522208883553421</x:v>
      </x:c>
      <x:c r="BG359" s="10" t="n">
        <x:f>IFERROR((AY359-BD359)/BD359,"")</x:f>
        <x:v>0.552420968387355</x:v>
      </x:c>
    </x:row>
    <x:row r="360">
      <x:c r="A360" t="str">
        <x:v>Raw Data</x:v>
      </x:c>
      <x:c r="B360" t="str">
        <x:v>Format Banner Report</x:v>
      </x:c>
      <x:c r="C360" t="str">
        <x:v>Raw data copied to archive: Raw Data - Banners 04.26</x:v>
      </x:c>
      <x:c r="D360" s="8" t="n">
        <x:v>6.105</x:v>
      </x:c>
      <x:c r="E360" s="8" t="n">
        <x:v>19.76</x:v>
      </x:c>
      <x:c r="F360" s="8" t="n">
        <x:v>6.105</x:v>
      </x:c>
      <x:c r="G360" s="8" t="n">
        <x:v>19.76</x:v>
      </x:c>
      <x:c r="H360" s="8" t="n">
        <x:v>4.205</x:v>
      </x:c>
      <x:c r="I360" s="8" t="n">
        <x:v>20.675</x:v>
      </x:c>
      <x:c r="J360" s="8" t="n">
        <x:v>4.205</x:v>
      </x:c>
      <x:c r="K360" s="8" t="n">
        <x:v>20.675</x:v>
      </x:c>
      <x:c r="L360" s="8" t="n">
        <x:v>6.222</x:v>
      </x:c>
      <x:c r="M360" s="8" t="n">
        <x:v>23.115</x:v>
      </x:c>
      <x:c r="N360" s="8" t="n">
        <x:v>6.222</x:v>
      </x:c>
      <x:c r="O360" s="8" t="n">
        <x:v>23.115</x:v>
      </x:c>
      <x:c r="P360" s="8" t="n">
        <x:v>3.898</x:v>
      </x:c>
      <x:c r="Q360" s="8" t="n">
        <x:v>15.869</x:v>
      </x:c>
      <x:c r="R360" s="8" t="n">
        <x:v>3.898</x:v>
      </x:c>
      <x:c r="S360" s="8" t="n">
        <x:v>15.869</x:v>
      </x:c>
      <x:c r="T360" s="8" t="n">
        <x:v>4.91</x:v>
      </x:c>
      <x:c r="U360" s="8" t="n">
        <x:v>18.955</x:v>
      </x:c>
      <x:c r="V360" s="8" t="n">
        <x:v>4.91</x:v>
      </x:c>
      <x:c r="W360" s="8" t="n">
        <x:v>18.955</x:v>
      </x:c>
      <x:c r="X360" s="8" t="n">
        <x:v>5.134</x:v>
      </x:c>
      <x:c r="Y360" s="8" t="n">
        <x:v>32.23</x:v>
      </x:c>
      <x:c r="Z360" s="8" t="n">
        <x:v>5.134</x:v>
      </x:c>
      <x:c r="AA360" s="8" t="n">
        <x:v>32.23</x:v>
      </x:c>
      <x:c r="AB360" s="8" t="n">
        <x:v>6.837</x:v>
      </x:c>
      <x:c r="AC360" s="8" t="n">
        <x:v>26.369</x:v>
      </x:c>
      <x:c r="AD360" s="8" t="n">
        <x:v>6.837</x:v>
      </x:c>
      <x:c r="AE360" s="8" t="n">
        <x:v>26.369</x:v>
      </x:c>
      <x:c r="AF360" s="8" t="n">
        <x:v>4.788</x:v>
      </x:c>
      <x:c r="AG360" s="8" t="n">
        <x:v>18.126</x:v>
      </x:c>
      <x:c r="AH360" s="8" t="n">
        <x:v>4.788</x:v>
      </x:c>
      <x:c r="AI360" s="8" t="n">
        <x:v>18.126</x:v>
      </x:c>
      <x:c r="AJ360" s="8" t="n">
        <x:v>5.835</x:v>
      </x:c>
      <x:c r="AK360" s="8" t="n">
        <x:v>27.737</x:v>
      </x:c>
      <x:c r="AL360" s="8" t="n">
        <x:v>5.835</x:v>
      </x:c>
      <x:c r="AM360" s="8" t="n">
        <x:v>27.737</x:v>
      </x:c>
      <x:c r="AN360" s="8" t="n">
        <x:v>4.229</x:v>
      </x:c>
      <x:c r="AO360" s="8" t="n">
        <x:v>17.822</x:v>
      </x:c>
      <x:c r="AP360" s="8" t="n">
        <x:v>4.229</x:v>
      </x:c>
      <x:c r="AQ360" s="8" t="n">
        <x:v>17.822</x:v>
      </x:c>
      <x:c r="AR360" s="8"/>
      <x:c r="AS360" s="8"/>
      <x:c r="AT360" s="8" t="n">
        <x:v>4.479</x:v>
      </x:c>
      <x:c r="AU360" s="8" t="n">
        <x:v>22.343</x:v>
      </x:c>
      <x:c r="AV360" s="8" t="n">
        <x:v>5.137</x:v>
      </x:c>
      <x:c r="AW360" s="8" t="n">
        <x:v>22.258</x:v>
      </x:c>
      <x:c r="AX360" s="8" t="n">
        <x:v>4.623</x:v>
      </x:c>
      <x:c r="AY360" s="8" t="n">
        <x:v>21.478</x:v>
      </x:c>
      <x:c r="AZ360" s="8" t="n">
        <x:v>4.623</x:v>
      </x:c>
      <x:c r="BA360" s="8" t="n">
        <x:v>21.478</x:v>
      </x:c>
      <x:c r="BB360" s="8" t="n">
        <x:f>LET(m,MIN(IF(D360&gt;0,D360,1E+99),IF(F360&gt;0,F360,1E+99),IF(H360&gt;0,H360,1E+99),IF(J360&gt;0,J360,1E+99),IF(L360&gt;0,L360,1E+99),IF(N360&gt;0,N360,1E+99),IF(P360&gt;0,P360,1E+99),IF(R360&gt;0,R360,1E+99),IF(T360&gt;0,T360,1E+99),IF(V360&gt;0,V360,1E+99),IF(X360&gt;0,X360,1E+99),IF(Z360&gt;0,Z360,1E+99),IF(AB360&gt;0,AB360,1E+99),IF(AD360&gt;0,AD360,1E+99),IF(AF360&gt;0,AF360,1E+99),IF(AH360&gt;0,AH360,1E+99),IF(AJ360&gt;0,AJ360,1E+99),IF(AL360&gt;0,AL360,1E+99),IF(AN360&gt;0,AN360,1E+99),IF(AP360&gt;0,AP360,1E+99),IF(AR360&gt;0,AR360,1E+99),IF(AT360&gt;0,AT360,1E+99),IF(AV360&gt;0,AV360,1E+99),IF(AX360&gt;0,AX360,1E+99),IF(AZ360&gt;0,AZ360,1E+99)),IF(m=1E+99,"",m))</x:f>
        <x:v>3.898</x:v>
      </x:c>
      <x:c r="BC360" s="12" t="e">
        <x:f>IF(BB360="","",INDEX({"v1.4.20","v1.4.20","v1.4.21","v1.4.21","v1.4.23","v1.4.23","v1.4.26","v1.4.26","v1.4.26.1","v1.4.26.1","v1.4.27","v1.4.27","v1.4.29","v1.4.29","v1.4.30","v1.4.30","v1.4.31","v1.4.31","v1.4.33","v1.4.33","v1.4.35","v1.4.35.2","v1.5","v1.5.1","v1.5.1"},MATCH(BB360,CHOOSE({1,2,3,4,5,6,7,8,9,10,11,12,13,14,15,16,17,18,19,20,21,22,23,24,25},D360,F360,H360,J360,L360,N360,P360,R360,T360,V360,X360,Z360,AB360,AD360,AF360,AH360,AJ360,AL360,AN360,AP360,AR360,AT360,AV360,AX360,AZ360),0)))</x:f>
      </x:c>
      <x:c r="BD360" s="14" t="n">
        <x:f>LET(m,MIN(IF(E360&gt;0,E360,1E+99),IF(G360&gt;0,G360,1E+99),IF(I360&gt;0,I360,1E+99),IF(K360&gt;0,K360,1E+99),IF(M360&gt;0,M360,1E+99),IF(O360&gt;0,O360,1E+99),IF(Q360&gt;0,Q360,1E+99),IF(S360&gt;0,S360,1E+99),IF(U360&gt;0,U360,1E+99),IF(W360&gt;0,W360,1E+99),IF(Y360&gt;0,Y360,1E+99),IF(AA360&gt;0,AA360,1E+99),IF(AC360&gt;0,AC360,1E+99),IF(AE360&gt;0,AE360,1E+99),IF(AG360&gt;0,AG360,1E+99),IF(AI360&gt;0,AI360,1E+99),IF(AK360&gt;0,AK360,1E+99),IF(AM360&gt;0,AM360,1E+99),IF(AO360&gt;0,AO360,1E+99),IF(AQ360&gt;0,AQ360,1E+99),IF(AS360&gt;0,AS360,1E+99),IF(AU360&gt;0,AU360,1E+99),IF(AW360&gt;0,AW360,1E+99),IF(AY360&gt;0,AY360,1E+99),IF(BA360&gt;0,BA360,1E+99)),IF(m=1E+99,"",m))</x:f>
        <x:v>15.869</x:v>
      </x:c>
      <x:c r="BE360" s="16" t="e">
        <x:f>IF(BD360="","",INDEX({"v1.4.20","v1.4.20","v1.4.21","v1.4.21","v1.4.23","v1.4.23","v1.4.26","v1.4.26","v1.4.26.1","v1.4.26.1","v1.4.27","v1.4.27","v1.4.29","v1.4.29","v1.4.30","v1.4.30","v1.4.31","v1.4.31","v1.4.33","v1.4.33","v1.4.35","v1.4.35.2","v1.5","v1.5.1","v1.5.1"},MATCH(BD360,CHOOSE({1,2,3,4,5,6,7,8,9,10,11,12,13,14,15,16,17,18,19,20,21,22,23,24,25},E360,G360,I360,K360,M360,O360,Q360,S360,U360,W360,Y360,AA360,AC360,AE360,AG360,AI360,AK360,AM360,AO360,AQ360,AS360,AU360,AW360,AY360,BA360),0)))</x:f>
      </x:c>
      <x:c r="BF360" s="10" t="n">
        <x:f>IFERROR((AX360-BB360)/BB360,"")</x:f>
        <x:v>0.18599281682914318</x:v>
      </x:c>
      <x:c r="BG360" s="10" t="n">
        <x:f>IFERROR((AY360-BD360)/BD360,"")</x:f>
        <x:v>0.3534564244753924</x:v>
      </x:c>
    </x:row>
    <x:row r="361">
      <x:c r="A361" t="str">
        <x:v>Banner Report</x:v>
      </x:c>
      <x:c r="B361" t="str">
        <x:v>Format Banner Report</x:v>
      </x:c>
      <x:c r="C361" t="str">
        <x:v>Existing template verified: Template - Banner Report</x:v>
      </x:c>
      <x:c r="D361" s="8" t="n">
        <x:v>0.003</x:v>
      </x:c>
      <x:c r="E361" s="8" t="n">
        <x:v>6.457</x:v>
      </x:c>
      <x:c r="F361" s="8" t="n">
        <x:v>0.003</x:v>
      </x:c>
      <x:c r="G361" s="8" t="n">
        <x:v>6.457</x:v>
      </x:c>
      <x:c r="H361" s="8" t="n">
        <x:v>0.001</x:v>
      </x:c>
      <x:c r="I361" s="8" t="n">
        <x:v>6.998</x:v>
      </x:c>
      <x:c r="J361" s="8" t="n">
        <x:v>0.001</x:v>
      </x:c>
      <x:c r="K361" s="8" t="n">
        <x:v>6.998</x:v>
      </x:c>
      <x:c r="L361" s="8" t="n">
        <x:v>0.006</x:v>
      </x:c>
      <x:c r="M361" s="8" t="n">
        <x:v>7.12</x:v>
      </x:c>
      <x:c r="N361" s="8" t="n">
        <x:v>0.006</x:v>
      </x:c>
      <x:c r="O361" s="8" t="n">
        <x:v>7.12</x:v>
      </x:c>
      <x:c r="P361" s="8" t="n">
        <x:v>0.001</x:v>
      </x:c>
      <x:c r="Q361" s="8" t="n">
        <x:v>5.195</x:v>
      </x:c>
      <x:c r="R361" s="8" t="n">
        <x:v>0.001</x:v>
      </x:c>
      <x:c r="S361" s="8" t="n">
        <x:v>5.195</x:v>
      </x:c>
      <x:c r="T361" s="8" t="n">
        <x:v>0.003</x:v>
      </x:c>
      <x:c r="U361" s="8" t="n">
        <x:v>6.977</x:v>
      </x:c>
      <x:c r="V361" s="8" t="n">
        <x:v>0.003</x:v>
      </x:c>
      <x:c r="W361" s="8" t="n">
        <x:v>6.977</x:v>
      </x:c>
      <x:c r="X361" s="8" t="n">
        <x:v>0.004</x:v>
      </x:c>
      <x:c r="Y361" s="8" t="n">
        <x:v>5.002</x:v>
      </x:c>
      <x:c r="Z361" s="8" t="n">
        <x:v>0.004</x:v>
      </x:c>
      <x:c r="AA361" s="8" t="n">
        <x:v>5.002</x:v>
      </x:c>
      <x:c r="AB361" s="8" t="n">
        <x:v>0.001</x:v>
      </x:c>
      <x:c r="AC361" s="8" t="n">
        <x:v>9.011</x:v>
      </x:c>
      <x:c r="AD361" s="8" t="n">
        <x:v>0.001</x:v>
      </x:c>
      <x:c r="AE361" s="8" t="n">
        <x:v>9.011</x:v>
      </x:c>
      <x:c r="AF361" s="8" t="n">
        <x:v>0.001</x:v>
      </x:c>
      <x:c r="AG361" s="8" t="n">
        <x:v>5.792</x:v>
      </x:c>
      <x:c r="AH361" s="8" t="n">
        <x:v>0.001</x:v>
      </x:c>
      <x:c r="AI361" s="8" t="n">
        <x:v>5.792</x:v>
      </x:c>
      <x:c r="AJ361" s="8" t="n">
        <x:v>0.001</x:v>
      </x:c>
      <x:c r="AK361" s="8" t="n">
        <x:v>7.205</x:v>
      </x:c>
      <x:c r="AL361" s="8" t="n">
        <x:v>0.001</x:v>
      </x:c>
      <x:c r="AM361" s="8" t="n">
        <x:v>7.205</x:v>
      </x:c>
      <x:c r="AN361" s="8" t="n">
        <x:v>0.001</x:v>
      </x:c>
      <x:c r="AO361" s="8" t="n">
        <x:v>6.122</x:v>
      </x:c>
      <x:c r="AP361" s="8" t="n">
        <x:v>0.001</x:v>
      </x:c>
      <x:c r="AQ361" s="8" t="n">
        <x:v>6.122</x:v>
      </x:c>
      <x:c r="AR361" s="8"/>
      <x:c r="AS361" s="8"/>
      <x:c r="AT361" s="8" t="n">
        <x:v>0.002</x:v>
      </x:c>
      <x:c r="AU361" s="8" t="n">
        <x:v>10.317</x:v>
      </x:c>
      <x:c r="AV361" s="8" t="n">
        <x:v>0.002</x:v>
      </x:c>
      <x:c r="AW361" s="8" t="n">
        <x:v>7.466</x:v>
      </x:c>
      <x:c r="AX361" s="8" t="n">
        <x:v>0.002</x:v>
      </x:c>
      <x:c r="AY361" s="8" t="n">
        <x:v>7.761</x:v>
      </x:c>
      <x:c r="AZ361" s="8" t="n">
        <x:v>0.002</x:v>
      </x:c>
      <x:c r="BA361" s="8" t="n">
        <x:v>7.761</x:v>
      </x:c>
      <x:c r="BB361" s="8" t="n">
        <x:f>LET(m,MIN(IF(D361&gt;0,D361,1E+99),IF(F361&gt;0,F361,1E+99),IF(H361&gt;0,H361,1E+99),IF(J361&gt;0,J361,1E+99),IF(L361&gt;0,L361,1E+99),IF(N361&gt;0,N361,1E+99),IF(P361&gt;0,P361,1E+99),IF(R361&gt;0,R361,1E+99),IF(T361&gt;0,T361,1E+99),IF(V361&gt;0,V361,1E+99),IF(X361&gt;0,X361,1E+99),IF(Z361&gt;0,Z361,1E+99),IF(AB361&gt;0,AB361,1E+99),IF(AD361&gt;0,AD361,1E+99),IF(AF361&gt;0,AF361,1E+99),IF(AH361&gt;0,AH361,1E+99),IF(AJ361&gt;0,AJ361,1E+99),IF(AL361&gt;0,AL361,1E+99),IF(AN361&gt;0,AN361,1E+99),IF(AP361&gt;0,AP361,1E+99),IF(AR361&gt;0,AR361,1E+99),IF(AT361&gt;0,AT361,1E+99),IF(AV361&gt;0,AV361,1E+99),IF(AX361&gt;0,AX361,1E+99),IF(AZ361&gt;0,AZ361,1E+99)),IF(m=1E+99,"",m))</x:f>
        <x:v>0.001</x:v>
      </x:c>
      <x:c r="BC361" s="12" t="e">
        <x:f>IF(BB361="","",INDEX({"v1.4.20","v1.4.20","v1.4.21","v1.4.21","v1.4.23","v1.4.23","v1.4.26","v1.4.26","v1.4.26.1","v1.4.26.1","v1.4.27","v1.4.27","v1.4.29","v1.4.29","v1.4.30","v1.4.30","v1.4.31","v1.4.31","v1.4.33","v1.4.33","v1.4.35","v1.4.35.2","v1.5","v1.5.1","v1.5.1"},MATCH(BB361,CHOOSE({1,2,3,4,5,6,7,8,9,10,11,12,13,14,15,16,17,18,19,20,21,22,23,24,25},D361,F361,H361,J361,L361,N361,P361,R361,T361,V361,X361,Z361,AB361,AD361,AF361,AH361,AJ361,AL361,AN361,AP361,AR361,AT361,AV361,AX361,AZ361),0)))</x:f>
      </x:c>
      <x:c r="BD361" s="14" t="n">
        <x:f>LET(m,MIN(IF(E361&gt;0,E361,1E+99),IF(G361&gt;0,G361,1E+99),IF(I361&gt;0,I361,1E+99),IF(K361&gt;0,K361,1E+99),IF(M361&gt;0,M361,1E+99),IF(O361&gt;0,O361,1E+99),IF(Q361&gt;0,Q361,1E+99),IF(S361&gt;0,S361,1E+99),IF(U361&gt;0,U361,1E+99),IF(W361&gt;0,W361,1E+99),IF(Y361&gt;0,Y361,1E+99),IF(AA361&gt;0,AA361,1E+99),IF(AC361&gt;0,AC361,1E+99),IF(AE361&gt;0,AE361,1E+99),IF(AG361&gt;0,AG361,1E+99),IF(AI361&gt;0,AI361,1E+99),IF(AK361&gt;0,AK361,1E+99),IF(AM361&gt;0,AM361,1E+99),IF(AO361&gt;0,AO361,1E+99),IF(AQ361&gt;0,AQ361,1E+99),IF(AS361&gt;0,AS361,1E+99),IF(AU361&gt;0,AU361,1E+99),IF(AW361&gt;0,AW361,1E+99),IF(AY361&gt;0,AY361,1E+99),IF(BA361&gt;0,BA361,1E+99)),IF(m=1E+99,"",m))</x:f>
        <x:v>5.002</x:v>
      </x:c>
      <x:c r="BE361" s="16" t="e">
        <x:f>IF(BD361="","",INDEX({"v1.4.20","v1.4.20","v1.4.21","v1.4.21","v1.4.23","v1.4.23","v1.4.26","v1.4.26","v1.4.26.1","v1.4.26.1","v1.4.27","v1.4.27","v1.4.29","v1.4.29","v1.4.30","v1.4.30","v1.4.31","v1.4.31","v1.4.33","v1.4.33","v1.4.35","v1.4.35.2","v1.5","v1.5.1","v1.5.1"},MATCH(BD361,CHOOSE({1,2,3,4,5,6,7,8,9,10,11,12,13,14,15,16,17,18,19,20,21,22,23,24,25},E361,G361,I361,K361,M361,O361,Q361,S361,U361,W361,Y361,AA361,AC361,AE361,AG361,AI361,AK361,AM361,AO361,AQ361,AS361,AU361,AW361,AY361,BA361),0)))</x:f>
      </x:c>
      <x:c r="BF361" s="10" t="n">
        <x:f>IFERROR((AX361-BB361)/BB361,"")</x:f>
        <x:v>1</x:v>
      </x:c>
      <x:c r="BG361" s="10" t="n">
        <x:f>IFERROR((AY361-BD361)/BD361,"")</x:f>
        <x:v>0.551579368252699</x:v>
      </x:c>
    </x:row>
    <x:row r="362">
      <x:c r="A362" t="str"/>
      <x:c r="B362" t="str">
        <x:v>Format Care Plan Due Report</x:v>
      </x:c>
      <x:c r="C362" t="str">
        <x:v>Start</x:v>
      </x:c>
      <x:c r="D362" s="8"/>
      <x:c r="E362" s="8"/>
      <x:c r="F362" s="8"/>
      <x:c r="G362" s="8"/>
      <x:c r="H362" s="8"/>
      <x:c r="I362" s="8"/>
      <x:c r="J362" s="8"/>
      <x:c r="K362" s="8"/>
      <x:c r="L362" s="8" t="n">
        <x:v>0</x:v>
      </x:c>
      <x:c r="M362" s="8" t="n">
        <x:v>0</x:v>
      </x:c>
      <x:c r="N362" s="8" t="n">
        <x:v>0</x:v>
      </x:c>
      <x:c r="O362" s="8" t="n">
        <x:v>0</x:v>
      </x:c>
      <x:c r="P362" s="8" t="n">
        <x:v>0</x:v>
      </x:c>
      <x:c r="Q362" s="8" t="n">
        <x:v>0</x:v>
      </x:c>
      <x:c r="R362" s="8" t="n">
        <x:v>0</x:v>
      </x:c>
      <x:c r="S362" s="8" t="n">
        <x:v>0</x:v>
      </x:c>
      <x:c r="T362" s="8" t="n">
        <x:v>0</x:v>
      </x:c>
      <x:c r="U362" s="8" t="n">
        <x:v>0</x:v>
      </x:c>
      <x:c r="V362" s="8" t="n">
        <x:v>0</x:v>
      </x:c>
      <x:c r="W362" s="8" t="n">
        <x:v>0</x:v>
      </x:c>
      <x:c r="X362" s="8" t="n">
        <x:v>0</x:v>
      </x:c>
      <x:c r="Y362" s="8" t="n">
        <x:v>0</x:v>
      </x:c>
      <x:c r="Z362" s="8" t="n">
        <x:v>0</x:v>
      </x:c>
      <x:c r="AA362" s="8" t="n">
        <x:v>0</x:v>
      </x:c>
      <x:c r="AB362" s="8" t="n">
        <x:v>0</x:v>
      </x:c>
      <x:c r="AC362" s="8" t="n">
        <x:v>0</x:v>
      </x:c>
      <x:c r="AD362" s="8" t="n">
        <x:v>0</x:v>
      </x:c>
      <x:c r="AE362" s="8" t="n">
        <x:v>0</x:v>
      </x:c>
      <x:c r="AF362" s="8" t="n">
        <x:v>0</x:v>
      </x:c>
      <x:c r="AG362" s="8" t="n">
        <x:v>0</x:v>
      </x:c>
      <x:c r="AH362" s="8" t="n">
        <x:v>0</x:v>
      </x:c>
      <x:c r="AI362" s="8" t="n">
        <x:v>0</x:v>
      </x:c>
      <x:c r="AJ362" s="8" t="n">
        <x:v>0</x:v>
      </x:c>
      <x:c r="AK362" s="8" t="n">
        <x:v>0</x:v>
      </x:c>
      <x:c r="AL362" s="8" t="n">
        <x:v>0</x:v>
      </x:c>
      <x:c r="AM362" s="8" t="n">
        <x:v>0</x:v>
      </x:c>
      <x:c r="AN362" s="8" t="n">
        <x:v>0</x:v>
      </x:c>
      <x:c r="AO362" s="8" t="n">
        <x:v>0</x:v>
      </x:c>
      <x:c r="AP362" s="8" t="n">
        <x:v>0</x:v>
      </x:c>
      <x:c r="AQ362" s="8" t="n">
        <x:v>0</x:v>
      </x:c>
      <x:c r="AR362" s="8"/>
      <x:c r="AS362" s="8"/>
      <x:c r="AT362" s="8" t="n">
        <x:v>0</x:v>
      </x:c>
      <x:c r="AU362" s="8" t="n">
        <x:v>0</x:v>
      </x:c>
      <x:c r="AV362" s="8" t="n">
        <x:v>0</x:v>
      </x:c>
      <x:c r="AW362" s="8" t="n">
        <x:v>0</x:v>
      </x:c>
      <x:c r="AX362" s="8" t="n">
        <x:v>0</x:v>
      </x:c>
      <x:c r="AY362" s="8" t="n">
        <x:v>0</x:v>
      </x:c>
      <x:c r="AZ362" s="8" t="n">
        <x:v>0</x:v>
      </x:c>
      <x:c r="BA362" s="8" t="n">
        <x:v>0</x:v>
      </x:c>
      <x:c r="BB362" s="8" t="str">
        <x:f>LET(m,MIN(IF(D362&gt;0,D362,1E+99),IF(F362&gt;0,F362,1E+99),IF(H362&gt;0,H362,1E+99),IF(J362&gt;0,J362,1E+99),IF(L362&gt;0,L362,1E+99),IF(N362&gt;0,N362,1E+99),IF(P362&gt;0,P362,1E+99),IF(R362&gt;0,R362,1E+99),IF(T362&gt;0,T362,1E+99),IF(V362&gt;0,V362,1E+99),IF(X362&gt;0,X362,1E+99),IF(Z362&gt;0,Z362,1E+99),IF(AB362&gt;0,AB362,1E+99),IF(AD362&gt;0,AD362,1E+99),IF(AF362&gt;0,AF362,1E+99),IF(AH362&gt;0,AH362,1E+99),IF(AJ362&gt;0,AJ362,1E+99),IF(AL362&gt;0,AL362,1E+99),IF(AN362&gt;0,AN362,1E+99),IF(AP362&gt;0,AP362,1E+99),IF(AR362&gt;0,AR362,1E+99),IF(AT362&gt;0,AT362,1E+99),IF(AV362&gt;0,AV362,1E+99),IF(AX362&gt;0,AX362,1E+99),IF(AZ362&gt;0,AZ362,1E+99)),IF(m=1E+99,"",m))</x:f>
      </x:c>
      <x:c r="BC362" s="12" t="str">
        <x:f>IF(BB362="","",INDEX({"v1.4.20","v1.4.20","v1.4.21","v1.4.21","v1.4.23","v1.4.23","v1.4.26","v1.4.26","v1.4.26.1","v1.4.26.1","v1.4.27","v1.4.27","v1.4.29","v1.4.29","v1.4.30","v1.4.30","v1.4.31","v1.4.31","v1.4.33","v1.4.33","v1.4.35","v1.4.35.2","v1.5","v1.5.1","v1.5.1"},MATCH(BB362,CHOOSE({1,2,3,4,5,6,7,8,9,10,11,12,13,14,15,16,17,18,19,20,21,22,23,24,25},D362,F362,H362,J362,L362,N362,P362,R362,T362,V362,X362,Z362,AB362,AD362,AF362,AH362,AJ362,AL362,AN362,AP362,AR362,AT362,AV362,AX362,AZ362),0)))</x:f>
      </x:c>
      <x:c r="BD362" s="14" t="str">
        <x:f>LET(m,MIN(IF(E362&gt;0,E362,1E+99),IF(G362&gt;0,G362,1E+99),IF(I362&gt;0,I362,1E+99),IF(K362&gt;0,K362,1E+99),IF(M362&gt;0,M362,1E+99),IF(O362&gt;0,O362,1E+99),IF(Q362&gt;0,Q362,1E+99),IF(S362&gt;0,S362,1E+99),IF(U362&gt;0,U362,1E+99),IF(W362&gt;0,W362,1E+99),IF(Y362&gt;0,Y362,1E+99),IF(AA362&gt;0,AA362,1E+99),IF(AC362&gt;0,AC362,1E+99),IF(AE362&gt;0,AE362,1E+99),IF(AG362&gt;0,AG362,1E+99),IF(AI362&gt;0,AI362,1E+99),IF(AK362&gt;0,AK362,1E+99),IF(AM362&gt;0,AM362,1E+99),IF(AO362&gt;0,AO362,1E+99),IF(AQ362&gt;0,AQ362,1E+99),IF(AS362&gt;0,AS362,1E+99),IF(AU362&gt;0,AU362,1E+99),IF(AW362&gt;0,AW362,1E+99),IF(AY362&gt;0,AY362,1E+99),IF(BA362&gt;0,BA362,1E+99)),IF(m=1E+99,"",m))</x:f>
      </x:c>
      <x:c r="BE362" s="16" t="str">
        <x:f>IF(BD362="","",INDEX({"v1.4.20","v1.4.20","v1.4.21","v1.4.21","v1.4.23","v1.4.23","v1.4.26","v1.4.26","v1.4.26.1","v1.4.26.1","v1.4.27","v1.4.27","v1.4.29","v1.4.29","v1.4.30","v1.4.30","v1.4.31","v1.4.31","v1.4.33","v1.4.33","v1.4.35","v1.4.35.2","v1.5","v1.5.1","v1.5.1"},MATCH(BD362,CHOOSE({1,2,3,4,5,6,7,8,9,10,11,12,13,14,15,16,17,18,19,20,21,22,23,24,25},E362,G362,I362,K362,M362,O362,Q362,S362,U362,W362,Y362,AA362,AC362,AE362,AG362,AI362,AK362,AM362,AO362,AQ362,AS362,AU362,AW362,AY362,BA362),0)))</x:f>
      </x:c>
      <x:c r="BF362" s="10" t="str">
        <x:f>IFERROR((AX362-BB362)/BB362,"")</x:f>
      </x:c>
      <x:c r="BG362" s="10" t="str">
        <x:f>IFERROR((AY362-BD362)/BD362,"")</x:f>
      </x:c>
    </x:row>
    <x:row r="363">
      <x:c r="A363" t="str"/>
      <x:c r="B363" t="str">
        <x:v>Format Care Plan Due Report</x:v>
      </x:c>
      <x:c r="C363" t="str">
        <x:v>Move source title/date cells into dashboard title info</x:v>
      </x:c>
      <x:c r="D363" s="8" t="n">
        <x:v>4.856</x:v>
      </x:c>
      <x:c r="E363" s="8" t="n">
        <x:v>4.856</x:v>
      </x:c>
      <x:c r="F363" s="8" t="n">
        <x:v>4.856</x:v>
      </x:c>
      <x:c r="G363" s="8" t="n">
        <x:v>4.856</x:v>
      </x:c>
      <x:c r="H363" s="8" t="n">
        <x:v>5.267</x:v>
      </x:c>
      <x:c r="I363" s="8" t="n">
        <x:v>5.267</x:v>
      </x:c>
      <x:c r="J363" s="8" t="n">
        <x:v>5.267</x:v>
      </x:c>
      <x:c r="K363" s="8" t="n">
        <x:v>5.267</x:v>
      </x:c>
      <x:c r="L363" s="8" t="n">
        <x:v>11.051</x:v>
      </x:c>
      <x:c r="M363" s="8" t="n">
        <x:v>11.051</x:v>
      </x:c>
      <x:c r="N363" s="8" t="n">
        <x:v>11.051</x:v>
      </x:c>
      <x:c r="O363" s="8" t="n">
        <x:v>11.051</x:v>
      </x:c>
      <x:c r="P363" s="8" t="n">
        <x:v>11.279</x:v>
      </x:c>
      <x:c r="Q363" s="8" t="n">
        <x:v>11.279</x:v>
      </x:c>
      <x:c r="R363" s="8" t="n">
        <x:v>11.279</x:v>
      </x:c>
      <x:c r="S363" s="8" t="n">
        <x:v>11.279</x:v>
      </x:c>
      <x:c r="T363" s="8" t="n">
        <x:v>10.473</x:v>
      </x:c>
      <x:c r="U363" s="8" t="n">
        <x:v>10.473</x:v>
      </x:c>
      <x:c r="V363" s="8" t="n">
        <x:v>10.473</x:v>
      </x:c>
      <x:c r="W363" s="8" t="n">
        <x:v>10.473</x:v>
      </x:c>
      <x:c r="X363" s="8" t="n">
        <x:v>10.13</x:v>
      </x:c>
      <x:c r="Y363" s="8" t="n">
        <x:v>10.13</x:v>
      </x:c>
      <x:c r="Z363" s="8" t="n">
        <x:v>10.13</x:v>
      </x:c>
      <x:c r="AA363" s="8" t="n">
        <x:v>10.13</x:v>
      </x:c>
      <x:c r="AB363" s="8" t="n">
        <x:v>10.108</x:v>
      </x:c>
      <x:c r="AC363" s="8" t="n">
        <x:v>10.108</x:v>
      </x:c>
      <x:c r="AD363" s="8" t="n">
        <x:v>10.108</x:v>
      </x:c>
      <x:c r="AE363" s="8" t="n">
        <x:v>10.108</x:v>
      </x:c>
      <x:c r="AF363" s="8" t="n">
        <x:v>7.431</x:v>
      </x:c>
      <x:c r="AG363" s="8" t="n">
        <x:v>7.431</x:v>
      </x:c>
      <x:c r="AH363" s="8" t="n">
        <x:v>7.431</x:v>
      </x:c>
      <x:c r="AI363" s="8" t="n">
        <x:v>7.431</x:v>
      </x:c>
      <x:c r="AJ363" s="8" t="n">
        <x:v>7.578</x:v>
      </x:c>
      <x:c r="AK363" s="8" t="n">
        <x:v>7.578</x:v>
      </x:c>
      <x:c r="AL363" s="8" t="n">
        <x:v>7.578</x:v>
      </x:c>
      <x:c r="AM363" s="8" t="n">
        <x:v>7.578</x:v>
      </x:c>
      <x:c r="AN363" s="8" t="n">
        <x:v>7.726</x:v>
      </x:c>
      <x:c r="AO363" s="8" t="n">
        <x:v>7.726</x:v>
      </x:c>
      <x:c r="AP363" s="8" t="n">
        <x:v>7.726</x:v>
      </x:c>
      <x:c r="AQ363" s="8" t="n">
        <x:v>7.726</x:v>
      </x:c>
      <x:c r="AR363" s="8"/>
      <x:c r="AS363" s="8"/>
      <x:c r="AT363" s="8" t="n">
        <x:v>15.918</x:v>
      </x:c>
      <x:c r="AU363" s="8" t="n">
        <x:v>15.918</x:v>
      </x:c>
      <x:c r="AV363" s="8" t="n">
        <x:v>49.717</x:v>
      </x:c>
      <x:c r="AW363" s="8" t="n">
        <x:v>49.717</x:v>
      </x:c>
      <x:c r="AX363" s="8" t="n">
        <x:v>10.862</x:v>
      </x:c>
      <x:c r="AY363" s="8" t="n">
        <x:v>10.862</x:v>
      </x:c>
      <x:c r="AZ363" s="8" t="n">
        <x:v>10.862</x:v>
      </x:c>
      <x:c r="BA363" s="8" t="n">
        <x:v>10.862</x:v>
      </x:c>
      <x:c r="BB363" s="8" t="n">
        <x:f>LET(m,MIN(IF(D363&gt;0,D363,1E+99),IF(F363&gt;0,F363,1E+99),IF(H363&gt;0,H363,1E+99),IF(J363&gt;0,J363,1E+99),IF(L363&gt;0,L363,1E+99),IF(N363&gt;0,N363,1E+99),IF(P363&gt;0,P363,1E+99),IF(R363&gt;0,R363,1E+99),IF(T363&gt;0,T363,1E+99),IF(V363&gt;0,V363,1E+99),IF(X363&gt;0,X363,1E+99),IF(Z363&gt;0,Z363,1E+99),IF(AB363&gt;0,AB363,1E+99),IF(AD363&gt;0,AD363,1E+99),IF(AF363&gt;0,AF363,1E+99),IF(AH363&gt;0,AH363,1E+99),IF(AJ363&gt;0,AJ363,1E+99),IF(AL363&gt;0,AL363,1E+99),IF(AN363&gt;0,AN363,1E+99),IF(AP363&gt;0,AP363,1E+99),IF(AR363&gt;0,AR363,1E+99),IF(AT363&gt;0,AT363,1E+99),IF(AV363&gt;0,AV363,1E+99),IF(AX363&gt;0,AX363,1E+99),IF(AZ363&gt;0,AZ363,1E+99)),IF(m=1E+99,"",m))</x:f>
        <x:v>4.856</x:v>
      </x:c>
      <x:c r="BC363" s="12" t="str">
        <x:f>IF(BB363="","",INDEX({"v1.4.20","v1.4.20","v1.4.21","v1.4.21","v1.4.23","v1.4.23","v1.4.26","v1.4.26","v1.4.26.1","v1.4.26.1","v1.4.27","v1.4.27","v1.4.29","v1.4.29","v1.4.30","v1.4.30","v1.4.31","v1.4.31","v1.4.33","v1.4.33","v1.4.35","v1.4.35.2","v1.5","v1.5.1","v1.5.1"},MATCH(BB363,CHOOSE({1,2,3,4,5,6,7,8,9,10,11,12,13,14,15,16,17,18,19,20,21,22,23,24,25},D363,F363,H363,J363,L363,N363,P363,R363,T363,V363,X363,Z363,AB363,AD363,AF363,AH363,AJ363,AL363,AN363,AP363,AR363,AT363,AV363,AX363,AZ363),0)))</x:f>
        <x:v>v1.4.20</x:v>
      </x:c>
      <x:c r="BD363" s="14" t="n">
        <x:f>LET(m,MIN(IF(E363&gt;0,E363,1E+99),IF(G363&gt;0,G363,1E+99),IF(I363&gt;0,I363,1E+99),IF(K363&gt;0,K363,1E+99),IF(M363&gt;0,M363,1E+99),IF(O363&gt;0,O363,1E+99),IF(Q363&gt;0,Q363,1E+99),IF(S363&gt;0,S363,1E+99),IF(U363&gt;0,U363,1E+99),IF(W363&gt;0,W363,1E+99),IF(Y363&gt;0,Y363,1E+99),IF(AA363&gt;0,AA363,1E+99),IF(AC363&gt;0,AC363,1E+99),IF(AE363&gt;0,AE363,1E+99),IF(AG363&gt;0,AG363,1E+99),IF(AI363&gt;0,AI363,1E+99),IF(AK363&gt;0,AK363,1E+99),IF(AM363&gt;0,AM363,1E+99),IF(AO363&gt;0,AO363,1E+99),IF(AQ363&gt;0,AQ363,1E+99),IF(AS363&gt;0,AS363,1E+99),IF(AU363&gt;0,AU363,1E+99),IF(AW363&gt;0,AW363,1E+99),IF(AY363&gt;0,AY363,1E+99),IF(BA363&gt;0,BA363,1E+99)),IF(m=1E+99,"",m))</x:f>
        <x:v>4.856</x:v>
      </x:c>
      <x:c r="BE363" s="16" t="str">
        <x:f>IF(BD363="","",INDEX({"v1.4.20","v1.4.20","v1.4.21","v1.4.21","v1.4.23","v1.4.23","v1.4.26","v1.4.26","v1.4.26.1","v1.4.26.1","v1.4.27","v1.4.27","v1.4.29","v1.4.29","v1.4.30","v1.4.30","v1.4.31","v1.4.31","v1.4.33","v1.4.33","v1.4.35","v1.4.35.2","v1.5","v1.5.1","v1.5.1"},MATCH(BD363,CHOOSE({1,2,3,4,5,6,7,8,9,10,11,12,13,14,15,16,17,18,19,20,21,22,23,24,25},E363,G363,I363,K363,M363,O363,Q363,S363,U363,W363,Y363,AA363,AC363,AE363,AG363,AI363,AK363,AM363,AO363,AQ363,AS363,AU363,AW363,AY363,BA363),0)))</x:f>
        <x:v>v1.4.20</x:v>
      </x:c>
      <x:c r="BF363" s="10" t="n">
        <x:f>IFERROR((AX363-BB363)/BB363,"")</x:f>
        <x:v>1.236820428336079</x:v>
      </x:c>
      <x:c r="BG363" s="10" t="n">
        <x:f>IFERROR((AY363-BD363)/BD363,"")</x:f>
        <x:v>1.236820428336079</x:v>
      </x:c>
    </x:row>
    <x:row r="364">
      <x:c r="A364" t="str"/>
      <x:c r="B364" t="str">
        <x:v>Format Care Plan Due Report</x:v>
      </x:c>
      <x:c r="C364" t="str">
        <x:v>Prepare raw source structure</x:v>
      </x:c>
      <x:c r="D364" s="8"/>
      <x:c r="E364" s="8"/>
      <x:c r="F364" s="8"/>
      <x:c r="G364" s="8"/>
      <x:c r="H364" s="8"/>
      <x:c r="I364" s="8"/>
      <x:c r="J364" s="8"/>
      <x:c r="K364" s="8"/>
      <x:c r="L364" s="8" t="n">
        <x:v>3.76</x:v>
      </x:c>
      <x:c r="M364" s="8" t="n">
        <x:v>14.811</x:v>
      </x:c>
      <x:c r="N364" s="8" t="n">
        <x:v>3.76</x:v>
      </x:c>
      <x:c r="O364" s="8" t="n">
        <x:v>14.811</x:v>
      </x:c>
      <x:c r="P364" s="8" t="n">
        <x:v>0.002</x:v>
      </x:c>
      <x:c r="Q364" s="8" t="n">
        <x:v>11.281</x:v>
      </x:c>
      <x:c r="R364" s="8" t="n">
        <x:v>0.002</x:v>
      </x:c>
      <x:c r="S364" s="8" t="n">
        <x:v>11.281</x:v>
      </x:c>
      <x:c r="T364" s="8" t="n">
        <x:v>0.002</x:v>
      </x:c>
      <x:c r="U364" s="8" t="n">
        <x:v>10.475</x:v>
      </x:c>
      <x:c r="V364" s="8" t="n">
        <x:v>0.002</x:v>
      </x:c>
      <x:c r="W364" s="8" t="n">
        <x:v>10.475</x:v>
      </x:c>
      <x:c r="X364" s="8" t="n">
        <x:v>0.002</x:v>
      </x:c>
      <x:c r="Y364" s="8" t="n">
        <x:v>10.132</x:v>
      </x:c>
      <x:c r="Z364" s="8" t="n">
        <x:v>0.002</x:v>
      </x:c>
      <x:c r="AA364" s="8" t="n">
        <x:v>10.132</x:v>
      </x:c>
      <x:c r="AB364" s="8" t="n">
        <x:v>0.002</x:v>
      </x:c>
      <x:c r="AC364" s="8" t="n">
        <x:v>10.11</x:v>
      </x:c>
      <x:c r="AD364" s="8" t="n">
        <x:v>0.002</x:v>
      </x:c>
      <x:c r="AE364" s="8" t="n">
        <x:v>10.11</x:v>
      </x:c>
      <x:c r="AF364" s="8" t="n">
        <x:v>0.001</x:v>
      </x:c>
      <x:c r="AG364" s="8" t="n">
        <x:v>7.432</x:v>
      </x:c>
      <x:c r="AH364" s="8" t="n">
        <x:v>0.001</x:v>
      </x:c>
      <x:c r="AI364" s="8" t="n">
        <x:v>7.432</x:v>
      </x:c>
      <x:c r="AJ364" s="8" t="n">
        <x:v>0.001</x:v>
      </x:c>
      <x:c r="AK364" s="8" t="n">
        <x:v>7.579</x:v>
      </x:c>
      <x:c r="AL364" s="8" t="n">
        <x:v>0.001</x:v>
      </x:c>
      <x:c r="AM364" s="8" t="n">
        <x:v>7.579</x:v>
      </x:c>
      <x:c r="AN364" s="8" t="n">
        <x:v>0.001</x:v>
      </x:c>
      <x:c r="AO364" s="8" t="n">
        <x:v>7.727</x:v>
      </x:c>
      <x:c r="AP364" s="8" t="n">
        <x:v>0.001</x:v>
      </x:c>
      <x:c r="AQ364" s="8" t="n">
        <x:v>7.727</x:v>
      </x:c>
      <x:c r="AR364" s="8"/>
      <x:c r="AS364" s="8"/>
      <x:c r="AT364" s="8" t="n">
        <x:v>0.003</x:v>
      </x:c>
      <x:c r="AU364" s="8" t="n">
        <x:v>15.921</x:v>
      </x:c>
      <x:c r="AV364" s="8" t="n">
        <x:v>0.001</x:v>
      </x:c>
      <x:c r="AW364" s="8" t="n">
        <x:v>49.718</x:v>
      </x:c>
      <x:c r="AX364" s="8" t="n">
        <x:v>0.001</x:v>
      </x:c>
      <x:c r="AY364" s="8" t="n">
        <x:v>10.863</x:v>
      </x:c>
      <x:c r="AZ364" s="8" t="n">
        <x:v>0.001</x:v>
      </x:c>
      <x:c r="BA364" s="8" t="n">
        <x:v>10.863</x:v>
      </x:c>
      <x:c r="BB364" s="8" t="n">
        <x:f>LET(m,MIN(IF(D364&gt;0,D364,1E+99),IF(F364&gt;0,F364,1E+99),IF(H364&gt;0,H364,1E+99),IF(J364&gt;0,J364,1E+99),IF(L364&gt;0,L364,1E+99),IF(N364&gt;0,N364,1E+99),IF(P364&gt;0,P364,1E+99),IF(R364&gt;0,R364,1E+99),IF(T364&gt;0,T364,1E+99),IF(V364&gt;0,V364,1E+99),IF(X364&gt;0,X364,1E+99),IF(Z364&gt;0,Z364,1E+99),IF(AB364&gt;0,AB364,1E+99),IF(AD364&gt;0,AD364,1E+99),IF(AF364&gt;0,AF364,1E+99),IF(AH364&gt;0,AH364,1E+99),IF(AJ364&gt;0,AJ364,1E+99),IF(AL364&gt;0,AL364,1E+99),IF(AN364&gt;0,AN364,1E+99),IF(AP364&gt;0,AP364,1E+99),IF(AR364&gt;0,AR364,1E+99),IF(AT364&gt;0,AT364,1E+99),IF(AV364&gt;0,AV364,1E+99),IF(AX364&gt;0,AX364,1E+99),IF(AZ364&gt;0,AZ364,1E+99)),IF(m=1E+99,"",m))</x:f>
        <x:v>0.001</x:v>
      </x:c>
      <x:c r="BC364" s="12" t="e">
        <x:f>IF(BB364="","",INDEX({"v1.4.20","v1.4.20","v1.4.21","v1.4.21","v1.4.23","v1.4.23","v1.4.26","v1.4.26","v1.4.26.1","v1.4.26.1","v1.4.27","v1.4.27","v1.4.29","v1.4.29","v1.4.30","v1.4.30","v1.4.31","v1.4.31","v1.4.33","v1.4.33","v1.4.35","v1.4.35.2","v1.5","v1.5.1","v1.5.1"},MATCH(BB364,CHOOSE({1,2,3,4,5,6,7,8,9,10,11,12,13,14,15,16,17,18,19,20,21,22,23,24,25},D364,F364,H364,J364,L364,N364,P364,R364,T364,V364,X364,Z364,AB364,AD364,AF364,AH364,AJ364,AL364,AN364,AP364,AR364,AT364,AV364,AX364,AZ364),0)))</x:f>
      </x:c>
      <x:c r="BD364" s="14" t="n">
        <x:f>LET(m,MIN(IF(E364&gt;0,E364,1E+99),IF(G364&gt;0,G364,1E+99),IF(I364&gt;0,I364,1E+99),IF(K364&gt;0,K364,1E+99),IF(M364&gt;0,M364,1E+99),IF(O364&gt;0,O364,1E+99),IF(Q364&gt;0,Q364,1E+99),IF(S364&gt;0,S364,1E+99),IF(U364&gt;0,U364,1E+99),IF(W364&gt;0,W364,1E+99),IF(Y364&gt;0,Y364,1E+99),IF(AA364&gt;0,AA364,1E+99),IF(AC364&gt;0,AC364,1E+99),IF(AE364&gt;0,AE364,1E+99),IF(AG364&gt;0,AG364,1E+99),IF(AI364&gt;0,AI364,1E+99),IF(AK364&gt;0,AK364,1E+99),IF(AM364&gt;0,AM364,1E+99),IF(AO364&gt;0,AO364,1E+99),IF(AQ364&gt;0,AQ364,1E+99),IF(AS364&gt;0,AS364,1E+99),IF(AU364&gt;0,AU364,1E+99),IF(AW364&gt;0,AW364,1E+99),IF(AY364&gt;0,AY364,1E+99),IF(BA364&gt;0,BA364,1E+99)),IF(m=1E+99,"",m))</x:f>
        <x:v>7.432</x:v>
      </x:c>
      <x:c r="BE364" s="16" t="e">
        <x:f>IF(BD364="","",INDEX({"v1.4.20","v1.4.20","v1.4.21","v1.4.21","v1.4.23","v1.4.23","v1.4.26","v1.4.26","v1.4.26.1","v1.4.26.1","v1.4.27","v1.4.27","v1.4.29","v1.4.29","v1.4.30","v1.4.30","v1.4.31","v1.4.31","v1.4.33","v1.4.33","v1.4.35","v1.4.35.2","v1.5","v1.5.1","v1.5.1"},MATCH(BD364,CHOOSE({1,2,3,4,5,6,7,8,9,10,11,12,13,14,15,16,17,18,19,20,21,22,23,24,25},E364,G364,I364,K364,M364,O364,Q364,S364,U364,W364,Y364,AA364,AC364,AE364,AG364,AI364,AK364,AM364,AO364,AQ364,AS364,AU364,AW364,AY364,BA364),0)))</x:f>
      </x:c>
      <x:c r="BF364" s="10" t="n">
        <x:f>IFERROR((AX364-BB364)/BB364,"")</x:f>
        <x:v>0</x:v>
      </x:c>
      <x:c r="BG364" s="10" t="n">
        <x:f>IFERROR((AY364-BD364)/BD364,"")</x:f>
        <x:v>0.4616523143164692</x:v>
      </x:c>
    </x:row>
    <x:row r="365">
      <x:c r="A365" t="str"/>
      <x:c r="B365" t="str">
        <x:v>Format Care Plan Due Report</x:v>
      </x:c>
      <x:c r="C365" t="str">
        <x:v>Raw data mapped to dashboard headers</x:v>
      </x:c>
      <x:c r="D365" s="8"/>
      <x:c r="E365" s="8"/>
      <x:c r="F365" s="8"/>
      <x:c r="G365" s="8"/>
      <x:c r="H365" s="8"/>
      <x:c r="I365" s="8"/>
      <x:c r="J365" s="8"/>
      <x:c r="K365" s="8"/>
      <x:c r="L365" s="8" t="n">
        <x:v>1.519</x:v>
      </x:c>
      <x:c r="M365" s="8" t="n">
        <x:v>18.269</x:v>
      </x:c>
      <x:c r="N365" s="8" t="n">
        <x:v>1.519</x:v>
      </x:c>
      <x:c r="O365" s="8" t="n">
        <x:v>18.269</x:v>
      </x:c>
      <x:c r="P365" s="8" t="n">
        <x:v>0.904</x:v>
      </x:c>
      <x:c r="Q365" s="8" t="n">
        <x:v>12.855</x:v>
      </x:c>
      <x:c r="R365" s="8" t="n">
        <x:v>0.904</x:v>
      </x:c>
      <x:c r="S365" s="8" t="n">
        <x:v>12.855</x:v>
      </x:c>
      <x:c r="T365" s="8" t="n">
        <x:v>0.821</x:v>
      </x:c>
      <x:c r="U365" s="8" t="n">
        <x:v>11.942</x:v>
      </x:c>
      <x:c r="V365" s="8" t="n">
        <x:v>0.821</x:v>
      </x:c>
      <x:c r="W365" s="8" t="n">
        <x:v>11.942</x:v>
      </x:c>
      <x:c r="X365" s="8" t="n">
        <x:v>0.639</x:v>
      </x:c>
      <x:c r="Y365" s="8" t="n">
        <x:v>11.882</x:v>
      </x:c>
      <x:c r="Z365" s="8" t="n">
        <x:v>0.639</x:v>
      </x:c>
      <x:c r="AA365" s="8" t="n">
        <x:v>11.882</x:v>
      </x:c>
      <x:c r="AB365" s="8" t="n">
        <x:v>0.955</x:v>
      </x:c>
      <x:c r="AC365" s="8" t="n">
        <x:v>12.288</x:v>
      </x:c>
      <x:c r="AD365" s="8" t="n">
        <x:v>0.955</x:v>
      </x:c>
      <x:c r="AE365" s="8" t="n">
        <x:v>12.288</x:v>
      </x:c>
      <x:c r="AF365" s="8" t="n">
        <x:v>0.464</x:v>
      </x:c>
      <x:c r="AG365" s="8" t="n">
        <x:v>8.596</x:v>
      </x:c>
      <x:c r="AH365" s="8" t="n">
        <x:v>0.464</x:v>
      </x:c>
      <x:c r="AI365" s="8" t="n">
        <x:v>8.596</x:v>
      </x:c>
      <x:c r="AJ365" s="8" t="n">
        <x:v>1.625</x:v>
      </x:c>
      <x:c r="AK365" s="8" t="n">
        <x:v>10.226</x:v>
      </x:c>
      <x:c r="AL365" s="8" t="n">
        <x:v>1.625</x:v>
      </x:c>
      <x:c r="AM365" s="8" t="n">
        <x:v>10.226</x:v>
      </x:c>
      <x:c r="AN365" s="8" t="n">
        <x:v>0.464</x:v>
      </x:c>
      <x:c r="AO365" s="8" t="n">
        <x:v>8.983</x:v>
      </x:c>
      <x:c r="AP365" s="8" t="n">
        <x:v>0.464</x:v>
      </x:c>
      <x:c r="AQ365" s="8" t="n">
        <x:v>8.983</x:v>
      </x:c>
      <x:c r="AR365" s="8"/>
      <x:c r="AS365" s="8"/>
      <x:c r="AT365" s="8" t="n">
        <x:v>1.038</x:v>
      </x:c>
      <x:c r="AU365" s="8" t="n">
        <x:v>18.795</x:v>
      </x:c>
      <x:c r="AV365" s="8" t="n">
        <x:v>0.366</x:v>
      </x:c>
      <x:c r="AW365" s="8" t="n">
        <x:v>51.116</x:v>
      </x:c>
      <x:c r="AX365" s="8" t="n">
        <x:v>1.37</x:v>
      </x:c>
      <x:c r="AY365" s="8" t="n">
        <x:v>13.066</x:v>
      </x:c>
      <x:c r="AZ365" s="8" t="n">
        <x:v>1.37</x:v>
      </x:c>
      <x:c r="BA365" s="8" t="n">
        <x:v>13.066</x:v>
      </x:c>
      <x:c r="BB365" s="8" t="n">
        <x:f>LET(m,MIN(IF(D365&gt;0,D365,1E+99),IF(F365&gt;0,F365,1E+99),IF(H365&gt;0,H365,1E+99),IF(J365&gt;0,J365,1E+99),IF(L365&gt;0,L365,1E+99),IF(N365&gt;0,N365,1E+99),IF(P365&gt;0,P365,1E+99),IF(R365&gt;0,R365,1E+99),IF(T365&gt;0,T365,1E+99),IF(V365&gt;0,V365,1E+99),IF(X365&gt;0,X365,1E+99),IF(Z365&gt;0,Z365,1E+99),IF(AB365&gt;0,AB365,1E+99),IF(AD365&gt;0,AD365,1E+99),IF(AF365&gt;0,AF365,1E+99),IF(AH365&gt;0,AH365,1E+99),IF(AJ365&gt;0,AJ365,1E+99),IF(AL365&gt;0,AL365,1E+99),IF(AN365&gt;0,AN365,1E+99),IF(AP365&gt;0,AP365,1E+99),IF(AR365&gt;0,AR365,1E+99),IF(AT365&gt;0,AT365,1E+99),IF(AV365&gt;0,AV365,1E+99),IF(AX365&gt;0,AX365,1E+99),IF(AZ365&gt;0,AZ365,1E+99)),IF(m=1E+99,"",m))</x:f>
        <x:v>0.366</x:v>
      </x:c>
      <x:c r="BC365" s="12" t="e">
        <x:f>IF(BB365="","",INDEX({"v1.4.20","v1.4.20","v1.4.21","v1.4.21","v1.4.23","v1.4.23","v1.4.26","v1.4.26","v1.4.26.1","v1.4.26.1","v1.4.27","v1.4.27","v1.4.29","v1.4.29","v1.4.30","v1.4.30","v1.4.31","v1.4.31","v1.4.33","v1.4.33","v1.4.35","v1.4.35.2","v1.5","v1.5.1","v1.5.1"},MATCH(BB365,CHOOSE({1,2,3,4,5,6,7,8,9,10,11,12,13,14,15,16,17,18,19,20,21,22,23,24,25},D365,F365,H365,J365,L365,N365,P365,R365,T365,V365,X365,Z365,AB365,AD365,AF365,AH365,AJ365,AL365,AN365,AP365,AR365,AT365,AV365,AX365,AZ365),0)))</x:f>
      </x:c>
      <x:c r="BD365" s="14" t="n">
        <x:f>LET(m,MIN(IF(E365&gt;0,E365,1E+99),IF(G365&gt;0,G365,1E+99),IF(I365&gt;0,I365,1E+99),IF(K365&gt;0,K365,1E+99),IF(M365&gt;0,M365,1E+99),IF(O365&gt;0,O365,1E+99),IF(Q365&gt;0,Q365,1E+99),IF(S365&gt;0,S365,1E+99),IF(U365&gt;0,U365,1E+99),IF(W365&gt;0,W365,1E+99),IF(Y365&gt;0,Y365,1E+99),IF(AA365&gt;0,AA365,1E+99),IF(AC365&gt;0,AC365,1E+99),IF(AE365&gt;0,AE365,1E+99),IF(AG365&gt;0,AG365,1E+99),IF(AI365&gt;0,AI365,1E+99),IF(AK365&gt;0,AK365,1E+99),IF(AM365&gt;0,AM365,1E+99),IF(AO365&gt;0,AO365,1E+99),IF(AQ365&gt;0,AQ365,1E+99),IF(AS365&gt;0,AS365,1E+99),IF(AU365&gt;0,AU365,1E+99),IF(AW365&gt;0,AW365,1E+99),IF(AY365&gt;0,AY365,1E+99),IF(BA365&gt;0,BA365,1E+99)),IF(m=1E+99,"",m))</x:f>
        <x:v>8.596</x:v>
      </x:c>
      <x:c r="BE365" s="16" t="e">
        <x:f>IF(BD365="","",INDEX({"v1.4.20","v1.4.20","v1.4.21","v1.4.21","v1.4.23","v1.4.23","v1.4.26","v1.4.26","v1.4.26.1","v1.4.26.1","v1.4.27","v1.4.27","v1.4.29","v1.4.29","v1.4.30","v1.4.30","v1.4.31","v1.4.31","v1.4.33","v1.4.33","v1.4.35","v1.4.35.2","v1.5","v1.5.1","v1.5.1"},MATCH(BD365,CHOOSE({1,2,3,4,5,6,7,8,9,10,11,12,13,14,15,16,17,18,19,20,21,22,23,24,25},E365,G365,I365,K365,M365,O365,Q365,S365,U365,W365,Y365,AA365,AC365,AE365,AG365,AI365,AK365,AM365,AO365,AQ365,AS365,AU365,AW365,AY365,BA365),0)))</x:f>
      </x:c>
      <x:c r="BF365" s="10" t="n">
        <x:f>IFERROR((AX365-BB365)/BB365,"")</x:f>
        <x:v>2.7431693989071038</x:v>
      </x:c>
      <x:c r="BG365" s="10" t="n">
        <x:f>IFERROR((AY365-BD365)/BD365,"")</x:f>
        <x:v>0.5200093066542578</x:v>
      </x:c>
    </x:row>
    <x:row r="366">
      <x:c r="A366" t="str"/>
      <x:c r="B366" t="str">
        <x:v>Format Care Plan Due Report</x:v>
      </x:c>
      <x:c r="C366" t="str">
        <x:v>Template duplicated and raw data pasted: CP Due 04.26</x:v>
      </x:c>
      <x:c r="D366" s="8"/>
      <x:c r="E366" s="8"/>
      <x:c r="F366" s="8"/>
      <x:c r="G366" s="8"/>
      <x:c r="H366" s="8"/>
      <x:c r="I366" s="8"/>
      <x:c r="J366" s="8"/>
      <x:c r="K366" s="8"/>
      <x:c r="L366" s="8" t="n">
        <x:v>12.342</x:v>
      </x:c>
      <x:c r="M366" s="8" t="n">
        <x:v>30.611</x:v>
      </x:c>
      <x:c r="N366" s="8" t="n">
        <x:v>12.342</x:v>
      </x:c>
      <x:c r="O366" s="8" t="n">
        <x:v>30.611</x:v>
      </x:c>
      <x:c r="P366" s="8"/>
      <x:c r="Q366" s="8"/>
      <x:c r="R366" s="8"/>
      <x:c r="S366" s="8"/>
      <x:c r="T366" s="8" t="n">
        <x:v>8.152</x:v>
      </x:c>
      <x:c r="U366" s="8" t="n">
        <x:v>20.094</x:v>
      </x:c>
      <x:c r="V366" s="8" t="n">
        <x:v>8.152</x:v>
      </x:c>
      <x:c r="W366" s="8" t="n">
        <x:v>20.094</x:v>
      </x:c>
      <x:c r="X366" s="8"/>
      <x:c r="Y366" s="8"/>
      <x:c r="Z366" s="8"/>
      <x:c r="AA366" s="8"/>
      <x:c r="AB366" s="8"/>
      <x:c r="AC366" s="8"/>
      <x:c r="AD366" s="8"/>
      <x:c r="AE366" s="8"/>
      <x:c r="AF366" s="8" t="n">
        <x:v>7.722</x:v>
      </x:c>
      <x:c r="AG366" s="8" t="n">
        <x:v>16.318</x:v>
      </x:c>
      <x:c r="AH366" s="8" t="n">
        <x:v>7.722</x:v>
      </x:c>
      <x:c r="AI366" s="8" t="n">
        <x:v>16.318</x:v>
      </x:c>
      <x:c r="AJ366" s="8" t="n">
        <x:v>12.461</x:v>
      </x:c>
      <x:c r="AK366" s="8" t="n">
        <x:v>22.687</x:v>
      </x:c>
      <x:c r="AL366" s="8" t="n">
        <x:v>12.461</x:v>
      </x:c>
      <x:c r="AM366" s="8" t="n">
        <x:v>22.687</x:v>
      </x:c>
      <x:c r="AN366" s="8" t="n">
        <x:v>7.419</x:v>
      </x:c>
      <x:c r="AO366" s="8" t="n">
        <x:v>16.402</x:v>
      </x:c>
      <x:c r="AP366" s="8" t="n">
        <x:v>7.419</x:v>
      </x:c>
      <x:c r="AQ366" s="8" t="n">
        <x:v>16.402</x:v>
      </x:c>
      <x:c r="AR366" s="8"/>
      <x:c r="AS366" s="8"/>
      <x:c r="AT366" s="8" t="n">
        <x:v>9.118</x:v>
      </x:c>
      <x:c r="AU366" s="8" t="n">
        <x:v>27.913</x:v>
      </x:c>
      <x:c r="AV366" s="8" t="n">
        <x:v>11.748</x:v>
      </x:c>
      <x:c r="AW366" s="8" t="n">
        <x:v>62.864</x:v>
      </x:c>
      <x:c r="AX366" s="8" t="n">
        <x:v>9.376</x:v>
      </x:c>
      <x:c r="AY366" s="8" t="n">
        <x:v>22.442</x:v>
      </x:c>
      <x:c r="AZ366" s="8" t="n">
        <x:v>9.376</x:v>
      </x:c>
      <x:c r="BA366" s="8" t="n">
        <x:v>22.442</x:v>
      </x:c>
      <x:c r="BB366" s="8" t="n">
        <x:f>LET(m,MIN(IF(D366&gt;0,D366,1E+99),IF(F366&gt;0,F366,1E+99),IF(H366&gt;0,H366,1E+99),IF(J366&gt;0,J366,1E+99),IF(L366&gt;0,L366,1E+99),IF(N366&gt;0,N366,1E+99),IF(P366&gt;0,P366,1E+99),IF(R366&gt;0,R366,1E+99),IF(T366&gt;0,T366,1E+99),IF(V366&gt;0,V366,1E+99),IF(X366&gt;0,X366,1E+99),IF(Z366&gt;0,Z366,1E+99),IF(AB366&gt;0,AB366,1E+99),IF(AD366&gt;0,AD366,1E+99),IF(AF366&gt;0,AF366,1E+99),IF(AH366&gt;0,AH366,1E+99),IF(AJ366&gt;0,AJ366,1E+99),IF(AL366&gt;0,AL366,1E+99),IF(AN366&gt;0,AN366,1E+99),IF(AP366&gt;0,AP366,1E+99),IF(AR366&gt;0,AR366,1E+99),IF(AT366&gt;0,AT366,1E+99),IF(AV366&gt;0,AV366,1E+99),IF(AX366&gt;0,AX366,1E+99),IF(AZ366&gt;0,AZ366,1E+99)),IF(m=1E+99,"",m))</x:f>
        <x:v>7.419</x:v>
      </x:c>
      <x:c r="BC366" s="12" t="e">
        <x:f>IF(BB366="","",INDEX({"v1.4.20","v1.4.20","v1.4.21","v1.4.21","v1.4.23","v1.4.23","v1.4.26","v1.4.26","v1.4.26.1","v1.4.26.1","v1.4.27","v1.4.27","v1.4.29","v1.4.29","v1.4.30","v1.4.30","v1.4.31","v1.4.31","v1.4.33","v1.4.33","v1.4.35","v1.4.35.2","v1.5","v1.5.1","v1.5.1"},MATCH(BB366,CHOOSE({1,2,3,4,5,6,7,8,9,10,11,12,13,14,15,16,17,18,19,20,21,22,23,24,25},D366,F366,H366,J366,L366,N366,P366,R366,T366,V366,X366,Z366,AB366,AD366,AF366,AH366,AJ366,AL366,AN366,AP366,AR366,AT366,AV366,AX366,AZ366),0)))</x:f>
      </x:c>
      <x:c r="BD366" s="14" t="n">
        <x:f>LET(m,MIN(IF(E366&gt;0,E366,1E+99),IF(G366&gt;0,G366,1E+99),IF(I366&gt;0,I366,1E+99),IF(K366&gt;0,K366,1E+99),IF(M366&gt;0,M366,1E+99),IF(O366&gt;0,O366,1E+99),IF(Q366&gt;0,Q366,1E+99),IF(S366&gt;0,S366,1E+99),IF(U366&gt;0,U366,1E+99),IF(W366&gt;0,W366,1E+99),IF(Y366&gt;0,Y366,1E+99),IF(AA366&gt;0,AA366,1E+99),IF(AC366&gt;0,AC366,1E+99),IF(AE366&gt;0,AE366,1E+99),IF(AG366&gt;0,AG366,1E+99),IF(AI366&gt;0,AI366,1E+99),IF(AK366&gt;0,AK366,1E+99),IF(AM366&gt;0,AM366,1E+99),IF(AO366&gt;0,AO366,1E+99),IF(AQ366&gt;0,AQ366,1E+99),IF(AS366&gt;0,AS366,1E+99),IF(AU366&gt;0,AU366,1E+99),IF(AW366&gt;0,AW366,1E+99),IF(AY366&gt;0,AY366,1E+99),IF(BA366&gt;0,BA366,1E+99)),IF(m=1E+99,"",m))</x:f>
        <x:v>16.318</x:v>
      </x:c>
      <x:c r="BE366" s="16" t="e">
        <x:f>IF(BD366="","",INDEX({"v1.4.20","v1.4.20","v1.4.21","v1.4.21","v1.4.23","v1.4.23","v1.4.26","v1.4.26","v1.4.26.1","v1.4.26.1","v1.4.27","v1.4.27","v1.4.29","v1.4.29","v1.4.30","v1.4.30","v1.4.31","v1.4.31","v1.4.33","v1.4.33","v1.4.35","v1.4.35.2","v1.5","v1.5.1","v1.5.1"},MATCH(BD366,CHOOSE({1,2,3,4,5,6,7,8,9,10,11,12,13,14,15,16,17,18,19,20,21,22,23,24,25},E366,G366,I366,K366,M366,O366,Q366,S366,U366,W366,Y366,AA366,AC366,AE366,AG366,AI366,AK366,AM366,AO366,AQ366,AS366,AU366,AW366,AY366,BA366),0)))</x:f>
      </x:c>
      <x:c r="BF366" s="10" t="n">
        <x:f>IFERROR((AX366-BB366)/BB366,"")</x:f>
        <x:v>0.26378218088691197</x:v>
      </x:c>
      <x:c r="BG366" s="10" t="n">
        <x:f>IFERROR((AY366-BD366)/BD366,"")</x:f>
        <x:v>0.3752910895943129</x:v>
      </x:c>
    </x:row>
    <x:row r="367">
      <x:c r="A367" t="str"/>
      <x:c r="B367" t="str">
        <x:v>Format Care Plan Due Report</x:v>
      </x:c>
      <x:c r="C367" t="str">
        <x:v>Lock final row heights</x:v>
      </x:c>
      <x:c r="D367" s="8"/>
      <x:c r="E367" s="8"/>
      <x:c r="F367" s="8"/>
      <x:c r="G367" s="8"/>
      <x:c r="H367" s="8"/>
      <x:c r="I367" s="8"/>
      <x:c r="J367" s="8"/>
      <x:c r="K367" s="8"/>
      <x:c r="L367" s="8" t="n">
        <x:v>1.661</x:v>
      </x:c>
      <x:c r="M367" s="8" t="n">
        <x:v>32.272</x:v>
      </x:c>
      <x:c r="N367" s="8" t="n">
        <x:v>1.661</x:v>
      </x:c>
      <x:c r="O367" s="8" t="n">
        <x:v>32.272</x:v>
      </x:c>
      <x:c r="P367" s="8"/>
      <x:c r="Q367" s="8"/>
      <x:c r="R367" s="8"/>
      <x:c r="S367" s="8"/>
      <x:c r="T367" s="8" t="n">
        <x:v>1.407</x:v>
      </x:c>
      <x:c r="U367" s="8" t="n">
        <x:v>21.501</x:v>
      </x:c>
      <x:c r="V367" s="8" t="n">
        <x:v>1.407</x:v>
      </x:c>
      <x:c r="W367" s="8" t="n">
        <x:v>21.501</x:v>
      </x:c>
      <x:c r="X367" s="8"/>
      <x:c r="Y367" s="8"/>
      <x:c r="Z367" s="8"/>
      <x:c r="AA367" s="8"/>
      <x:c r="AB367" s="8"/>
      <x:c r="AC367" s="8"/>
      <x:c r="AD367" s="8"/>
      <x:c r="AE367" s="8"/>
      <x:c r="AF367" s="8" t="n">
        <x:v>0.896</x:v>
      </x:c>
      <x:c r="AG367" s="8" t="n">
        <x:v>17.214</x:v>
      </x:c>
      <x:c r="AH367" s="8" t="n">
        <x:v>0.896</x:v>
      </x:c>
      <x:c r="AI367" s="8" t="n">
        <x:v>17.214</x:v>
      </x:c>
      <x:c r="AJ367" s="8" t="n">
        <x:v>1.404</x:v>
      </x:c>
      <x:c r="AK367" s="8" t="n">
        <x:v>24.091</x:v>
      </x:c>
      <x:c r="AL367" s="8" t="n">
        <x:v>1.404</x:v>
      </x:c>
      <x:c r="AM367" s="8" t="n">
        <x:v>24.091</x:v>
      </x:c>
      <x:c r="AN367" s="8" t="n">
        <x:v>0.978</x:v>
      </x:c>
      <x:c r="AO367" s="8" t="n">
        <x:v>17.38</x:v>
      </x:c>
      <x:c r="AP367" s="8" t="n">
        <x:v>0.978</x:v>
      </x:c>
      <x:c r="AQ367" s="8" t="n">
        <x:v>17.38</x:v>
      </x:c>
      <x:c r="AR367" s="8"/>
      <x:c r="AS367" s="8"/>
      <x:c r="AT367" s="8" t="n">
        <x:v>0.918</x:v>
      </x:c>
      <x:c r="AU367" s="8" t="n">
        <x:v>28.831</x:v>
      </x:c>
      <x:c r="AV367" s="8" t="n">
        <x:v>1.556</x:v>
      </x:c>
      <x:c r="AW367" s="8" t="n">
        <x:v>64.42</x:v>
      </x:c>
      <x:c r="AX367" s="8" t="n">
        <x:v>1.269</x:v>
      </x:c>
      <x:c r="AY367" s="8" t="n">
        <x:v>23.711</x:v>
      </x:c>
      <x:c r="AZ367" s="8" t="n">
        <x:v>1.269</x:v>
      </x:c>
      <x:c r="BA367" s="8" t="n">
        <x:v>23.711</x:v>
      </x:c>
      <x:c r="BB367" s="8" t="n">
        <x:f>LET(m,MIN(IF(D367&gt;0,D367,1E+99),IF(F367&gt;0,F367,1E+99),IF(H367&gt;0,H367,1E+99),IF(J367&gt;0,J367,1E+99),IF(L367&gt;0,L367,1E+99),IF(N367&gt;0,N367,1E+99),IF(P367&gt;0,P367,1E+99),IF(R367&gt;0,R367,1E+99),IF(T367&gt;0,T367,1E+99),IF(V367&gt;0,V367,1E+99),IF(X367&gt;0,X367,1E+99),IF(Z367&gt;0,Z367,1E+99),IF(AB367&gt;0,AB367,1E+99),IF(AD367&gt;0,AD367,1E+99),IF(AF367&gt;0,AF367,1E+99),IF(AH367&gt;0,AH367,1E+99),IF(AJ367&gt;0,AJ367,1E+99),IF(AL367&gt;0,AL367,1E+99),IF(AN367&gt;0,AN367,1E+99),IF(AP367&gt;0,AP367,1E+99),IF(AR367&gt;0,AR367,1E+99),IF(AT367&gt;0,AT367,1E+99),IF(AV367&gt;0,AV367,1E+99),IF(AX367&gt;0,AX367,1E+99),IF(AZ367&gt;0,AZ367,1E+99)),IF(m=1E+99,"",m))</x:f>
        <x:v>0.896</x:v>
      </x:c>
      <x:c r="BC367" s="12" t="e">
        <x:f>IF(BB367="","",INDEX({"v1.4.20","v1.4.20","v1.4.21","v1.4.21","v1.4.23","v1.4.23","v1.4.26","v1.4.26","v1.4.26.1","v1.4.26.1","v1.4.27","v1.4.27","v1.4.29","v1.4.29","v1.4.30","v1.4.30","v1.4.31","v1.4.31","v1.4.33","v1.4.33","v1.4.35","v1.4.35.2","v1.5","v1.5.1","v1.5.1"},MATCH(BB367,CHOOSE({1,2,3,4,5,6,7,8,9,10,11,12,13,14,15,16,17,18,19,20,21,22,23,24,25},D367,F367,H367,J367,L367,N367,P367,R367,T367,V367,X367,Z367,AB367,AD367,AF367,AH367,AJ367,AL367,AN367,AP367,AR367,AT367,AV367,AX367,AZ367),0)))</x:f>
      </x:c>
      <x:c r="BD367" s="14" t="n">
        <x:f>LET(m,MIN(IF(E367&gt;0,E367,1E+99),IF(G367&gt;0,G367,1E+99),IF(I367&gt;0,I367,1E+99),IF(K367&gt;0,K367,1E+99),IF(M367&gt;0,M367,1E+99),IF(O367&gt;0,O367,1E+99),IF(Q367&gt;0,Q367,1E+99),IF(S367&gt;0,S367,1E+99),IF(U367&gt;0,U367,1E+99),IF(W367&gt;0,W367,1E+99),IF(Y367&gt;0,Y367,1E+99),IF(AA367&gt;0,AA367,1E+99),IF(AC367&gt;0,AC367,1E+99),IF(AE367&gt;0,AE367,1E+99),IF(AG367&gt;0,AG367,1E+99),IF(AI367&gt;0,AI367,1E+99),IF(AK367&gt;0,AK367,1E+99),IF(AM367&gt;0,AM367,1E+99),IF(AO367&gt;0,AO367,1E+99),IF(AQ367&gt;0,AQ367,1E+99),IF(AS367&gt;0,AS367,1E+99),IF(AU367&gt;0,AU367,1E+99),IF(AW367&gt;0,AW367,1E+99),IF(AY367&gt;0,AY367,1E+99),IF(BA367&gt;0,BA367,1E+99)),IF(m=1E+99,"",m))</x:f>
        <x:v>17.214</x:v>
      </x:c>
      <x:c r="BE367" s="16" t="e">
        <x:f>IF(BD367="","",INDEX({"v1.4.20","v1.4.20","v1.4.21","v1.4.21","v1.4.23","v1.4.23","v1.4.26","v1.4.26","v1.4.26.1","v1.4.26.1","v1.4.27","v1.4.27","v1.4.29","v1.4.29","v1.4.30","v1.4.30","v1.4.31","v1.4.31","v1.4.33","v1.4.33","v1.4.35","v1.4.35.2","v1.5","v1.5.1","v1.5.1"},MATCH(BD367,CHOOSE({1,2,3,4,5,6,7,8,9,10,11,12,13,14,15,16,17,18,19,20,21,22,23,24,25},E367,G367,I367,K367,M367,O367,Q367,S367,U367,W367,Y367,AA367,AC367,AE367,AG367,AI367,AK367,AM367,AO367,AQ367,AS367,AU367,AW367,AY367,BA367),0)))</x:f>
      </x:c>
      <x:c r="BF367" s="10" t="n">
        <x:f>IFERROR((AX367-BB367)/BB367,"")</x:f>
        <x:v>0.41629464285714274</x:v>
      </x:c>
      <x:c r="BG367" s="10" t="n">
        <x:f>IFERROR((AY367-BD367)/BD367,"")</x:f>
        <x:v>0.3774253514581155</x:v>
      </x:c>
    </x:row>
    <x:row r="368">
      <x:c r="A368" t="str"/>
      <x:c r="B368" t="str">
        <x:v>Format Care Plan Due Report</x:v>
      </x:c>
      <x:c r="C368" t="str">
        <x:v>Local raw sheet deleted after archive</x:v>
      </x:c>
      <x:c r="D368" s="8"/>
      <x:c r="E368" s="8"/>
      <x:c r="F368" s="8"/>
      <x:c r="G368" s="8"/>
      <x:c r="H368" s="8"/>
      <x:c r="I368" s="8"/>
      <x:c r="J368" s="8"/>
      <x:c r="K368" s="8"/>
      <x:c r="L368" s="8" t="n">
        <x:v>0.151</x:v>
      </x:c>
      <x:c r="M368" s="8" t="n">
        <x:v>38.31</x:v>
      </x:c>
      <x:c r="N368" s="8" t="n">
        <x:v>0.151</x:v>
      </x:c>
      <x:c r="O368" s="8" t="n">
        <x:v>38.31</x:v>
      </x:c>
      <x:c r="P368" s="8"/>
      <x:c r="Q368" s="8"/>
      <x:c r="R368" s="8"/>
      <x:c r="S368" s="8"/>
      <x:c r="T368" s="8" t="n">
        <x:v>0.128</x:v>
      </x:c>
      <x:c r="U368" s="8" t="n">
        <x:v>26.173</x:v>
      </x:c>
      <x:c r="V368" s="8" t="n">
        <x:v>0.128</x:v>
      </x:c>
      <x:c r="W368" s="8" t="n">
        <x:v>26.173</x:v>
      </x:c>
      <x:c r="X368" s="8"/>
      <x:c r="Y368" s="8"/>
      <x:c r="Z368" s="8"/>
      <x:c r="AA368" s="8"/>
      <x:c r="AB368" s="8"/>
      <x:c r="AC368" s="8"/>
      <x:c r="AD368" s="8"/>
      <x:c r="AE368" s="8"/>
      <x:c r="AF368" s="8" t="n">
        <x:v>0.092</x:v>
      </x:c>
      <x:c r="AG368" s="8" t="n">
        <x:v>21.596</x:v>
      </x:c>
      <x:c r="AH368" s="8" t="n">
        <x:v>0.092</x:v>
      </x:c>
      <x:c r="AI368" s="8" t="n">
        <x:v>21.596</x:v>
      </x:c>
      <x:c r="AJ368" s="8" t="n">
        <x:v>0.093</x:v>
      </x:c>
      <x:c r="AK368" s="8" t="n">
        <x:v>29.251</x:v>
      </x:c>
      <x:c r="AL368" s="8" t="n">
        <x:v>0.093</x:v>
      </x:c>
      <x:c r="AM368" s="8" t="n">
        <x:v>29.251</x:v>
      </x:c>
      <x:c r="AN368" s="8" t="n">
        <x:v>0.103</x:v>
      </x:c>
      <x:c r="AO368" s="8" t="n">
        <x:v>21.095</x:v>
      </x:c>
      <x:c r="AP368" s="8" t="n">
        <x:v>0.103</x:v>
      </x:c>
      <x:c r="AQ368" s="8" t="n">
        <x:v>21.095</x:v>
      </x:c>
      <x:c r="AR368" s="8"/>
      <x:c r="AS368" s="8"/>
      <x:c r="AT368" s="8"/>
      <x:c r="AU368" s="8"/>
      <x:c r="AV368" s="8" t="n">
        <x:v>0.743</x:v>
      </x:c>
      <x:c r="AW368" s="8" t="n">
        <x:v>69.599</x:v>
      </x:c>
      <x:c r="AX368" s="8" t="n">
        <x:v>0.17</x:v>
      </x:c>
      <x:c r="AY368" s="8" t="n">
        <x:v>28.817</x:v>
      </x:c>
      <x:c r="AZ368" s="8" t="n">
        <x:v>0.17</x:v>
      </x:c>
      <x:c r="BA368" s="8" t="n">
        <x:v>28.817</x:v>
      </x:c>
      <x:c r="BB368" s="8" t="n">
        <x:f>LET(m,MIN(IF(D368&gt;0,D368,1E+99),IF(F368&gt;0,F368,1E+99),IF(H368&gt;0,H368,1E+99),IF(J368&gt;0,J368,1E+99),IF(L368&gt;0,L368,1E+99),IF(N368&gt;0,N368,1E+99),IF(P368&gt;0,P368,1E+99),IF(R368&gt;0,R368,1E+99),IF(T368&gt;0,T368,1E+99),IF(V368&gt;0,V368,1E+99),IF(X368&gt;0,X368,1E+99),IF(Z368&gt;0,Z368,1E+99),IF(AB368&gt;0,AB368,1E+99),IF(AD368&gt;0,AD368,1E+99),IF(AF368&gt;0,AF368,1E+99),IF(AH368&gt;0,AH368,1E+99),IF(AJ368&gt;0,AJ368,1E+99),IF(AL368&gt;0,AL368,1E+99),IF(AN368&gt;0,AN368,1E+99),IF(AP368&gt;0,AP368,1E+99),IF(AR368&gt;0,AR368,1E+99),IF(AT368&gt;0,AT368,1E+99),IF(AV368&gt;0,AV368,1E+99),IF(AX368&gt;0,AX368,1E+99),IF(AZ368&gt;0,AZ368,1E+99)),IF(m=1E+99,"",m))</x:f>
        <x:v>0.092</x:v>
      </x:c>
      <x:c r="BC368" s="12" t="e">
        <x:f>IF(BB368="","",INDEX({"v1.4.20","v1.4.20","v1.4.21","v1.4.21","v1.4.23","v1.4.23","v1.4.26","v1.4.26","v1.4.26.1","v1.4.26.1","v1.4.27","v1.4.27","v1.4.29","v1.4.29","v1.4.30","v1.4.30","v1.4.31","v1.4.31","v1.4.33","v1.4.33","v1.4.35","v1.4.35.2","v1.5","v1.5.1","v1.5.1"},MATCH(BB368,CHOOSE({1,2,3,4,5,6,7,8,9,10,11,12,13,14,15,16,17,18,19,20,21,22,23,24,25},D368,F368,H368,J368,L368,N368,P368,R368,T368,V368,X368,Z368,AB368,AD368,AF368,AH368,AJ368,AL368,AN368,AP368,AR368,AT368,AV368,AX368,AZ368),0)))</x:f>
      </x:c>
      <x:c r="BD368" s="14" t="n">
        <x:f>LET(m,MIN(IF(E368&gt;0,E368,1E+99),IF(G368&gt;0,G368,1E+99),IF(I368&gt;0,I368,1E+99),IF(K368&gt;0,K368,1E+99),IF(M368&gt;0,M368,1E+99),IF(O368&gt;0,O368,1E+99),IF(Q368&gt;0,Q368,1E+99),IF(S368&gt;0,S368,1E+99),IF(U368&gt;0,U368,1E+99),IF(W368&gt;0,W368,1E+99),IF(Y368&gt;0,Y368,1E+99),IF(AA368&gt;0,AA368,1E+99),IF(AC368&gt;0,AC368,1E+99),IF(AE368&gt;0,AE368,1E+99),IF(AG368&gt;0,AG368,1E+99),IF(AI368&gt;0,AI368,1E+99),IF(AK368&gt;0,AK368,1E+99),IF(AM368&gt;0,AM368,1E+99),IF(AO368&gt;0,AO368,1E+99),IF(AQ368&gt;0,AQ368,1E+99),IF(AS368&gt;0,AS368,1E+99),IF(AU368&gt;0,AU368,1E+99),IF(AW368&gt;0,AW368,1E+99),IF(AY368&gt;0,AY368,1E+99),IF(BA368&gt;0,BA368,1E+99)),IF(m=1E+99,"",m))</x:f>
        <x:v>21.095</x:v>
      </x:c>
      <x:c r="BE368" s="16" t="e">
        <x:f>IF(BD368="","",INDEX({"v1.4.20","v1.4.20","v1.4.21","v1.4.21","v1.4.23","v1.4.23","v1.4.26","v1.4.26","v1.4.26.1","v1.4.26.1","v1.4.27","v1.4.27","v1.4.29","v1.4.29","v1.4.30","v1.4.30","v1.4.31","v1.4.31","v1.4.33","v1.4.33","v1.4.35","v1.4.35.2","v1.5","v1.5.1","v1.5.1"},MATCH(BD368,CHOOSE({1,2,3,4,5,6,7,8,9,10,11,12,13,14,15,16,17,18,19,20,21,22,23,24,25},E368,G368,I368,K368,M368,O368,Q368,S368,U368,W368,Y368,AA368,AC368,AE368,AG368,AI368,AK368,AM368,AO368,AQ368,AS368,AU368,AW368,AY368,BA368),0)))</x:f>
      </x:c>
      <x:c r="BF368" s="10" t="n">
        <x:f>IFERROR((AX368-BB368)/BB368,"")</x:f>
        <x:v>0.847826086956522</x:v>
      </x:c>
      <x:c r="BG368" s="10" t="n">
        <x:f>IFERROR((AY368-BD368)/BD368,"")</x:f>
        <x:v>0.3660583076558427</x:v>
      </x:c>
    </x:row>
    <x:row r="369">
      <x:c r="A369" t="str"/>
      <x:c r="B369" t="str">
        <x:v>Format Care Plan Due Report</x:v>
      </x:c>
      <x:c r="C369" t="str">
        <x:v>Clear runtime caches</x:v>
      </x:c>
      <x:c r="D369" s="8" t="n">
        <x:v>0.003</x:v>
      </x:c>
      <x:c r="E369" s="8" t="n">
        <x:v>19.846</x:v>
      </x:c>
      <x:c r="F369" s="8" t="n">
        <x:v>0.003</x:v>
      </x:c>
      <x:c r="G369" s="8" t="n">
        <x:v>19.846</x:v>
      </x:c>
      <x:c r="H369" s="8" t="n">
        <x:v>0.003</x:v>
      </x:c>
      <x:c r="I369" s="8" t="n">
        <x:v>24.94</x:v>
      </x:c>
      <x:c r="J369" s="8" t="n">
        <x:v>0.003</x:v>
      </x:c>
      <x:c r="K369" s="8" t="n">
        <x:v>24.94</x:v>
      </x:c>
      <x:c r="L369" s="8" t="n">
        <x:v>0.001</x:v>
      </x:c>
      <x:c r="M369" s="8" t="n">
        <x:v>38.311</x:v>
      </x:c>
      <x:c r="N369" s="8" t="n">
        <x:v>0.001</x:v>
      </x:c>
      <x:c r="O369" s="8" t="n">
        <x:v>38.311</x:v>
      </x:c>
      <x:c r="P369" s="8"/>
      <x:c r="Q369" s="8"/>
      <x:c r="R369" s="8"/>
      <x:c r="S369" s="8"/>
      <x:c r="T369" s="8" t="n">
        <x:v>0.003</x:v>
      </x:c>
      <x:c r="U369" s="8" t="n">
        <x:v>26.176</x:v>
      </x:c>
      <x:c r="V369" s="8" t="n">
        <x:v>0.003</x:v>
      </x:c>
      <x:c r="W369" s="8" t="n">
        <x:v>26.176</x:v>
      </x:c>
      <x:c r="X369" s="8"/>
      <x:c r="Y369" s="8"/>
      <x:c r="Z369" s="8"/>
      <x:c r="AA369" s="8"/>
      <x:c r="AB369" s="8"/>
      <x:c r="AC369" s="8"/>
      <x:c r="AD369" s="8"/>
      <x:c r="AE369" s="8"/>
      <x:c r="AF369" s="8" t="n">
        <x:v>0.001</x:v>
      </x:c>
      <x:c r="AG369" s="8" t="n">
        <x:v>21.597</x:v>
      </x:c>
      <x:c r="AH369" s="8" t="n">
        <x:v>0.001</x:v>
      </x:c>
      <x:c r="AI369" s="8" t="n">
        <x:v>21.597</x:v>
      </x:c>
      <x:c r="AJ369" s="8" t="n">
        <x:v>0.001</x:v>
      </x:c>
      <x:c r="AK369" s="8" t="n">
        <x:v>29.252</x:v>
      </x:c>
      <x:c r="AL369" s="8" t="n">
        <x:v>0.001</x:v>
      </x:c>
      <x:c r="AM369" s="8" t="n">
        <x:v>29.252</x:v>
      </x:c>
      <x:c r="AN369" s="8" t="n">
        <x:v>0.002</x:v>
      </x:c>
      <x:c r="AO369" s="8" t="n">
        <x:v>21.097</x:v>
      </x:c>
      <x:c r="AP369" s="8" t="n">
        <x:v>0.002</x:v>
      </x:c>
      <x:c r="AQ369" s="8" t="n">
        <x:v>21.097</x:v>
      </x:c>
      <x:c r="AR369" s="8"/>
      <x:c r="AS369" s="8"/>
      <x:c r="AT369" s="8"/>
      <x:c r="AU369" s="8"/>
      <x:c r="AV369" s="8" t="n">
        <x:v>0.001</x:v>
      </x:c>
      <x:c r="AW369" s="8" t="n">
        <x:v>69.6</x:v>
      </x:c>
      <x:c r="AX369" s="8" t="n">
        <x:v>0.002</x:v>
      </x:c>
      <x:c r="AY369" s="8" t="n">
        <x:v>28.819</x:v>
      </x:c>
      <x:c r="AZ369" s="8" t="n">
        <x:v>0.002</x:v>
      </x:c>
      <x:c r="BA369" s="8" t="n">
        <x:v>28.819</x:v>
      </x:c>
      <x:c r="BB369" s="8" t="n">
        <x:f>LET(m,MIN(IF(D369&gt;0,D369,1E+99),IF(F369&gt;0,F369,1E+99),IF(H369&gt;0,H369,1E+99),IF(J369&gt;0,J369,1E+99),IF(L369&gt;0,L369,1E+99),IF(N369&gt;0,N369,1E+99),IF(P369&gt;0,P369,1E+99),IF(R369&gt;0,R369,1E+99),IF(T369&gt;0,T369,1E+99),IF(V369&gt;0,V369,1E+99),IF(X369&gt;0,X369,1E+99),IF(Z369&gt;0,Z369,1E+99),IF(AB369&gt;0,AB369,1E+99),IF(AD369&gt;0,AD369,1E+99),IF(AF369&gt;0,AF369,1E+99),IF(AH369&gt;0,AH369,1E+99),IF(AJ369&gt;0,AJ369,1E+99),IF(AL369&gt;0,AL369,1E+99),IF(AN369&gt;0,AN369,1E+99),IF(AP369&gt;0,AP369,1E+99),IF(AR369&gt;0,AR369,1E+99),IF(AT369&gt;0,AT369,1E+99),IF(AV369&gt;0,AV369,1E+99),IF(AX369&gt;0,AX369,1E+99),IF(AZ369&gt;0,AZ369,1E+99)),IF(m=1E+99,"",m))</x:f>
        <x:v>0.001</x:v>
      </x:c>
      <x:c r="BC369" s="12" t="e">
        <x:f>IF(BB369="","",INDEX({"v1.4.20","v1.4.20","v1.4.21","v1.4.21","v1.4.23","v1.4.23","v1.4.26","v1.4.26","v1.4.26.1","v1.4.26.1","v1.4.27","v1.4.27","v1.4.29","v1.4.29","v1.4.30","v1.4.30","v1.4.31","v1.4.31","v1.4.33","v1.4.33","v1.4.35","v1.4.35.2","v1.5","v1.5.1","v1.5.1"},MATCH(BB369,CHOOSE({1,2,3,4,5,6,7,8,9,10,11,12,13,14,15,16,17,18,19,20,21,22,23,24,25},D369,F369,H369,J369,L369,N369,P369,R369,T369,V369,X369,Z369,AB369,AD369,AF369,AH369,AJ369,AL369,AN369,AP369,AR369,AT369,AV369,AX369,AZ369),0)))</x:f>
      </x:c>
      <x:c r="BD369" s="14" t="n">
        <x:f>LET(m,MIN(IF(E369&gt;0,E369,1E+99),IF(G369&gt;0,G369,1E+99),IF(I369&gt;0,I369,1E+99),IF(K369&gt;0,K369,1E+99),IF(M369&gt;0,M369,1E+99),IF(O369&gt;0,O369,1E+99),IF(Q369&gt;0,Q369,1E+99),IF(S369&gt;0,S369,1E+99),IF(U369&gt;0,U369,1E+99),IF(W369&gt;0,W369,1E+99),IF(Y369&gt;0,Y369,1E+99),IF(AA369&gt;0,AA369,1E+99),IF(AC369&gt;0,AC369,1E+99),IF(AE369&gt;0,AE369,1E+99),IF(AG369&gt;0,AG369,1E+99),IF(AI369&gt;0,AI369,1E+99),IF(AK369&gt;0,AK369,1E+99),IF(AM369&gt;0,AM369,1E+99),IF(AO369&gt;0,AO369,1E+99),IF(AQ369&gt;0,AQ369,1E+99),IF(AS369&gt;0,AS369,1E+99),IF(AU369&gt;0,AU369,1E+99),IF(AW369&gt;0,AW369,1E+99),IF(AY369&gt;0,AY369,1E+99),IF(BA369&gt;0,BA369,1E+99)),IF(m=1E+99,"",m))</x:f>
        <x:v>19.846</x:v>
      </x:c>
      <x:c r="BE369" s="16" t="str">
        <x:f>IF(BD369="","",INDEX({"v1.4.20","v1.4.20","v1.4.21","v1.4.21","v1.4.23","v1.4.23","v1.4.26","v1.4.26","v1.4.26.1","v1.4.26.1","v1.4.27","v1.4.27","v1.4.29","v1.4.29","v1.4.30","v1.4.30","v1.4.31","v1.4.31","v1.4.33","v1.4.33","v1.4.35","v1.4.35.2","v1.5","v1.5.1","v1.5.1"},MATCH(BD369,CHOOSE({1,2,3,4,5,6,7,8,9,10,11,12,13,14,15,16,17,18,19,20,21,22,23,24,25},E369,G369,I369,K369,M369,O369,Q369,S369,U369,W369,Y369,AA369,AC369,AE369,AG369,AI369,AK369,AM369,AO369,AQ369,AS369,AU369,AW369,AY369,BA369),0)))</x:f>
        <x:v>v1.4.20</x:v>
      </x:c>
      <x:c r="BF369" s="10" t="n">
        <x:f>IFERROR((AX369-BB369)/BB369,"")</x:f>
        <x:v>1</x:v>
      </x:c>
      <x:c r="BG369" s="10" t="n">
        <x:f>IFERROR((AY369-BD369)/BD369,"")</x:f>
        <x:v>0.4521314118714098</x:v>
      </x:c>
    </x:row>
    <x:row r="370">
      <x:c r="A370" t="str"/>
      <x:c r="B370" t="str">
        <x:v>Format Care Plan Due Report</x:v>
      </x:c>
      <x:c r="C370" t="str">
        <x:v>Complete</x:v>
      </x:c>
      <x:c r="D370" s="8"/>
      <x:c r="E370" s="8"/>
      <x:c r="F370" s="8"/>
      <x:c r="G370" s="8"/>
      <x:c r="H370" s="8"/>
      <x:c r="I370" s="8"/>
      <x:c r="J370" s="8"/>
      <x:c r="K370" s="8"/>
      <x:c r="L370" s="8" t="n">
        <x:v>1.277</x:v>
      </x:c>
      <x:c r="M370" s="8" t="n">
        <x:v>39.588</x:v>
      </x:c>
      <x:c r="N370" s="8" t="n">
        <x:v>1.277</x:v>
      </x:c>
      <x:c r="O370" s="8" t="n">
        <x:v>39.588</x:v>
      </x:c>
      <x:c r="P370" s="8"/>
      <x:c r="Q370" s="8"/>
      <x:c r="R370" s="8"/>
      <x:c r="S370" s="8"/>
      <x:c r="T370" s="8" t="n">
        <x:v>1.19</x:v>
      </x:c>
      <x:c r="U370" s="8" t="n">
        <x:v>27.366</x:v>
      </x:c>
      <x:c r="V370" s="8" t="n">
        <x:v>1.19</x:v>
      </x:c>
      <x:c r="W370" s="8" t="n">
        <x:v>27.366</x:v>
      </x:c>
      <x:c r="X370" s="8"/>
      <x:c r="Y370" s="8"/>
      <x:c r="Z370" s="8"/>
      <x:c r="AA370" s="8"/>
      <x:c r="AB370" s="8"/>
      <x:c r="AC370" s="8"/>
      <x:c r="AD370" s="8"/>
      <x:c r="AE370" s="8"/>
      <x:c r="AF370" s="8" t="n">
        <x:v>1.456</x:v>
      </x:c>
      <x:c r="AG370" s="8" t="n">
        <x:v>23.053</x:v>
      </x:c>
      <x:c r="AH370" s="8" t="n">
        <x:v>1.456</x:v>
      </x:c>
      <x:c r="AI370" s="8" t="n">
        <x:v>23.053</x:v>
      </x:c>
      <x:c r="AJ370" s="8" t="n">
        <x:v>1.008</x:v>
      </x:c>
      <x:c r="AK370" s="8" t="n">
        <x:v>30.26</x:v>
      </x:c>
      <x:c r="AL370" s="8" t="n">
        <x:v>1.008</x:v>
      </x:c>
      <x:c r="AM370" s="8" t="n">
        <x:v>30.26</x:v>
      </x:c>
      <x:c r="AN370" s="8" t="n">
        <x:v>0.555</x:v>
      </x:c>
      <x:c r="AO370" s="8" t="n">
        <x:v>21.652</x:v>
      </x:c>
      <x:c r="AP370" s="8" t="n">
        <x:v>0.555</x:v>
      </x:c>
      <x:c r="AQ370" s="8" t="n">
        <x:v>21.652</x:v>
      </x:c>
      <x:c r="AR370" s="8"/>
      <x:c r="AS370" s="8"/>
      <x:c r="AT370" s="8"/>
      <x:c r="AU370" s="8"/>
      <x:c r="AV370" s="8" t="n">
        <x:v>0.813</x:v>
      </x:c>
      <x:c r="AW370" s="8" t="n">
        <x:v>70.413</x:v>
      </x:c>
      <x:c r="AX370" s="8" t="n">
        <x:v>0.799</x:v>
      </x:c>
      <x:c r="AY370" s="8" t="n">
        <x:v>29.618</x:v>
      </x:c>
      <x:c r="AZ370" s="8" t="n">
        <x:v>0.799</x:v>
      </x:c>
      <x:c r="BA370" s="8" t="n">
        <x:v>29.618</x:v>
      </x:c>
      <x:c r="BB370" s="8" t="n">
        <x:f>LET(m,MIN(IF(D370&gt;0,D370,1E+99),IF(F370&gt;0,F370,1E+99),IF(H370&gt;0,H370,1E+99),IF(J370&gt;0,J370,1E+99),IF(L370&gt;0,L370,1E+99),IF(N370&gt;0,N370,1E+99),IF(P370&gt;0,P370,1E+99),IF(R370&gt;0,R370,1E+99),IF(T370&gt;0,T370,1E+99),IF(V370&gt;0,V370,1E+99),IF(X370&gt;0,X370,1E+99),IF(Z370&gt;0,Z370,1E+99),IF(AB370&gt;0,AB370,1E+99),IF(AD370&gt;0,AD370,1E+99),IF(AF370&gt;0,AF370,1E+99),IF(AH370&gt;0,AH370,1E+99),IF(AJ370&gt;0,AJ370,1E+99),IF(AL370&gt;0,AL370,1E+99),IF(AN370&gt;0,AN370,1E+99),IF(AP370&gt;0,AP370,1E+99),IF(AR370&gt;0,AR370,1E+99),IF(AT370&gt;0,AT370,1E+99),IF(AV370&gt;0,AV370,1E+99),IF(AX370&gt;0,AX370,1E+99),IF(AZ370&gt;0,AZ370,1E+99)),IF(m=1E+99,"",m))</x:f>
        <x:v>0.555</x:v>
      </x:c>
      <x:c r="BC370" s="12" t="e">
        <x:f>IF(BB370="","",INDEX({"v1.4.20","v1.4.20","v1.4.21","v1.4.21","v1.4.23","v1.4.23","v1.4.26","v1.4.26","v1.4.26.1","v1.4.26.1","v1.4.27","v1.4.27","v1.4.29","v1.4.29","v1.4.30","v1.4.30","v1.4.31","v1.4.31","v1.4.33","v1.4.33","v1.4.35","v1.4.35.2","v1.5","v1.5.1","v1.5.1"},MATCH(BB370,CHOOSE({1,2,3,4,5,6,7,8,9,10,11,12,13,14,15,16,17,18,19,20,21,22,23,24,25},D370,F370,H370,J370,L370,N370,P370,R370,T370,V370,X370,Z370,AB370,AD370,AF370,AH370,AJ370,AL370,AN370,AP370,AR370,AT370,AV370,AX370,AZ370),0)))</x:f>
      </x:c>
      <x:c r="BD370" s="14" t="n">
        <x:f>LET(m,MIN(IF(E370&gt;0,E370,1E+99),IF(G370&gt;0,G370,1E+99),IF(I370&gt;0,I370,1E+99),IF(K370&gt;0,K370,1E+99),IF(M370&gt;0,M370,1E+99),IF(O370&gt;0,O370,1E+99),IF(Q370&gt;0,Q370,1E+99),IF(S370&gt;0,S370,1E+99),IF(U370&gt;0,U370,1E+99),IF(W370&gt;0,W370,1E+99),IF(Y370&gt;0,Y370,1E+99),IF(AA370&gt;0,AA370,1E+99),IF(AC370&gt;0,AC370,1E+99),IF(AE370&gt;0,AE370,1E+99),IF(AG370&gt;0,AG370,1E+99),IF(AI370&gt;0,AI370,1E+99),IF(AK370&gt;0,AK370,1E+99),IF(AM370&gt;0,AM370,1E+99),IF(AO370&gt;0,AO370,1E+99),IF(AQ370&gt;0,AQ370,1E+99),IF(AS370&gt;0,AS370,1E+99),IF(AU370&gt;0,AU370,1E+99),IF(AW370&gt;0,AW370,1E+99),IF(AY370&gt;0,AY370,1E+99),IF(BA370&gt;0,BA370,1E+99)),IF(m=1E+99,"",m))</x:f>
        <x:v>21.652</x:v>
      </x:c>
      <x:c r="BE370" s="16" t="e">
        <x:f>IF(BD370="","",INDEX({"v1.4.20","v1.4.20","v1.4.21","v1.4.21","v1.4.23","v1.4.23","v1.4.26","v1.4.26","v1.4.26.1","v1.4.26.1","v1.4.27","v1.4.27","v1.4.29","v1.4.29","v1.4.30","v1.4.30","v1.4.31","v1.4.31","v1.4.33","v1.4.33","v1.4.35","v1.4.35.2","v1.5","v1.5.1","v1.5.1"},MATCH(BD370,CHOOSE({1,2,3,4,5,6,7,8,9,10,11,12,13,14,15,16,17,18,19,20,21,22,23,24,25},E370,G370,I370,K370,M370,O370,Q370,S370,U370,W370,Y370,AA370,AC370,AE370,AG370,AI370,AK370,AM370,AO370,AQ370,AS370,AU370,AW370,AY370,BA370),0)))</x:f>
      </x:c>
      <x:c r="BF370" s="10" t="n">
        <x:f>IFERROR((AX370-BB370)/BB370,"")</x:f>
        <x:v>0.4396396396396396</x:v>
      </x:c>
      <x:c r="BG370" s="10" t="n">
        <x:f>IFERROR((AY370-BD370)/BD370,"")</x:f>
        <x:v>0.36791058562719364</x:v>
      </x:c>
    </x:row>
    <x:row r="371">
      <x:c r="A371" t="str"/>
      <x:c r="B371" t="str">
        <x:v>Format Care Plan Due Report</x:v>
      </x:c>
      <x:c r="C371" t="str">
        <x:v>Apply dashboard template formatting</x:v>
      </x:c>
      <x:c r="D371" s="8" t="n">
        <x:v>2.209</x:v>
      </x:c>
      <x:c r="E371" s="8" t="n">
        <x:v>19.271</x:v>
      </x:c>
      <x:c r="F371" s="8" t="n">
        <x:v>2.209</x:v>
      </x:c>
      <x:c r="G371" s="8" t="n">
        <x:v>19.271</x:v>
      </x:c>
      <x:c r="H371" s="8" t="n">
        <x:v>4.157</x:v>
      </x:c>
      <x:c r="I371" s="8" t="n">
        <x:v>24.108</x:v>
      </x:c>
      <x:c r="J371" s="8" t="n">
        <x:v>4.157</x:v>
      </x:c>
      <x:c r="K371" s="8" t="n">
        <x:v>24.108</x:v>
      </x:c>
      <x:c r="L371" s="8"/>
      <x:c r="M371" s="8"/>
      <x:c r="N371" s="8"/>
      <x:c r="O371" s="8"/>
      <x:c r="P371" s="8"/>
      <x:c r="Q371" s="8"/>
      <x:c r="R371" s="8"/>
      <x:c r="S371" s="8"/>
      <x:c r="T371" s="8"/>
      <x:c r="U371" s="8"/>
      <x:c r="V371" s="8"/>
      <x:c r="W371" s="8"/>
      <x:c r="X371" s="8"/>
      <x:c r="Y371" s="8"/>
      <x:c r="Z371" s="8"/>
      <x:c r="AA371" s="8"/>
      <x:c r="AB371" s="8"/>
      <x:c r="AC371" s="8"/>
      <x:c r="AD371" s="8"/>
      <x:c r="AE371" s="8"/>
      <x:c r="AF371" s="8"/>
      <x:c r="AG371" s="8"/>
      <x:c r="AH371" s="8"/>
      <x:c r="AI371" s="8"/>
      <x:c r="AJ371" s="8"/>
      <x:c r="AK371" s="8"/>
      <x:c r="AL371" s="8"/>
      <x:c r="AM371" s="8"/>
      <x:c r="AN371" s="8"/>
      <x:c r="AO371" s="8"/>
      <x:c r="AP371" s="8"/>
      <x:c r="AQ371" s="8"/>
      <x:c r="AR371" s="8"/>
      <x:c r="AS371" s="8"/>
      <x:c r="AT371" s="8"/>
      <x:c r="AU371" s="8"/>
      <x:c r="AV371" s="8"/>
      <x:c r="AW371" s="8"/>
      <x:c r="AX371" s="8"/>
      <x:c r="AY371" s="8"/>
      <x:c r="AZ371" s="8"/>
      <x:c r="BA371" s="8"/>
      <x:c r="BB371" s="8" t="n">
        <x:f>LET(m,MIN(IF(D371&gt;0,D371,1E+99),IF(F371&gt;0,F371,1E+99),IF(H371&gt;0,H371,1E+99),IF(J371&gt;0,J371,1E+99),IF(L371&gt;0,L371,1E+99),IF(N371&gt;0,N371,1E+99),IF(P371&gt;0,P371,1E+99),IF(R371&gt;0,R371,1E+99),IF(T371&gt;0,T371,1E+99),IF(V371&gt;0,V371,1E+99),IF(X371&gt;0,X371,1E+99),IF(Z371&gt;0,Z371,1E+99),IF(AB371&gt;0,AB371,1E+99),IF(AD371&gt;0,AD371,1E+99),IF(AF371&gt;0,AF371,1E+99),IF(AH371&gt;0,AH371,1E+99),IF(AJ371&gt;0,AJ371,1E+99),IF(AL371&gt;0,AL371,1E+99),IF(AN371&gt;0,AN371,1E+99),IF(AP371&gt;0,AP371,1E+99),IF(AR371&gt;0,AR371,1E+99),IF(AT371&gt;0,AT371,1E+99),IF(AV371&gt;0,AV371,1E+99),IF(AX371&gt;0,AX371,1E+99),IF(AZ371&gt;0,AZ371,1E+99)),IF(m=1E+99,"",m))</x:f>
        <x:v>2.209</x:v>
      </x:c>
      <x:c r="BC371" s="12" t="str">
        <x:f>IF(BB371="","",INDEX({"v1.4.20","v1.4.20","v1.4.21","v1.4.21","v1.4.23","v1.4.23","v1.4.26","v1.4.26","v1.4.26.1","v1.4.26.1","v1.4.27","v1.4.27","v1.4.29","v1.4.29","v1.4.30","v1.4.30","v1.4.31","v1.4.31","v1.4.33","v1.4.33","v1.4.35","v1.4.35.2","v1.5","v1.5.1","v1.5.1"},MATCH(BB371,CHOOSE({1,2,3,4,5,6,7,8,9,10,11,12,13,14,15,16,17,18,19,20,21,22,23,24,25},D371,F371,H371,J371,L371,N371,P371,R371,T371,V371,X371,Z371,AB371,AD371,AF371,AH371,AJ371,AL371,AN371,AP371,AR371,AT371,AV371,AX371,AZ371),0)))</x:f>
        <x:v>v1.4.20</x:v>
      </x:c>
      <x:c r="BD371" s="14" t="n">
        <x:f>LET(m,MIN(IF(E371&gt;0,E371,1E+99),IF(G371&gt;0,G371,1E+99),IF(I371&gt;0,I371,1E+99),IF(K371&gt;0,K371,1E+99),IF(M371&gt;0,M371,1E+99),IF(O371&gt;0,O371,1E+99),IF(Q371&gt;0,Q371,1E+99),IF(S371&gt;0,S371,1E+99),IF(U371&gt;0,U371,1E+99),IF(W371&gt;0,W371,1E+99),IF(Y371&gt;0,Y371,1E+99),IF(AA371&gt;0,AA371,1E+99),IF(AC371&gt;0,AC371,1E+99),IF(AE371&gt;0,AE371,1E+99),IF(AG371&gt;0,AG371,1E+99),IF(AI371&gt;0,AI371,1E+99),IF(AK371&gt;0,AK371,1E+99),IF(AM371&gt;0,AM371,1E+99),IF(AO371&gt;0,AO371,1E+99),IF(AQ371&gt;0,AQ371,1E+99),IF(AS371&gt;0,AS371,1E+99),IF(AU371&gt;0,AU371,1E+99),IF(AW371&gt;0,AW371,1E+99),IF(AY371&gt;0,AY371,1E+99),IF(BA371&gt;0,BA371,1E+99)),IF(m=1E+99,"",m))</x:f>
        <x:v>19.271</x:v>
      </x:c>
      <x:c r="BE371" s="16" t="str">
        <x:f>IF(BD371="","",INDEX({"v1.4.20","v1.4.20","v1.4.21","v1.4.21","v1.4.23","v1.4.23","v1.4.26","v1.4.26","v1.4.26.1","v1.4.26.1","v1.4.27","v1.4.27","v1.4.29","v1.4.29","v1.4.30","v1.4.30","v1.4.31","v1.4.31","v1.4.33","v1.4.33","v1.4.35","v1.4.35.2","v1.5","v1.5.1","v1.5.1"},MATCH(BD371,CHOOSE({1,2,3,4,5,6,7,8,9,10,11,12,13,14,15,16,17,18,19,20,21,22,23,24,25},E371,G371,I371,K371,M371,O371,Q371,S371,U371,W371,Y371,AA371,AC371,AE371,AG371,AI371,AK371,AM371,AO371,AQ371,AS371,AU371,AW371,AY371,BA371),0)))</x:f>
        <x:v>v1.4.20</x:v>
      </x:c>
      <x:c r="BF371" s="10" t="n">
        <x:f>IFERROR((AX371-BB371)/BB371,"")</x:f>
        <x:v>-1</x:v>
      </x:c>
      <x:c r="BG371" s="10" t="n">
        <x:f>IFERROR((AY371-BD371)/BD371,"")</x:f>
        <x:v>-1</x:v>
      </x:c>
    </x:row>
    <x:row r="372">
      <x:c r="A372" t="str"/>
      <x:c r="B372" t="str">
        <x:v>Format Care Plan Due Report</x:v>
      </x:c>
      <x:c r="C372" t="str">
        <x:v>ERROR - Sheet 1897249406 not found</x:v>
      </x:c>
      <x:c r="D372" s="8"/>
      <x:c r="E372" s="8"/>
      <x:c r="F372" s="8"/>
      <x:c r="G372" s="8"/>
      <x:c r="H372" s="8"/>
      <x:c r="I372" s="8"/>
      <x:c r="J372" s="8"/>
      <x:c r="K372" s="8"/>
      <x:c r="L372" s="8"/>
      <x:c r="M372" s="8"/>
      <x:c r="N372" s="8"/>
      <x:c r="O372" s="8"/>
      <x:c r="P372" s="8"/>
      <x:c r="Q372" s="8"/>
      <x:c r="R372" s="8"/>
      <x:c r="S372" s="8"/>
      <x:c r="T372" s="8"/>
      <x:c r="U372" s="8"/>
      <x:c r="V372" s="8"/>
      <x:c r="W372" s="8"/>
      <x:c r="X372" s="8"/>
      <x:c r="Y372" s="8"/>
      <x:c r="Z372" s="8"/>
      <x:c r="AA372" s="8"/>
      <x:c r="AB372" s="8"/>
      <x:c r="AC372" s="8"/>
      <x:c r="AD372" s="8"/>
      <x:c r="AE372" s="8"/>
      <x:c r="AF372" s="8"/>
      <x:c r="AG372" s="8"/>
      <x:c r="AH372" s="8"/>
      <x:c r="AI372" s="8"/>
      <x:c r="AJ372" s="8"/>
      <x:c r="AK372" s="8"/>
      <x:c r="AL372" s="8"/>
      <x:c r="AM372" s="8"/>
      <x:c r="AN372" s="8"/>
      <x:c r="AO372" s="8"/>
      <x:c r="AP372" s="8"/>
      <x:c r="AQ372" s="8"/>
      <x:c r="AR372" s="8"/>
      <x:c r="AS372" s="8"/>
      <x:c r="AT372" s="8" t="n">
        <x:v>0.005</x:v>
      </x:c>
      <x:c r="AU372" s="8" t="n">
        <x:v>28.836</x:v>
      </x:c>
      <x:c r="AV372" s="8"/>
      <x:c r="AW372" s="8"/>
      <x:c r="AX372" s="8"/>
      <x:c r="AY372" s="8"/>
      <x:c r="AZ372" s="8"/>
      <x:c r="BA372" s="8"/>
      <x:c r="BB372" s="8" t="n">
        <x:f>LET(m,MIN(IF(D372&gt;0,D372,1E+99),IF(F372&gt;0,F372,1E+99),IF(H372&gt;0,H372,1E+99),IF(J372&gt;0,J372,1E+99),IF(L372&gt;0,L372,1E+99),IF(N372&gt;0,N372,1E+99),IF(P372&gt;0,P372,1E+99),IF(R372&gt;0,R372,1E+99),IF(T372&gt;0,T372,1E+99),IF(V372&gt;0,V372,1E+99),IF(X372&gt;0,X372,1E+99),IF(Z372&gt;0,Z372,1E+99),IF(AB372&gt;0,AB372,1E+99),IF(AD372&gt;0,AD372,1E+99),IF(AF372&gt;0,AF372,1E+99),IF(AH372&gt;0,AH372,1E+99),IF(AJ372&gt;0,AJ372,1E+99),IF(AL372&gt;0,AL372,1E+99),IF(AN372&gt;0,AN372,1E+99),IF(AP372&gt;0,AP372,1E+99),IF(AR372&gt;0,AR372,1E+99),IF(AT372&gt;0,AT372,1E+99),IF(AV372&gt;0,AV372,1E+99),IF(AX372&gt;0,AX372,1E+99),IF(AZ372&gt;0,AZ372,1E+99)),IF(m=1E+99,"",m))</x:f>
        <x:v>0.005</x:v>
      </x:c>
      <x:c r="BC372" s="12" t="e">
        <x:f>IF(BB372="","",INDEX({"v1.4.20","v1.4.20","v1.4.21","v1.4.21","v1.4.23","v1.4.23","v1.4.26","v1.4.26","v1.4.26.1","v1.4.26.1","v1.4.27","v1.4.27","v1.4.29","v1.4.29","v1.4.30","v1.4.30","v1.4.31","v1.4.31","v1.4.33","v1.4.33","v1.4.35","v1.4.35.2","v1.5","v1.5.1","v1.5.1"},MATCH(BB372,CHOOSE({1,2,3,4,5,6,7,8,9,10,11,12,13,14,15,16,17,18,19,20,21,22,23,24,25},D372,F372,H372,J372,L372,N372,P372,R372,T372,V372,X372,Z372,AB372,AD372,AF372,AH372,AJ372,AL372,AN372,AP372,AR372,AT372,AV372,AX372,AZ372),0)))</x:f>
      </x:c>
      <x:c r="BD372" s="14" t="n">
        <x:f>LET(m,MIN(IF(E372&gt;0,E372,1E+99),IF(G372&gt;0,G372,1E+99),IF(I372&gt;0,I372,1E+99),IF(K372&gt;0,K372,1E+99),IF(M372&gt;0,M372,1E+99),IF(O372&gt;0,O372,1E+99),IF(Q372&gt;0,Q372,1E+99),IF(S372&gt;0,S372,1E+99),IF(U372&gt;0,U372,1E+99),IF(W372&gt;0,W372,1E+99),IF(Y372&gt;0,Y372,1E+99),IF(AA372&gt;0,AA372,1E+99),IF(AC372&gt;0,AC372,1E+99),IF(AE372&gt;0,AE372,1E+99),IF(AG372&gt;0,AG372,1E+99),IF(AI372&gt;0,AI372,1E+99),IF(AK372&gt;0,AK372,1E+99),IF(AM372&gt;0,AM372,1E+99),IF(AO372&gt;0,AO372,1E+99),IF(AQ372&gt;0,AQ372,1E+99),IF(AS372&gt;0,AS372,1E+99),IF(AU372&gt;0,AU372,1E+99),IF(AW372&gt;0,AW372,1E+99),IF(AY372&gt;0,AY372,1E+99),IF(BA372&gt;0,BA372,1E+99)),IF(m=1E+99,"",m))</x:f>
        <x:v>28.836</x:v>
      </x:c>
      <x:c r="BE372" s="16" t="e">
        <x:f>IF(BD372="","",INDEX({"v1.4.20","v1.4.20","v1.4.21","v1.4.21","v1.4.23","v1.4.23","v1.4.26","v1.4.26","v1.4.26.1","v1.4.26.1","v1.4.27","v1.4.27","v1.4.29","v1.4.29","v1.4.30","v1.4.30","v1.4.31","v1.4.31","v1.4.33","v1.4.33","v1.4.35","v1.4.35.2","v1.5","v1.5.1","v1.5.1"},MATCH(BD372,CHOOSE({1,2,3,4,5,6,7,8,9,10,11,12,13,14,15,16,17,18,19,20,21,22,23,24,25},E372,G372,I372,K372,M372,O372,Q372,S372,U372,W372,Y372,AA372,AC372,AE372,AG372,AI372,AK372,AM372,AO372,AQ372,AS372,AU372,AW372,AY372,BA372),0)))</x:f>
      </x:c>
      <x:c r="BF372" s="10" t="n">
        <x:f>IFERROR((AX372-BB372)/BB372,"")</x:f>
        <x:v>-1</x:v>
      </x:c>
      <x:c r="BG372" s="10" t="n">
        <x:f>IFERROR((AY372-BD372)/BD372,"")</x:f>
        <x:v>-1</x:v>
      </x:c>
    </x:row>
    <x:row r="373">
      <x:c r="A373" t="str"/>
      <x:c r="B373" t="str">
        <x:v>Format Care Plan Due Report</x:v>
      </x:c>
      <x:c r="C373" t="str">
        <x:v>ERROR - applyFinalRowHeightLock_ is not defined</x:v>
      </x:c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8"/>
      <x:c r="O373" s="8"/>
      <x:c r="P373" s="8" t="n">
        <x:v>7.083</x:v>
      </x:c>
      <x:c r="Q373" s="8" t="n">
        <x:v>19.938</x:v>
      </x:c>
      <x:c r="R373" s="8" t="n">
        <x:v>7.083</x:v>
      </x:c>
      <x:c r="S373" s="8" t="n">
        <x:v>19.938</x:v>
      </x:c>
      <x:c r="T373" s="8"/>
      <x:c r="U373" s="8"/>
      <x:c r="V373" s="8"/>
      <x:c r="W373" s="8"/>
      <x:c r="X373" s="8" t="n">
        <x:v>10.909</x:v>
      </x:c>
      <x:c r="Y373" s="8" t="n">
        <x:v>22.791</x:v>
      </x:c>
      <x:c r="Z373" s="8" t="n">
        <x:v>10.909</x:v>
      </x:c>
      <x:c r="AA373" s="8" t="n">
        <x:v>22.791</x:v>
      </x:c>
      <x:c r="AB373" s="8" t="n">
        <x:v>11.397</x:v>
      </x:c>
      <x:c r="AC373" s="8" t="n">
        <x:v>23.685</x:v>
      </x:c>
      <x:c r="AD373" s="8" t="n">
        <x:v>11.397</x:v>
      </x:c>
      <x:c r="AE373" s="8" t="n">
        <x:v>23.685</x:v>
      </x:c>
      <x:c r="AF373" s="8"/>
      <x:c r="AG373" s="8"/>
      <x:c r="AH373" s="8"/>
      <x:c r="AI373" s="8"/>
      <x:c r="AJ373" s="8"/>
      <x:c r="AK373" s="8"/>
      <x:c r="AL373" s="8"/>
      <x:c r="AM373" s="8"/>
      <x:c r="AN373" s="8"/>
      <x:c r="AO373" s="8"/>
      <x:c r="AP373" s="8"/>
      <x:c r="AQ373" s="8"/>
      <x:c r="AR373" s="8"/>
      <x:c r="AS373" s="8"/>
      <x:c r="AT373" s="8"/>
      <x:c r="AU373" s="8"/>
      <x:c r="AV373" s="8"/>
      <x:c r="AW373" s="8"/>
      <x:c r="AX373" s="8"/>
      <x:c r="AY373" s="8"/>
      <x:c r="AZ373" s="8"/>
      <x:c r="BA373" s="8"/>
      <x:c r="BB373" s="8" t="n">
        <x:f>LET(m,MIN(IF(D373&gt;0,D373,1E+99),IF(F373&gt;0,F373,1E+99),IF(H373&gt;0,H373,1E+99),IF(J373&gt;0,J373,1E+99),IF(L373&gt;0,L373,1E+99),IF(N373&gt;0,N373,1E+99),IF(P373&gt;0,P373,1E+99),IF(R373&gt;0,R373,1E+99),IF(T373&gt;0,T373,1E+99),IF(V373&gt;0,V373,1E+99),IF(X373&gt;0,X373,1E+99),IF(Z373&gt;0,Z373,1E+99),IF(AB373&gt;0,AB373,1E+99),IF(AD373&gt;0,AD373,1E+99),IF(AF373&gt;0,AF373,1E+99),IF(AH373&gt;0,AH373,1E+99),IF(AJ373&gt;0,AJ373,1E+99),IF(AL373&gt;0,AL373,1E+99),IF(AN373&gt;0,AN373,1E+99),IF(AP373&gt;0,AP373,1E+99),IF(AR373&gt;0,AR373,1E+99),IF(AT373&gt;0,AT373,1E+99),IF(AV373&gt;0,AV373,1E+99),IF(AX373&gt;0,AX373,1E+99),IF(AZ373&gt;0,AZ373,1E+99)),IF(m=1E+99,"",m))</x:f>
        <x:v>7.083</x:v>
      </x:c>
      <x:c r="BC373" s="12" t="e">
        <x:f>IF(BB373="","",INDEX({"v1.4.20","v1.4.20","v1.4.21","v1.4.21","v1.4.23","v1.4.23","v1.4.26","v1.4.26","v1.4.26.1","v1.4.26.1","v1.4.27","v1.4.27","v1.4.29","v1.4.29","v1.4.30","v1.4.30","v1.4.31","v1.4.31","v1.4.33","v1.4.33","v1.4.35","v1.4.35.2","v1.5","v1.5.1","v1.5.1"},MATCH(BB373,CHOOSE({1,2,3,4,5,6,7,8,9,10,11,12,13,14,15,16,17,18,19,20,21,22,23,24,25},D373,F373,H373,J373,L373,N373,P373,R373,T373,V373,X373,Z373,AB373,AD373,AF373,AH373,AJ373,AL373,AN373,AP373,AR373,AT373,AV373,AX373,AZ373),0)))</x:f>
      </x:c>
      <x:c r="BD373" s="14" t="n">
        <x:f>LET(m,MIN(IF(E373&gt;0,E373,1E+99),IF(G373&gt;0,G373,1E+99),IF(I373&gt;0,I373,1E+99),IF(K373&gt;0,K373,1E+99),IF(M373&gt;0,M373,1E+99),IF(O373&gt;0,O373,1E+99),IF(Q373&gt;0,Q373,1E+99),IF(S373&gt;0,S373,1E+99),IF(U373&gt;0,U373,1E+99),IF(W373&gt;0,W373,1E+99),IF(Y373&gt;0,Y373,1E+99),IF(AA373&gt;0,AA373,1E+99),IF(AC373&gt;0,AC373,1E+99),IF(AE373&gt;0,AE373,1E+99),IF(AG373&gt;0,AG373,1E+99),IF(AI373&gt;0,AI373,1E+99),IF(AK373&gt;0,AK373,1E+99),IF(AM373&gt;0,AM373,1E+99),IF(AO373&gt;0,AO373,1E+99),IF(AQ373&gt;0,AQ373,1E+99),IF(AS373&gt;0,AS373,1E+99),IF(AU373&gt;0,AU373,1E+99),IF(AW373&gt;0,AW373,1E+99),IF(AY373&gt;0,AY373,1E+99),IF(BA373&gt;0,BA373,1E+99)),IF(m=1E+99,"",m))</x:f>
        <x:v>19.938</x:v>
      </x:c>
      <x:c r="BE373" s="16" t="e">
        <x:f>IF(BD373="","",INDEX({"v1.4.20","v1.4.20","v1.4.21","v1.4.21","v1.4.23","v1.4.23","v1.4.26","v1.4.26","v1.4.26.1","v1.4.26.1","v1.4.27","v1.4.27","v1.4.29","v1.4.29","v1.4.30","v1.4.30","v1.4.31","v1.4.31","v1.4.33","v1.4.33","v1.4.35","v1.4.35.2","v1.5","v1.5.1","v1.5.1"},MATCH(BD373,CHOOSE({1,2,3,4,5,6,7,8,9,10,11,12,13,14,15,16,17,18,19,20,21,22,23,24,25},E373,G373,I373,K373,M373,O373,Q373,S373,U373,W373,Y373,AA373,AC373,AE373,AG373,AI373,AK373,AM373,AO373,AQ373,AS373,AU373,AW373,AY373,BA373),0)))</x:f>
      </x:c>
      <x:c r="BF373" s="10" t="n">
        <x:f>IFERROR((AX373-BB373)/BB373,"")</x:f>
        <x:v>-1</x:v>
      </x:c>
      <x:c r="BG373" s="10" t="n">
        <x:f>IFERROR((AY373-BD373)/BD373,"")</x:f>
        <x:v>-1</x:v>
      </x:c>
    </x:row>
    <x:row r="374">
      <x:c r="A374" t="str"/>
      <x:c r="B374" t="str">
        <x:v>Format Care Plan Due Report</x:v>
      </x:c>
      <x:c r="C374" t="str">
        <x:v>Prepare source sheet structure</x:v>
      </x:c>
      <x:c r="D374" s="8" t="n">
        <x:v>3.476</x:v>
      </x:c>
      <x:c r="E374" s="8" t="n">
        <x:v>8.332</x:v>
      </x:c>
      <x:c r="F374" s="8" t="n">
        <x:v>3.476</x:v>
      </x:c>
      <x:c r="G374" s="8" t="n">
        <x:v>8.332</x:v>
      </x:c>
      <x:c r="H374" s="8" t="n">
        <x:v>3.073</x:v>
      </x:c>
      <x:c r="I374" s="8" t="n">
        <x:v>8.34</x:v>
      </x:c>
      <x:c r="J374" s="8" t="n">
        <x:v>3.073</x:v>
      </x:c>
      <x:c r="K374" s="8" t="n">
        <x:v>8.34</x:v>
      </x:c>
      <x:c r="L374" s="8"/>
      <x:c r="M374" s="8"/>
      <x:c r="N374" s="8"/>
      <x:c r="O374" s="8"/>
      <x:c r="P374" s="8"/>
      <x:c r="Q374" s="8"/>
      <x:c r="R374" s="8"/>
      <x:c r="S374" s="8"/>
      <x:c r="T374" s="8"/>
      <x:c r="U374" s="8"/>
      <x:c r="V374" s="8"/>
      <x:c r="W374" s="8"/>
      <x:c r="X374" s="8"/>
      <x:c r="Y374" s="8"/>
      <x:c r="Z374" s="8"/>
      <x:c r="AA374" s="8"/>
      <x:c r="AB374" s="8"/>
      <x:c r="AC374" s="8"/>
      <x:c r="AD374" s="8"/>
      <x:c r="AE374" s="8"/>
      <x:c r="AF374" s="8"/>
      <x:c r="AG374" s="8"/>
      <x:c r="AH374" s="8"/>
      <x:c r="AI374" s="8"/>
      <x:c r="AJ374" s="8"/>
      <x:c r="AK374" s="8"/>
      <x:c r="AL374" s="8"/>
      <x:c r="AM374" s="8"/>
      <x:c r="AN374" s="8"/>
      <x:c r="AO374" s="8"/>
      <x:c r="AP374" s="8"/>
      <x:c r="AQ374" s="8"/>
      <x:c r="AR374" s="8"/>
      <x:c r="AS374" s="8"/>
      <x:c r="AT374" s="8"/>
      <x:c r="AU374" s="8"/>
      <x:c r="AV374" s="8"/>
      <x:c r="AW374" s="8"/>
      <x:c r="AX374" s="8"/>
      <x:c r="AY374" s="8"/>
      <x:c r="AZ374" s="8"/>
      <x:c r="BA374" s="8"/>
      <x:c r="BB374" s="8" t="n">
        <x:f>LET(m,MIN(IF(D374&gt;0,D374,1E+99),IF(F374&gt;0,F374,1E+99),IF(H374&gt;0,H374,1E+99),IF(J374&gt;0,J374,1E+99),IF(L374&gt;0,L374,1E+99),IF(N374&gt;0,N374,1E+99),IF(P374&gt;0,P374,1E+99),IF(R374&gt;0,R374,1E+99),IF(T374&gt;0,T374,1E+99),IF(V374&gt;0,V374,1E+99),IF(X374&gt;0,X374,1E+99),IF(Z374&gt;0,Z374,1E+99),IF(AB374&gt;0,AB374,1E+99),IF(AD374&gt;0,AD374,1E+99),IF(AF374&gt;0,AF374,1E+99),IF(AH374&gt;0,AH374,1E+99),IF(AJ374&gt;0,AJ374,1E+99),IF(AL374&gt;0,AL374,1E+99),IF(AN374&gt;0,AN374,1E+99),IF(AP374&gt;0,AP374,1E+99),IF(AR374&gt;0,AR374,1E+99),IF(AT374&gt;0,AT374,1E+99),IF(AV374&gt;0,AV374,1E+99),IF(AX374&gt;0,AX374,1E+99),IF(AZ374&gt;0,AZ374,1E+99)),IF(m=1E+99,"",m))</x:f>
        <x:v>3.073</x:v>
      </x:c>
      <x:c r="BC374" s="12" t="e">
        <x:f>IF(BB374="","",INDEX({"v1.4.20","v1.4.20","v1.4.21","v1.4.21","v1.4.23","v1.4.23","v1.4.26","v1.4.26","v1.4.26.1","v1.4.26.1","v1.4.27","v1.4.27","v1.4.29","v1.4.29","v1.4.30","v1.4.30","v1.4.31","v1.4.31","v1.4.33","v1.4.33","v1.4.35","v1.4.35.2","v1.5","v1.5.1","v1.5.1"},MATCH(BB374,CHOOSE({1,2,3,4,5,6,7,8,9,10,11,12,13,14,15,16,17,18,19,20,21,22,23,24,25},D374,F374,H374,J374,L374,N374,P374,R374,T374,V374,X374,Z374,AB374,AD374,AF374,AH374,AJ374,AL374,AN374,AP374,AR374,AT374,AV374,AX374,AZ374),0)))</x:f>
      </x:c>
      <x:c r="BD374" s="14" t="n">
        <x:f>LET(m,MIN(IF(E374&gt;0,E374,1E+99),IF(G374&gt;0,G374,1E+99),IF(I374&gt;0,I374,1E+99),IF(K374&gt;0,K374,1E+99),IF(M374&gt;0,M374,1E+99),IF(O374&gt;0,O374,1E+99),IF(Q374&gt;0,Q374,1E+99),IF(S374&gt;0,S374,1E+99),IF(U374&gt;0,U374,1E+99),IF(W374&gt;0,W374,1E+99),IF(Y374&gt;0,Y374,1E+99),IF(AA374&gt;0,AA374,1E+99),IF(AC374&gt;0,AC374,1E+99),IF(AE374&gt;0,AE374,1E+99),IF(AG374&gt;0,AG374,1E+99),IF(AI374&gt;0,AI374,1E+99),IF(AK374&gt;0,AK374,1E+99),IF(AM374&gt;0,AM374,1E+99),IF(AO374&gt;0,AO374,1E+99),IF(AQ374&gt;0,AQ374,1E+99),IF(AS374&gt;0,AS374,1E+99),IF(AU374&gt;0,AU374,1E+99),IF(AW374&gt;0,AW374,1E+99),IF(AY374&gt;0,AY374,1E+99),IF(BA374&gt;0,BA374,1E+99)),IF(m=1E+99,"",m))</x:f>
        <x:v>8.332</x:v>
      </x:c>
      <x:c r="BE374" s="16" t="str">
        <x:f>IF(BD374="","",INDEX({"v1.4.20","v1.4.20","v1.4.21","v1.4.21","v1.4.23","v1.4.23","v1.4.26","v1.4.26","v1.4.26.1","v1.4.26.1","v1.4.27","v1.4.27","v1.4.29","v1.4.29","v1.4.30","v1.4.30","v1.4.31","v1.4.31","v1.4.33","v1.4.33","v1.4.35","v1.4.35.2","v1.5","v1.5.1","v1.5.1"},MATCH(BD374,CHOOSE({1,2,3,4,5,6,7,8,9,10,11,12,13,14,15,16,17,18,19,20,21,22,23,24,25},E374,G374,I374,K374,M374,O374,Q374,S374,U374,W374,Y374,AA374,AC374,AE374,AG374,AI374,AK374,AM374,AO374,AQ374,AS374,AU374,AW374,AY374,BA374),0)))</x:f>
        <x:v>v1.4.20</x:v>
      </x:c>
      <x:c r="BF374" s="10" t="n">
        <x:f>IFERROR((AX374-BB374)/BB374,"")</x:f>
        <x:v>-1</x:v>
      </x:c>
      <x:c r="BG374" s="10" t="n">
        <x:f>IFERROR((AY374-BD374)/BD374,"")</x:f>
        <x:v>-1</x:v>
      </x:c>
    </x:row>
    <x:row r="375">
      <x:c r="A375" t="str"/>
      <x:c r="B375" t="str">
        <x:v>Format Care Plan Due Report</x:v>
      </x:c>
      <x:c r="C375" t="str">
        <x:v>Rename sheet to CP Due 04.26</x:v>
      </x:c>
      <x:c r="D375" s="8" t="n">
        <x:v>0.572</x:v>
      </x:c>
      <x:c r="E375" s="8" t="n">
        <x:v>19.843</x:v>
      </x:c>
      <x:c r="F375" s="8" t="n">
        <x:v>0.572</x:v>
      </x:c>
      <x:c r="G375" s="8" t="n">
        <x:v>19.843</x:v>
      </x:c>
      <x:c r="H375" s="8" t="n">
        <x:v>0.829</x:v>
      </x:c>
      <x:c r="I375" s="8" t="n">
        <x:v>24.937</x:v>
      </x:c>
      <x:c r="J375" s="8" t="n">
        <x:v>0.829</x:v>
      </x:c>
      <x:c r="K375" s="8" t="n">
        <x:v>24.937</x:v>
      </x:c>
      <x:c r="L375" s="8"/>
      <x:c r="M375" s="8"/>
      <x:c r="N375" s="8"/>
      <x:c r="O375" s="8"/>
      <x:c r="P375" s="8"/>
      <x:c r="Q375" s="8"/>
      <x:c r="R375" s="8"/>
      <x:c r="S375" s="8"/>
      <x:c r="T375" s="8"/>
      <x:c r="U375" s="8"/>
      <x:c r="V375" s="8"/>
      <x:c r="W375" s="8"/>
      <x:c r="X375" s="8"/>
      <x:c r="Y375" s="8"/>
      <x:c r="Z375" s="8"/>
      <x:c r="AA375" s="8"/>
      <x:c r="AB375" s="8"/>
      <x:c r="AC375" s="8"/>
      <x:c r="AD375" s="8"/>
      <x:c r="AE375" s="8"/>
      <x:c r="AF375" s="8"/>
      <x:c r="AG375" s="8"/>
      <x:c r="AH375" s="8"/>
      <x:c r="AI375" s="8"/>
      <x:c r="AJ375" s="8"/>
      <x:c r="AK375" s="8"/>
      <x:c r="AL375" s="8"/>
      <x:c r="AM375" s="8"/>
      <x:c r="AN375" s="8"/>
      <x:c r="AO375" s="8"/>
      <x:c r="AP375" s="8"/>
      <x:c r="AQ375" s="8"/>
      <x:c r="AR375" s="8"/>
      <x:c r="AS375" s="8"/>
      <x:c r="AT375" s="8"/>
      <x:c r="AU375" s="8"/>
      <x:c r="AV375" s="8"/>
      <x:c r="AW375" s="8"/>
      <x:c r="AX375" s="8"/>
      <x:c r="AY375" s="8"/>
      <x:c r="AZ375" s="8"/>
      <x:c r="BA375" s="8"/>
      <x:c r="BB375" s="8" t="n">
        <x:f>LET(m,MIN(IF(D375&gt;0,D375,1E+99),IF(F375&gt;0,F375,1E+99),IF(H375&gt;0,H375,1E+99),IF(J375&gt;0,J375,1E+99),IF(L375&gt;0,L375,1E+99),IF(N375&gt;0,N375,1E+99),IF(P375&gt;0,P375,1E+99),IF(R375&gt;0,R375,1E+99),IF(T375&gt;0,T375,1E+99),IF(V375&gt;0,V375,1E+99),IF(X375&gt;0,X375,1E+99),IF(Z375&gt;0,Z375,1E+99),IF(AB375&gt;0,AB375,1E+99),IF(AD375&gt;0,AD375,1E+99),IF(AF375&gt;0,AF375,1E+99),IF(AH375&gt;0,AH375,1E+99),IF(AJ375&gt;0,AJ375,1E+99),IF(AL375&gt;0,AL375,1E+99),IF(AN375&gt;0,AN375,1E+99),IF(AP375&gt;0,AP375,1E+99),IF(AR375&gt;0,AR375,1E+99),IF(AT375&gt;0,AT375,1E+99),IF(AV375&gt;0,AV375,1E+99),IF(AX375&gt;0,AX375,1E+99),IF(AZ375&gt;0,AZ375,1E+99)),IF(m=1E+99,"",m))</x:f>
        <x:v>0.572</x:v>
      </x:c>
      <x:c r="BC375" s="12" t="str">
        <x:f>IF(BB375="","",INDEX({"v1.4.20","v1.4.20","v1.4.21","v1.4.21","v1.4.23","v1.4.23","v1.4.26","v1.4.26","v1.4.26.1","v1.4.26.1","v1.4.27","v1.4.27","v1.4.29","v1.4.29","v1.4.30","v1.4.30","v1.4.31","v1.4.31","v1.4.33","v1.4.33","v1.4.35","v1.4.35.2","v1.5","v1.5.1","v1.5.1"},MATCH(BB375,CHOOSE({1,2,3,4,5,6,7,8,9,10,11,12,13,14,15,16,17,18,19,20,21,22,23,24,25},D375,F375,H375,J375,L375,N375,P375,R375,T375,V375,X375,Z375,AB375,AD375,AF375,AH375,AJ375,AL375,AN375,AP375,AR375,AT375,AV375,AX375,AZ375),0)))</x:f>
        <x:v>v1.4.20</x:v>
      </x:c>
      <x:c r="BD375" s="14" t="n">
        <x:f>LET(m,MIN(IF(E375&gt;0,E375,1E+99),IF(G375&gt;0,G375,1E+99),IF(I375&gt;0,I375,1E+99),IF(K375&gt;0,K375,1E+99),IF(M375&gt;0,M375,1E+99),IF(O375&gt;0,O375,1E+99),IF(Q375&gt;0,Q375,1E+99),IF(S375&gt;0,S375,1E+99),IF(U375&gt;0,U375,1E+99),IF(W375&gt;0,W375,1E+99),IF(Y375&gt;0,Y375,1E+99),IF(AA375&gt;0,AA375,1E+99),IF(AC375&gt;0,AC375,1E+99),IF(AE375&gt;0,AE375,1E+99),IF(AG375&gt;0,AG375,1E+99),IF(AI375&gt;0,AI375,1E+99),IF(AK375&gt;0,AK375,1E+99),IF(AM375&gt;0,AM375,1E+99),IF(AO375&gt;0,AO375,1E+99),IF(AQ375&gt;0,AQ375,1E+99),IF(AS375&gt;0,AS375,1E+99),IF(AU375&gt;0,AU375,1E+99),IF(AW375&gt;0,AW375,1E+99),IF(AY375&gt;0,AY375,1E+99),IF(BA375&gt;0,BA375,1E+99)),IF(m=1E+99,"",m))</x:f>
        <x:v>19.843</x:v>
      </x:c>
      <x:c r="BE375" s="16" t="str">
        <x:f>IF(BD375="","",INDEX({"v1.4.20","v1.4.20","v1.4.21","v1.4.21","v1.4.23","v1.4.23","v1.4.26","v1.4.26","v1.4.26.1","v1.4.26.1","v1.4.27","v1.4.27","v1.4.29","v1.4.29","v1.4.30","v1.4.30","v1.4.31","v1.4.31","v1.4.33","v1.4.33","v1.4.35","v1.4.35.2","v1.5","v1.5.1","v1.5.1"},MATCH(BD375,CHOOSE({1,2,3,4,5,6,7,8,9,10,11,12,13,14,15,16,17,18,19,20,21,22,23,24,25},E375,G375,I375,K375,M375,O375,Q375,S375,U375,W375,Y375,AA375,AC375,AE375,AG375,AI375,AK375,AM375,AO375,AQ375,AS375,AU375,AW375,AY375,BA375),0)))</x:f>
        <x:v>v1.4.20</x:v>
      </x:c>
      <x:c r="BF375" s="10" t="n">
        <x:f>IFERROR((AX375-BB375)/BB375,"")</x:f>
        <x:v>-1</x:v>
      </x:c>
      <x:c r="BG375" s="10" t="n">
        <x:f>IFERROR((AY375-BD375)/BD375,"")</x:f>
        <x:v>-1</x:v>
      </x:c>
    </x:row>
    <x:row r="376">
      <x:c r="A376" t="str">
        <x:v>Raw Data</x:v>
      </x:c>
      <x:c r="B376" t="str">
        <x:v>Format Care Plan Due Report</x:v>
      </x:c>
      <x:c r="C376" t="str">
        <x:v>Raw sheet renamed: Raw Data - CP Due 04.26</x:v>
      </x:c>
      <x:c r="D376" s="8"/>
      <x:c r="E376" s="8"/>
      <x:c r="F376" s="8"/>
      <x:c r="G376" s="8"/>
      <x:c r="H376" s="8"/>
      <x:c r="I376" s="8"/>
      <x:c r="J376" s="8"/>
      <x:c r="K376" s="8"/>
      <x:c r="L376" s="8" t="n">
        <x:v>1.939</x:v>
      </x:c>
      <x:c r="M376" s="8" t="n">
        <x:v>16.75</x:v>
      </x:c>
      <x:c r="N376" s="8" t="n">
        <x:v>1.939</x:v>
      </x:c>
      <x:c r="O376" s="8" t="n">
        <x:v>16.75</x:v>
      </x:c>
      <x:c r="P376" s="8" t="n">
        <x:v>0.67</x:v>
      </x:c>
      <x:c r="Q376" s="8" t="n">
        <x:v>11.951</x:v>
      </x:c>
      <x:c r="R376" s="8" t="n">
        <x:v>0.67</x:v>
      </x:c>
      <x:c r="S376" s="8" t="n">
        <x:v>11.951</x:v>
      </x:c>
      <x:c r="T376" s="8" t="n">
        <x:v>0.646</x:v>
      </x:c>
      <x:c r="U376" s="8" t="n">
        <x:v>11.121</x:v>
      </x:c>
      <x:c r="V376" s="8" t="n">
        <x:v>0.646</x:v>
      </x:c>
      <x:c r="W376" s="8" t="n">
        <x:v>11.121</x:v>
      </x:c>
      <x:c r="X376" s="8" t="n">
        <x:v>1.111</x:v>
      </x:c>
      <x:c r="Y376" s="8" t="n">
        <x:v>11.243</x:v>
      </x:c>
      <x:c r="Z376" s="8" t="n">
        <x:v>1.111</x:v>
      </x:c>
      <x:c r="AA376" s="8" t="n">
        <x:v>11.243</x:v>
      </x:c>
      <x:c r="AB376" s="8" t="n">
        <x:v>1.223</x:v>
      </x:c>
      <x:c r="AC376" s="8" t="n">
        <x:v>11.333</x:v>
      </x:c>
      <x:c r="AD376" s="8" t="n">
        <x:v>1.223</x:v>
      </x:c>
      <x:c r="AE376" s="8" t="n">
        <x:v>11.333</x:v>
      </x:c>
      <x:c r="AF376" s="8" t="n">
        <x:v>0.7</x:v>
      </x:c>
      <x:c r="AG376" s="8" t="n">
        <x:v>8.132</x:v>
      </x:c>
      <x:c r="AH376" s="8" t="n">
        <x:v>0.7</x:v>
      </x:c>
      <x:c r="AI376" s="8" t="n">
        <x:v>8.132</x:v>
      </x:c>
      <x:c r="AJ376" s="8" t="n">
        <x:v>1.022</x:v>
      </x:c>
      <x:c r="AK376" s="8" t="n">
        <x:v>8.601</x:v>
      </x:c>
      <x:c r="AL376" s="8" t="n">
        <x:v>1.022</x:v>
      </x:c>
      <x:c r="AM376" s="8" t="n">
        <x:v>8.601</x:v>
      </x:c>
      <x:c r="AN376" s="8" t="n">
        <x:v>0.792</x:v>
      </x:c>
      <x:c r="AO376" s="8" t="n">
        <x:v>8.519</x:v>
      </x:c>
      <x:c r="AP376" s="8" t="n">
        <x:v>0.792</x:v>
      </x:c>
      <x:c r="AQ376" s="8" t="n">
        <x:v>8.519</x:v>
      </x:c>
      <x:c r="AR376" s="8"/>
      <x:c r="AS376" s="8"/>
      <x:c r="AT376" s="8" t="n">
        <x:v>1.836</x:v>
      </x:c>
      <x:c r="AU376" s="8" t="n">
        <x:v>17.757</x:v>
      </x:c>
      <x:c r="AV376" s="8" t="n">
        <x:v>1.032</x:v>
      </x:c>
      <x:c r="AW376" s="8" t="n">
        <x:v>50.75</x:v>
      </x:c>
      <x:c r="AX376" s="8" t="n">
        <x:v>0.833</x:v>
      </x:c>
      <x:c r="AY376" s="8" t="n">
        <x:v>11.696</x:v>
      </x:c>
      <x:c r="AZ376" s="8" t="n">
        <x:v>0.833</x:v>
      </x:c>
      <x:c r="BA376" s="8" t="n">
        <x:v>11.696</x:v>
      </x:c>
      <x:c r="BB376" s="8" t="n">
        <x:f>LET(m,MIN(IF(D376&gt;0,D376,1E+99),IF(F376&gt;0,F376,1E+99),IF(H376&gt;0,H376,1E+99),IF(J376&gt;0,J376,1E+99),IF(L376&gt;0,L376,1E+99),IF(N376&gt;0,N376,1E+99),IF(P376&gt;0,P376,1E+99),IF(R376&gt;0,R376,1E+99),IF(T376&gt;0,T376,1E+99),IF(V376&gt;0,V376,1E+99),IF(X376&gt;0,X376,1E+99),IF(Z376&gt;0,Z376,1E+99),IF(AB376&gt;0,AB376,1E+99),IF(AD376&gt;0,AD376,1E+99),IF(AF376&gt;0,AF376,1E+99),IF(AH376&gt;0,AH376,1E+99),IF(AJ376&gt;0,AJ376,1E+99),IF(AL376&gt;0,AL376,1E+99),IF(AN376&gt;0,AN376,1E+99),IF(AP376&gt;0,AP376,1E+99),IF(AR376&gt;0,AR376,1E+99),IF(AT376&gt;0,AT376,1E+99),IF(AV376&gt;0,AV376,1E+99),IF(AX376&gt;0,AX376,1E+99),IF(AZ376&gt;0,AZ376,1E+99)),IF(m=1E+99,"",m))</x:f>
        <x:v>0.646</x:v>
      </x:c>
      <x:c r="BC376" s="12" t="e">
        <x:f>IF(BB376="","",INDEX({"v1.4.20","v1.4.20","v1.4.21","v1.4.21","v1.4.23","v1.4.23","v1.4.26","v1.4.26","v1.4.26.1","v1.4.26.1","v1.4.27","v1.4.27","v1.4.29","v1.4.29","v1.4.30","v1.4.30","v1.4.31","v1.4.31","v1.4.33","v1.4.33","v1.4.35","v1.4.35.2","v1.5","v1.5.1","v1.5.1"},MATCH(BB376,CHOOSE({1,2,3,4,5,6,7,8,9,10,11,12,13,14,15,16,17,18,19,20,21,22,23,24,25},D376,F376,H376,J376,L376,N376,P376,R376,T376,V376,X376,Z376,AB376,AD376,AF376,AH376,AJ376,AL376,AN376,AP376,AR376,AT376,AV376,AX376,AZ376),0)))</x:f>
      </x:c>
      <x:c r="BD376" s="14" t="n">
        <x:f>LET(m,MIN(IF(E376&gt;0,E376,1E+99),IF(G376&gt;0,G376,1E+99),IF(I376&gt;0,I376,1E+99),IF(K376&gt;0,K376,1E+99),IF(M376&gt;0,M376,1E+99),IF(O376&gt;0,O376,1E+99),IF(Q376&gt;0,Q376,1E+99),IF(S376&gt;0,S376,1E+99),IF(U376&gt;0,U376,1E+99),IF(W376&gt;0,W376,1E+99),IF(Y376&gt;0,Y376,1E+99),IF(AA376&gt;0,AA376,1E+99),IF(AC376&gt;0,AC376,1E+99),IF(AE376&gt;0,AE376,1E+99),IF(AG376&gt;0,AG376,1E+99),IF(AI376&gt;0,AI376,1E+99),IF(AK376&gt;0,AK376,1E+99),IF(AM376&gt;0,AM376,1E+99),IF(AO376&gt;0,AO376,1E+99),IF(AQ376&gt;0,AQ376,1E+99),IF(AS376&gt;0,AS376,1E+99),IF(AU376&gt;0,AU376,1E+99),IF(AW376&gt;0,AW376,1E+99),IF(AY376&gt;0,AY376,1E+99),IF(BA376&gt;0,BA376,1E+99)),IF(m=1E+99,"",m))</x:f>
        <x:v>8.132</x:v>
      </x:c>
      <x:c r="BE376" s="16" t="e">
        <x:f>IF(BD376="","",INDEX({"v1.4.20","v1.4.20","v1.4.21","v1.4.21","v1.4.23","v1.4.23","v1.4.26","v1.4.26","v1.4.26.1","v1.4.26.1","v1.4.27","v1.4.27","v1.4.29","v1.4.29","v1.4.30","v1.4.30","v1.4.31","v1.4.31","v1.4.33","v1.4.33","v1.4.35","v1.4.35.2","v1.5","v1.5.1","v1.5.1"},MATCH(BD376,CHOOSE({1,2,3,4,5,6,7,8,9,10,11,12,13,14,15,16,17,18,19,20,21,22,23,24,25},E376,G376,I376,K376,M376,O376,Q376,S376,U376,W376,Y376,AA376,AC376,AE376,AG376,AI376,AK376,AM376,AO376,AQ376,AS376,AU376,AW376,AY376,BA376),0)))</x:f>
      </x:c>
      <x:c r="BF376" s="10" t="n">
        <x:f>IFERROR((AX376-BB376)/BB376,"")</x:f>
        <x:v>0.2894736842105262</x:v>
      </x:c>
      <x:c r="BG376" s="10" t="n">
        <x:f>IFERROR((AY376-BD376)/BD376,"")</x:f>
        <x:v>0.4382685686178062</x:v>
      </x:c>
    </x:row>
    <x:row r="377">
      <x:c r="A377" t="str">
        <x:v>Raw Data</x:v>
      </x:c>
      <x:c r="B377" t="str">
        <x:v>Format Care Plan Due Report</x:v>
      </x:c>
      <x:c r="C377" t="str">
        <x:v>Raw data copied to archive: Raw Data - CP Due 04.26</x:v>
      </x:c>
      <x:c r="D377" s="8"/>
      <x:c r="E377" s="8"/>
      <x:c r="F377" s="8"/>
      <x:c r="G377" s="8"/>
      <x:c r="H377" s="8"/>
      <x:c r="I377" s="8"/>
      <x:c r="J377" s="8"/>
      <x:c r="K377" s="8"/>
      <x:c r="L377" s="8" t="n">
        <x:v>5.887</x:v>
      </x:c>
      <x:c r="M377" s="8" t="n">
        <x:v>38.159</x:v>
      </x:c>
      <x:c r="N377" s="8" t="n">
        <x:v>5.887</x:v>
      </x:c>
      <x:c r="O377" s="8" t="n">
        <x:v>38.159</x:v>
      </x:c>
      <x:c r="P377" s="8"/>
      <x:c r="Q377" s="8"/>
      <x:c r="R377" s="8"/>
      <x:c r="S377" s="8"/>
      <x:c r="T377" s="8" t="n">
        <x:v>4.544</x:v>
      </x:c>
      <x:c r="U377" s="8" t="n">
        <x:v>26.045</x:v>
      </x:c>
      <x:c r="V377" s="8" t="n">
        <x:v>4.544</x:v>
      </x:c>
      <x:c r="W377" s="8" t="n">
        <x:v>26.045</x:v>
      </x:c>
      <x:c r="X377" s="8"/>
      <x:c r="Y377" s="8"/>
      <x:c r="Z377" s="8"/>
      <x:c r="AA377" s="8"/>
      <x:c r="AB377" s="8"/>
      <x:c r="AC377" s="8"/>
      <x:c r="AD377" s="8"/>
      <x:c r="AE377" s="8"/>
      <x:c r="AF377" s="8" t="n">
        <x:v>4.29</x:v>
      </x:c>
      <x:c r="AG377" s="8" t="n">
        <x:v>21.504</x:v>
      </x:c>
      <x:c r="AH377" s="8" t="n">
        <x:v>4.29</x:v>
      </x:c>
      <x:c r="AI377" s="8" t="n">
        <x:v>21.504</x:v>
      </x:c>
      <x:c r="AJ377" s="8" t="n">
        <x:v>5.067</x:v>
      </x:c>
      <x:c r="AK377" s="8" t="n">
        <x:v>29.158</x:v>
      </x:c>
      <x:c r="AL377" s="8" t="n">
        <x:v>5.067</x:v>
      </x:c>
      <x:c r="AM377" s="8" t="n">
        <x:v>29.158</x:v>
      </x:c>
      <x:c r="AN377" s="8" t="n">
        <x:v>3.612</x:v>
      </x:c>
      <x:c r="AO377" s="8" t="n">
        <x:v>20.992</x:v>
      </x:c>
      <x:c r="AP377" s="8" t="n">
        <x:v>3.612</x:v>
      </x:c>
      <x:c r="AQ377" s="8" t="n">
        <x:v>20.992</x:v>
      </x:c>
      <x:c r="AR377" s="8"/>
      <x:c r="AS377" s="8"/>
      <x:c r="AT377" s="8"/>
      <x:c r="AU377" s="8"/>
      <x:c r="AV377" s="8" t="n">
        <x:v>4.436</x:v>
      </x:c>
      <x:c r="AW377" s="8" t="n">
        <x:v>68.856</x:v>
      </x:c>
      <x:c r="AX377" s="8" t="n">
        <x:v>4.936</x:v>
      </x:c>
      <x:c r="AY377" s="8" t="n">
        <x:v>28.647</x:v>
      </x:c>
      <x:c r="AZ377" s="8" t="n">
        <x:v>4.936</x:v>
      </x:c>
      <x:c r="BA377" s="8" t="n">
        <x:v>28.647</x:v>
      </x:c>
      <x:c r="BB377" s="8" t="n">
        <x:f>LET(m,MIN(IF(D377&gt;0,D377,1E+99),IF(F377&gt;0,F377,1E+99),IF(H377&gt;0,H377,1E+99),IF(J377&gt;0,J377,1E+99),IF(L377&gt;0,L377,1E+99),IF(N377&gt;0,N377,1E+99),IF(P377&gt;0,P377,1E+99),IF(R377&gt;0,R377,1E+99),IF(T377&gt;0,T377,1E+99),IF(V377&gt;0,V377,1E+99),IF(X377&gt;0,X377,1E+99),IF(Z377&gt;0,Z377,1E+99),IF(AB377&gt;0,AB377,1E+99),IF(AD377&gt;0,AD377,1E+99),IF(AF377&gt;0,AF377,1E+99),IF(AH377&gt;0,AH377,1E+99),IF(AJ377&gt;0,AJ377,1E+99),IF(AL377&gt;0,AL377,1E+99),IF(AN377&gt;0,AN377,1E+99),IF(AP377&gt;0,AP377,1E+99),IF(AR377&gt;0,AR377,1E+99),IF(AT377&gt;0,AT377,1E+99),IF(AV377&gt;0,AV377,1E+99),IF(AX377&gt;0,AX377,1E+99),IF(AZ377&gt;0,AZ377,1E+99)),IF(m=1E+99,"",m))</x:f>
        <x:v>3.612</x:v>
      </x:c>
      <x:c r="BC377" s="12" t="e">
        <x:f>IF(BB377="","",INDEX({"v1.4.20","v1.4.20","v1.4.21","v1.4.21","v1.4.23","v1.4.23","v1.4.26","v1.4.26","v1.4.26.1","v1.4.26.1","v1.4.27","v1.4.27","v1.4.29","v1.4.29","v1.4.30","v1.4.30","v1.4.31","v1.4.31","v1.4.33","v1.4.33","v1.4.35","v1.4.35.2","v1.5","v1.5.1","v1.5.1"},MATCH(BB377,CHOOSE({1,2,3,4,5,6,7,8,9,10,11,12,13,14,15,16,17,18,19,20,21,22,23,24,25},D377,F377,H377,J377,L377,N377,P377,R377,T377,V377,X377,Z377,AB377,AD377,AF377,AH377,AJ377,AL377,AN377,AP377,AR377,AT377,AV377,AX377,AZ377),0)))</x:f>
      </x:c>
      <x:c r="BD377" s="14" t="n">
        <x:f>LET(m,MIN(IF(E377&gt;0,E377,1E+99),IF(G377&gt;0,G377,1E+99),IF(I377&gt;0,I377,1E+99),IF(K377&gt;0,K377,1E+99),IF(M377&gt;0,M377,1E+99),IF(O377&gt;0,O377,1E+99),IF(Q377&gt;0,Q377,1E+99),IF(S377&gt;0,S377,1E+99),IF(U377&gt;0,U377,1E+99),IF(W377&gt;0,W377,1E+99),IF(Y377&gt;0,Y377,1E+99),IF(AA377&gt;0,AA377,1E+99),IF(AC377&gt;0,AC377,1E+99),IF(AE377&gt;0,AE377,1E+99),IF(AG377&gt;0,AG377,1E+99),IF(AI377&gt;0,AI377,1E+99),IF(AK377&gt;0,AK377,1E+99),IF(AM377&gt;0,AM377,1E+99),IF(AO377&gt;0,AO377,1E+99),IF(AQ377&gt;0,AQ377,1E+99),IF(AS377&gt;0,AS377,1E+99),IF(AU377&gt;0,AU377,1E+99),IF(AW377&gt;0,AW377,1E+99),IF(AY377&gt;0,AY377,1E+99),IF(BA377&gt;0,BA377,1E+99)),IF(m=1E+99,"",m))</x:f>
        <x:v>20.992</x:v>
      </x:c>
      <x:c r="BE377" s="16" t="e">
        <x:f>IF(BD377="","",INDEX({"v1.4.20","v1.4.20","v1.4.21","v1.4.21","v1.4.23","v1.4.23","v1.4.26","v1.4.26","v1.4.26.1","v1.4.26.1","v1.4.27","v1.4.27","v1.4.29","v1.4.29","v1.4.30","v1.4.30","v1.4.31","v1.4.31","v1.4.33","v1.4.33","v1.4.35","v1.4.35.2","v1.5","v1.5.1","v1.5.1"},MATCH(BD377,CHOOSE({1,2,3,4,5,6,7,8,9,10,11,12,13,14,15,16,17,18,19,20,21,22,23,24,25},E377,G377,I377,K377,M377,O377,Q377,S377,U377,W377,Y377,AA377,AC377,AE377,AG377,AI377,AK377,AM377,AO377,AQ377,AS377,AU377,AW377,AY377,BA377),0)))</x:f>
      </x:c>
      <x:c r="BF377" s="10" t="n">
        <x:f>IFERROR((AX377-BB377)/BB377,"")</x:f>
        <x:v>0.3665559246954595</x:v>
      </x:c>
      <x:c r="BG377" s="10" t="n">
        <x:f>IFERROR((AY377-BD377)/BD377,"")</x:f>
        <x:v>0.36466272865853644</x:v>
      </x:c>
    </x:row>
    <x:row r="378">
      <x:c r="A378" t="str">
        <x:v>Care Plan Due</x:v>
      </x:c>
      <x:c r="B378" t="str">
        <x:v>Format Care Plan Due Report</x:v>
      </x:c>
      <x:c r="C378" t="str">
        <x:v>Apply alternating color rules: Template - Care Plan Due</x:v>
      </x:c>
      <x:c r="D378" s="8" t="n">
        <x:v>1.976</x:v>
      </x:c>
      <x:c r="E378" s="8" t="n">
        <x:v>11.285</x:v>
      </x:c>
      <x:c r="F378" s="8" t="n">
        <x:v>1.976</x:v>
      </x:c>
      <x:c r="G378" s="8" t="n">
        <x:v>11.285</x:v>
      </x:c>
      <x:c r="H378" s="8" t="n">
        <x:v>3.117</x:v>
      </x:c>
      <x:c r="I378" s="8" t="n">
        <x:v>13.343</x:v>
      </x:c>
      <x:c r="J378" s="8" t="n">
        <x:v>3.117</x:v>
      </x:c>
      <x:c r="K378" s="8" t="n">
        <x:v>13.343</x:v>
      </x:c>
      <x:c r="L378" s="8"/>
      <x:c r="M378" s="8"/>
      <x:c r="N378" s="8"/>
      <x:c r="O378" s="8"/>
      <x:c r="P378" s="8"/>
      <x:c r="Q378" s="8"/>
      <x:c r="R378" s="8"/>
      <x:c r="S378" s="8"/>
      <x:c r="T378" s="8"/>
      <x:c r="U378" s="8"/>
      <x:c r="V378" s="8"/>
      <x:c r="W378" s="8"/>
      <x:c r="X378" s="8"/>
      <x:c r="Y378" s="8"/>
      <x:c r="Z378" s="8"/>
      <x:c r="AA378" s="8"/>
      <x:c r="AB378" s="8"/>
      <x:c r="AC378" s="8"/>
      <x:c r="AD378" s="8"/>
      <x:c r="AE378" s="8"/>
      <x:c r="AF378" s="8"/>
      <x:c r="AG378" s="8"/>
      <x:c r="AH378" s="8"/>
      <x:c r="AI378" s="8"/>
      <x:c r="AJ378" s="8"/>
      <x:c r="AK378" s="8"/>
      <x:c r="AL378" s="8"/>
      <x:c r="AM378" s="8"/>
      <x:c r="AN378" s="8"/>
      <x:c r="AO378" s="8"/>
      <x:c r="AP378" s="8"/>
      <x:c r="AQ378" s="8"/>
      <x:c r="AR378" s="8"/>
      <x:c r="AS378" s="8"/>
      <x:c r="AT378" s="8"/>
      <x:c r="AU378" s="8"/>
      <x:c r="AV378" s="8"/>
      <x:c r="AW378" s="8"/>
      <x:c r="AX378" s="8"/>
      <x:c r="AY378" s="8"/>
      <x:c r="AZ378" s="8"/>
      <x:c r="BA378" s="8"/>
      <x:c r="BB378" s="8" t="n">
        <x:f>LET(m,MIN(IF(D378&gt;0,D378,1E+99),IF(F378&gt;0,F378,1E+99),IF(H378&gt;0,H378,1E+99),IF(J378&gt;0,J378,1E+99),IF(L378&gt;0,L378,1E+99),IF(N378&gt;0,N378,1E+99),IF(P378&gt;0,P378,1E+99),IF(R378&gt;0,R378,1E+99),IF(T378&gt;0,T378,1E+99),IF(V378&gt;0,V378,1E+99),IF(X378&gt;0,X378,1E+99),IF(Z378&gt;0,Z378,1E+99),IF(AB378&gt;0,AB378,1E+99),IF(AD378&gt;0,AD378,1E+99),IF(AF378&gt;0,AF378,1E+99),IF(AH378&gt;0,AH378,1E+99),IF(AJ378&gt;0,AJ378,1E+99),IF(AL378&gt;0,AL378,1E+99),IF(AN378&gt;0,AN378,1E+99),IF(AP378&gt;0,AP378,1E+99),IF(AR378&gt;0,AR378,1E+99),IF(AT378&gt;0,AT378,1E+99),IF(AV378&gt;0,AV378,1E+99),IF(AX378&gt;0,AX378,1E+99),IF(AZ378&gt;0,AZ378,1E+99)),IF(m=1E+99,"",m))</x:f>
        <x:v>1.976</x:v>
      </x:c>
      <x:c r="BC378" s="12" t="str">
        <x:f>IF(BB378="","",INDEX({"v1.4.20","v1.4.20","v1.4.21","v1.4.21","v1.4.23","v1.4.23","v1.4.26","v1.4.26","v1.4.26.1","v1.4.26.1","v1.4.27","v1.4.27","v1.4.29","v1.4.29","v1.4.30","v1.4.30","v1.4.31","v1.4.31","v1.4.33","v1.4.33","v1.4.35","v1.4.35.2","v1.5","v1.5.1","v1.5.1"},MATCH(BB378,CHOOSE({1,2,3,4,5,6,7,8,9,10,11,12,13,14,15,16,17,18,19,20,21,22,23,24,25},D378,F378,H378,J378,L378,N378,P378,R378,T378,V378,X378,Z378,AB378,AD378,AF378,AH378,AJ378,AL378,AN378,AP378,AR378,AT378,AV378,AX378,AZ378),0)))</x:f>
        <x:v>v1.4.20</x:v>
      </x:c>
      <x:c r="BD378" s="14" t="n">
        <x:f>LET(m,MIN(IF(E378&gt;0,E378,1E+99),IF(G378&gt;0,G378,1E+99),IF(I378&gt;0,I378,1E+99),IF(K378&gt;0,K378,1E+99),IF(M378&gt;0,M378,1E+99),IF(O378&gt;0,O378,1E+99),IF(Q378&gt;0,Q378,1E+99),IF(S378&gt;0,S378,1E+99),IF(U378&gt;0,U378,1E+99),IF(W378&gt;0,W378,1E+99),IF(Y378&gt;0,Y378,1E+99),IF(AA378&gt;0,AA378,1E+99),IF(AC378&gt;0,AC378,1E+99),IF(AE378&gt;0,AE378,1E+99),IF(AG378&gt;0,AG378,1E+99),IF(AI378&gt;0,AI378,1E+99),IF(AK378&gt;0,AK378,1E+99),IF(AM378&gt;0,AM378,1E+99),IF(AO378&gt;0,AO378,1E+99),IF(AQ378&gt;0,AQ378,1E+99),IF(AS378&gt;0,AS378,1E+99),IF(AU378&gt;0,AU378,1E+99),IF(AW378&gt;0,AW378,1E+99),IF(AY378&gt;0,AY378,1E+99),IF(BA378&gt;0,BA378,1E+99)),IF(m=1E+99,"",m))</x:f>
        <x:v>11.285</x:v>
      </x:c>
      <x:c r="BE378" s="16" t="str">
        <x:f>IF(BD378="","",INDEX({"v1.4.20","v1.4.20","v1.4.21","v1.4.21","v1.4.23","v1.4.23","v1.4.26","v1.4.26","v1.4.26.1","v1.4.26.1","v1.4.27","v1.4.27","v1.4.29","v1.4.29","v1.4.30","v1.4.30","v1.4.31","v1.4.31","v1.4.33","v1.4.33","v1.4.35","v1.4.35.2","v1.5","v1.5.1","v1.5.1"},MATCH(BD378,CHOOSE({1,2,3,4,5,6,7,8,9,10,11,12,13,14,15,16,17,18,19,20,21,22,23,24,25},E378,G378,I378,K378,M378,O378,Q378,S378,U378,W378,Y378,AA378,AC378,AE378,AG378,AI378,AK378,AM378,AO378,AQ378,AS378,AU378,AW378,AY378,BA378),0)))</x:f>
        <x:v>v1.4.20</x:v>
      </x:c>
      <x:c r="BF378" s="10" t="n">
        <x:f>IFERROR((AX378-BB378)/BB378,"")</x:f>
        <x:v>-1</x:v>
      </x:c>
      <x:c r="BG378" s="10" t="n">
        <x:f>IFERROR((AY378-BD378)/BD378,"")</x:f>
        <x:v>-1</x:v>
      </x:c>
    </x:row>
    <x:row r="379">
      <x:c r="A379" t="str">
        <x:v>Care Plan Due</x:v>
      </x:c>
      <x:c r="B379" t="str">
        <x:v>Format Care Plan Due Report</x:v>
      </x:c>
      <x:c r="C379" t="str">
        <x:v>Apply column widths: Template - Care Plan Due</x:v>
      </x:c>
      <x:c r="D379" s="8" t="n">
        <x:v>0.532</x:v>
      </x:c>
      <x:c r="E379" s="8" t="n">
        <x:v>11.819</x:v>
      </x:c>
      <x:c r="F379" s="8" t="n">
        <x:v>0.532</x:v>
      </x:c>
      <x:c r="G379" s="8" t="n">
        <x:v>11.819</x:v>
      </x:c>
      <x:c r="H379" s="8" t="n">
        <x:v>0.651</x:v>
      </x:c>
      <x:c r="I379" s="8" t="n">
        <x:v>13.995</x:v>
      </x:c>
      <x:c r="J379" s="8" t="n">
        <x:v>0.651</x:v>
      </x:c>
      <x:c r="K379" s="8" t="n">
        <x:v>13.995</x:v>
      </x:c>
      <x:c r="L379" s="8"/>
      <x:c r="M379" s="8"/>
      <x:c r="N379" s="8"/>
      <x:c r="O379" s="8"/>
      <x:c r="P379" s="8"/>
      <x:c r="Q379" s="8"/>
      <x:c r="R379" s="8"/>
      <x:c r="S379" s="8"/>
      <x:c r="T379" s="8"/>
      <x:c r="U379" s="8"/>
      <x:c r="V379" s="8"/>
      <x:c r="W379" s="8"/>
      <x:c r="X379" s="8"/>
      <x:c r="Y379" s="8"/>
      <x:c r="Z379" s="8"/>
      <x:c r="AA379" s="8"/>
      <x:c r="AB379" s="8"/>
      <x:c r="AC379" s="8"/>
      <x:c r="AD379" s="8"/>
      <x:c r="AE379" s="8"/>
      <x:c r="AF379" s="8"/>
      <x:c r="AG379" s="8"/>
      <x:c r="AH379" s="8"/>
      <x:c r="AI379" s="8"/>
      <x:c r="AJ379" s="8"/>
      <x:c r="AK379" s="8"/>
      <x:c r="AL379" s="8"/>
      <x:c r="AM379" s="8"/>
      <x:c r="AN379" s="8"/>
      <x:c r="AO379" s="8"/>
      <x:c r="AP379" s="8"/>
      <x:c r="AQ379" s="8"/>
      <x:c r="AR379" s="8"/>
      <x:c r="AS379" s="8"/>
      <x:c r="AT379" s="8"/>
      <x:c r="AU379" s="8"/>
      <x:c r="AV379" s="8"/>
      <x:c r="AW379" s="8"/>
      <x:c r="AX379" s="8"/>
      <x:c r="AY379" s="8"/>
      <x:c r="AZ379" s="8"/>
      <x:c r="BA379" s="8"/>
      <x:c r="BB379" s="8" t="n">
        <x:f>LET(m,MIN(IF(D379&gt;0,D379,1E+99),IF(F379&gt;0,F379,1E+99),IF(H379&gt;0,H379,1E+99),IF(J379&gt;0,J379,1E+99),IF(L379&gt;0,L379,1E+99),IF(N379&gt;0,N379,1E+99),IF(P379&gt;0,P379,1E+99),IF(R379&gt;0,R379,1E+99),IF(T379&gt;0,T379,1E+99),IF(V379&gt;0,V379,1E+99),IF(X379&gt;0,X379,1E+99),IF(Z379&gt;0,Z379,1E+99),IF(AB379&gt;0,AB379,1E+99),IF(AD379&gt;0,AD379,1E+99),IF(AF379&gt;0,AF379,1E+99),IF(AH379&gt;0,AH379,1E+99),IF(AJ379&gt;0,AJ379,1E+99),IF(AL379&gt;0,AL379,1E+99),IF(AN379&gt;0,AN379,1E+99),IF(AP379&gt;0,AP379,1E+99),IF(AR379&gt;0,AR379,1E+99),IF(AT379&gt;0,AT379,1E+99),IF(AV379&gt;0,AV379,1E+99),IF(AX379&gt;0,AX379,1E+99),IF(AZ379&gt;0,AZ379,1E+99)),IF(m=1E+99,"",m))</x:f>
        <x:v>0.532</x:v>
      </x:c>
      <x:c r="BC379" s="12" t="str">
        <x:f>IF(BB379="","",INDEX({"v1.4.20","v1.4.20","v1.4.21","v1.4.21","v1.4.23","v1.4.23","v1.4.26","v1.4.26","v1.4.26.1","v1.4.26.1","v1.4.27","v1.4.27","v1.4.29","v1.4.29","v1.4.30","v1.4.30","v1.4.31","v1.4.31","v1.4.33","v1.4.33","v1.4.35","v1.4.35.2","v1.5","v1.5.1","v1.5.1"},MATCH(BB379,CHOOSE({1,2,3,4,5,6,7,8,9,10,11,12,13,14,15,16,17,18,19,20,21,22,23,24,25},D379,F379,H379,J379,L379,N379,P379,R379,T379,V379,X379,Z379,AB379,AD379,AF379,AH379,AJ379,AL379,AN379,AP379,AR379,AT379,AV379,AX379,AZ379),0)))</x:f>
        <x:v>v1.4.20</x:v>
      </x:c>
      <x:c r="BD379" s="14" t="n">
        <x:f>LET(m,MIN(IF(E379&gt;0,E379,1E+99),IF(G379&gt;0,G379,1E+99),IF(I379&gt;0,I379,1E+99),IF(K379&gt;0,K379,1E+99),IF(M379&gt;0,M379,1E+99),IF(O379&gt;0,O379,1E+99),IF(Q379&gt;0,Q379,1E+99),IF(S379&gt;0,S379,1E+99),IF(U379&gt;0,U379,1E+99),IF(W379&gt;0,W379,1E+99),IF(Y379&gt;0,Y379,1E+99),IF(AA379&gt;0,AA379,1E+99),IF(AC379&gt;0,AC379,1E+99),IF(AE379&gt;0,AE379,1E+99),IF(AG379&gt;0,AG379,1E+99),IF(AI379&gt;0,AI379,1E+99),IF(AK379&gt;0,AK379,1E+99),IF(AM379&gt;0,AM379,1E+99),IF(AO379&gt;0,AO379,1E+99),IF(AQ379&gt;0,AQ379,1E+99),IF(AS379&gt;0,AS379,1E+99),IF(AU379&gt;0,AU379,1E+99),IF(AW379&gt;0,AW379,1E+99),IF(AY379&gt;0,AY379,1E+99),IF(BA379&gt;0,BA379,1E+99)),IF(m=1E+99,"",m))</x:f>
        <x:v>11.819</x:v>
      </x:c>
      <x:c r="BE379" s="16" t="str">
        <x:f>IF(BD379="","",INDEX({"v1.4.20","v1.4.20","v1.4.21","v1.4.21","v1.4.23","v1.4.23","v1.4.26","v1.4.26","v1.4.26.1","v1.4.26.1","v1.4.27","v1.4.27","v1.4.29","v1.4.29","v1.4.30","v1.4.30","v1.4.31","v1.4.31","v1.4.33","v1.4.33","v1.4.35","v1.4.35.2","v1.5","v1.5.1","v1.5.1"},MATCH(BD379,CHOOSE({1,2,3,4,5,6,7,8,9,10,11,12,13,14,15,16,17,18,19,20,21,22,23,24,25},E379,G379,I379,K379,M379,O379,Q379,S379,U379,W379,Y379,AA379,AC379,AE379,AG379,AI379,AK379,AM379,AO379,AQ379,AS379,AU379,AW379,AY379,BA379),0)))</x:f>
        <x:v>v1.4.20</x:v>
      </x:c>
      <x:c r="BF379" s="10" t="n">
        <x:f>IFERROR((AX379-BB379)/BB379,"")</x:f>
        <x:v>-1</x:v>
      </x:c>
      <x:c r="BG379" s="10" t="n">
        <x:f>IFERROR((AY379-BD379)/BD379,"")</x:f>
        <x:v>-1</x:v>
      </x:c>
    </x:row>
    <x:row r="380">
      <x:c r="A380" t="str">
        <x:v>Care Plan Due</x:v>
      </x:c>
      <x:c r="B380" t="str">
        <x:v>Format Care Plan Due Report</x:v>
      </x:c>
      <x:c r="C380" t="str">
        <x:v>Apply data row base style: Template - Care Plan Due</x:v>
      </x:c>
      <x:c r="D380" s="8" t="n">
        <x:v>0.002</x:v>
      </x:c>
      <x:c r="E380" s="8" t="n">
        <x:v>11.287</x:v>
      </x:c>
      <x:c r="F380" s="8" t="n">
        <x:v>0.002</x:v>
      </x:c>
      <x:c r="G380" s="8" t="n">
        <x:v>11.287</x:v>
      </x:c>
      <x:c r="H380" s="8" t="n">
        <x:v>0.001</x:v>
      </x:c>
      <x:c r="I380" s="8" t="n">
        <x:v>13.344</x:v>
      </x:c>
      <x:c r="J380" s="8" t="n">
        <x:v>0.001</x:v>
      </x:c>
      <x:c r="K380" s="8" t="n">
        <x:v>13.344</x:v>
      </x:c>
      <x:c r="L380" s="8"/>
      <x:c r="M380" s="8"/>
      <x:c r="N380" s="8"/>
      <x:c r="O380" s="8"/>
      <x:c r="P380" s="8"/>
      <x:c r="Q380" s="8"/>
      <x:c r="R380" s="8"/>
      <x:c r="S380" s="8"/>
      <x:c r="T380" s="8"/>
      <x:c r="U380" s="8"/>
      <x:c r="V380" s="8"/>
      <x:c r="W380" s="8"/>
      <x:c r="X380" s="8"/>
      <x:c r="Y380" s="8"/>
      <x:c r="Z380" s="8"/>
      <x:c r="AA380" s="8"/>
      <x:c r="AB380" s="8"/>
      <x:c r="AC380" s="8"/>
      <x:c r="AD380" s="8"/>
      <x:c r="AE380" s="8"/>
      <x:c r="AF380" s="8"/>
      <x:c r="AG380" s="8"/>
      <x:c r="AH380" s="8"/>
      <x:c r="AI380" s="8"/>
      <x:c r="AJ380" s="8"/>
      <x:c r="AK380" s="8"/>
      <x:c r="AL380" s="8"/>
      <x:c r="AM380" s="8"/>
      <x:c r="AN380" s="8"/>
      <x:c r="AO380" s="8"/>
      <x:c r="AP380" s="8"/>
      <x:c r="AQ380" s="8"/>
      <x:c r="AR380" s="8"/>
      <x:c r="AS380" s="8"/>
      <x:c r="AT380" s="8"/>
      <x:c r="AU380" s="8"/>
      <x:c r="AV380" s="8"/>
      <x:c r="AW380" s="8"/>
      <x:c r="AX380" s="8"/>
      <x:c r="AY380" s="8"/>
      <x:c r="AZ380" s="8"/>
      <x:c r="BA380" s="8"/>
      <x:c r="BB380" s="8" t="n">
        <x:f>LET(m,MIN(IF(D380&gt;0,D380,1E+99),IF(F380&gt;0,F380,1E+99),IF(H380&gt;0,H380,1E+99),IF(J380&gt;0,J380,1E+99),IF(L380&gt;0,L380,1E+99),IF(N380&gt;0,N380,1E+99),IF(P380&gt;0,P380,1E+99),IF(R380&gt;0,R380,1E+99),IF(T380&gt;0,T380,1E+99),IF(V380&gt;0,V380,1E+99),IF(X380&gt;0,X380,1E+99),IF(Z380&gt;0,Z380,1E+99),IF(AB380&gt;0,AB380,1E+99),IF(AD380&gt;0,AD380,1E+99),IF(AF380&gt;0,AF380,1E+99),IF(AH380&gt;0,AH380,1E+99),IF(AJ380&gt;0,AJ380,1E+99),IF(AL380&gt;0,AL380,1E+99),IF(AN380&gt;0,AN380,1E+99),IF(AP380&gt;0,AP380,1E+99),IF(AR380&gt;0,AR380,1E+99),IF(AT380&gt;0,AT380,1E+99),IF(AV380&gt;0,AV380,1E+99),IF(AX380&gt;0,AX380,1E+99),IF(AZ380&gt;0,AZ380,1E+99)),IF(m=1E+99,"",m))</x:f>
        <x:v>0.001</x:v>
      </x:c>
      <x:c r="BC380" s="12" t="e">
        <x:f>IF(BB380="","",INDEX({"v1.4.20","v1.4.20","v1.4.21","v1.4.21","v1.4.23","v1.4.23","v1.4.26","v1.4.26","v1.4.26.1","v1.4.26.1","v1.4.27","v1.4.27","v1.4.29","v1.4.29","v1.4.30","v1.4.30","v1.4.31","v1.4.31","v1.4.33","v1.4.33","v1.4.35","v1.4.35.2","v1.5","v1.5.1","v1.5.1"},MATCH(BB380,CHOOSE({1,2,3,4,5,6,7,8,9,10,11,12,13,14,15,16,17,18,19,20,21,22,23,24,25},D380,F380,H380,J380,L380,N380,P380,R380,T380,V380,X380,Z380,AB380,AD380,AF380,AH380,AJ380,AL380,AN380,AP380,AR380,AT380,AV380,AX380,AZ380),0)))</x:f>
      </x:c>
      <x:c r="BD380" s="14" t="n">
        <x:f>LET(m,MIN(IF(E380&gt;0,E380,1E+99),IF(G380&gt;0,G380,1E+99),IF(I380&gt;0,I380,1E+99),IF(K380&gt;0,K380,1E+99),IF(M380&gt;0,M380,1E+99),IF(O380&gt;0,O380,1E+99),IF(Q380&gt;0,Q380,1E+99),IF(S380&gt;0,S380,1E+99),IF(U380&gt;0,U380,1E+99),IF(W380&gt;0,W380,1E+99),IF(Y380&gt;0,Y380,1E+99),IF(AA380&gt;0,AA380,1E+99),IF(AC380&gt;0,AC380,1E+99),IF(AE380&gt;0,AE380,1E+99),IF(AG380&gt;0,AG380,1E+99),IF(AI380&gt;0,AI380,1E+99),IF(AK380&gt;0,AK380,1E+99),IF(AM380&gt;0,AM380,1E+99),IF(AO380&gt;0,AO380,1E+99),IF(AQ380&gt;0,AQ380,1E+99),IF(AS380&gt;0,AS380,1E+99),IF(AU380&gt;0,AU380,1E+99),IF(AW380&gt;0,AW380,1E+99),IF(AY380&gt;0,AY380,1E+99),IF(BA380&gt;0,BA380,1E+99)),IF(m=1E+99,"",m))</x:f>
        <x:v>11.287</x:v>
      </x:c>
      <x:c r="BE380" s="16" t="str">
        <x:f>IF(BD380="","",INDEX({"v1.4.20","v1.4.20","v1.4.21","v1.4.21","v1.4.23","v1.4.23","v1.4.26","v1.4.26","v1.4.26.1","v1.4.26.1","v1.4.27","v1.4.27","v1.4.29","v1.4.29","v1.4.30","v1.4.30","v1.4.31","v1.4.31","v1.4.33","v1.4.33","v1.4.35","v1.4.35.2","v1.5","v1.5.1","v1.5.1"},MATCH(BD380,CHOOSE({1,2,3,4,5,6,7,8,9,10,11,12,13,14,15,16,17,18,19,20,21,22,23,24,25},E380,G380,I380,K380,M380,O380,Q380,S380,U380,W380,Y380,AA380,AC380,AE380,AG380,AI380,AK380,AM380,AO380,AQ380,AS380,AU380,AW380,AY380,BA380),0)))</x:f>
        <x:v>v1.4.20</x:v>
      </x:c>
      <x:c r="BF380" s="10" t="n">
        <x:f>IFERROR((AX380-BB380)/BB380,"")</x:f>
        <x:v>-1</x:v>
      </x:c>
      <x:c r="BG380" s="10" t="n">
        <x:f>IFERROR((AY380-BD380)/BD380,"")</x:f>
        <x:v>-1</x:v>
      </x:c>
    </x:row>
    <x:row r="381">
      <x:c r="A381" t="str">
        <x:v>Care Plan Due</x:v>
      </x:c>
      <x:c r="B381" t="str">
        <x:v>Format Care Plan Due Report</x:v>
      </x:c>
      <x:c r="C381" t="str">
        <x:v>Apply date/number formats: Template - Care Plan Due</x:v>
      </x:c>
      <x:c r="D381" s="8" t="n">
        <x:v>0.019</x:v>
      </x:c>
      <x:c r="E381" s="8" t="n">
        <x:v>11.838</x:v>
      </x:c>
      <x:c r="F381" s="8" t="n">
        <x:v>0.019</x:v>
      </x:c>
      <x:c r="G381" s="8" t="n">
        <x:v>11.838</x:v>
      </x:c>
      <x:c r="H381" s="8" t="n">
        <x:v>0.047</x:v>
      </x:c>
      <x:c r="I381" s="8" t="n">
        <x:v>14.042</x:v>
      </x:c>
      <x:c r="J381" s="8" t="n">
        <x:v>0.047</x:v>
      </x:c>
      <x:c r="K381" s="8" t="n">
        <x:v>14.042</x:v>
      </x:c>
      <x:c r="L381" s="8"/>
      <x:c r="M381" s="8"/>
      <x:c r="N381" s="8"/>
      <x:c r="O381" s="8"/>
      <x:c r="P381" s="8"/>
      <x:c r="Q381" s="8"/>
      <x:c r="R381" s="8"/>
      <x:c r="S381" s="8"/>
      <x:c r="T381" s="8"/>
      <x:c r="U381" s="8"/>
      <x:c r="V381" s="8"/>
      <x:c r="W381" s="8"/>
      <x:c r="X381" s="8"/>
      <x:c r="Y381" s="8"/>
      <x:c r="Z381" s="8"/>
      <x:c r="AA381" s="8"/>
      <x:c r="AB381" s="8"/>
      <x:c r="AC381" s="8"/>
      <x:c r="AD381" s="8"/>
      <x:c r="AE381" s="8"/>
      <x:c r="AF381" s="8"/>
      <x:c r="AG381" s="8"/>
      <x:c r="AH381" s="8"/>
      <x:c r="AI381" s="8"/>
      <x:c r="AJ381" s="8"/>
      <x:c r="AK381" s="8"/>
      <x:c r="AL381" s="8"/>
      <x:c r="AM381" s="8"/>
      <x:c r="AN381" s="8"/>
      <x:c r="AO381" s="8"/>
      <x:c r="AP381" s="8"/>
      <x:c r="AQ381" s="8"/>
      <x:c r="AR381" s="8"/>
      <x:c r="AS381" s="8"/>
      <x:c r="AT381" s="8"/>
      <x:c r="AU381" s="8"/>
      <x:c r="AV381" s="8"/>
      <x:c r="AW381" s="8"/>
      <x:c r="AX381" s="8"/>
      <x:c r="AY381" s="8"/>
      <x:c r="AZ381" s="8"/>
      <x:c r="BA381" s="8"/>
      <x:c r="BB381" s="8" t="n">
        <x:f>LET(m,MIN(IF(D381&gt;0,D381,1E+99),IF(F381&gt;0,F381,1E+99),IF(H381&gt;0,H381,1E+99),IF(J381&gt;0,J381,1E+99),IF(L381&gt;0,L381,1E+99),IF(N381&gt;0,N381,1E+99),IF(P381&gt;0,P381,1E+99),IF(R381&gt;0,R381,1E+99),IF(T381&gt;0,T381,1E+99),IF(V381&gt;0,V381,1E+99),IF(X381&gt;0,X381,1E+99),IF(Z381&gt;0,Z381,1E+99),IF(AB381&gt;0,AB381,1E+99),IF(AD381&gt;0,AD381,1E+99),IF(AF381&gt;0,AF381,1E+99),IF(AH381&gt;0,AH381,1E+99),IF(AJ381&gt;0,AJ381,1E+99),IF(AL381&gt;0,AL381,1E+99),IF(AN381&gt;0,AN381,1E+99),IF(AP381&gt;0,AP381,1E+99),IF(AR381&gt;0,AR381,1E+99),IF(AT381&gt;0,AT381,1E+99),IF(AV381&gt;0,AV381,1E+99),IF(AX381&gt;0,AX381,1E+99),IF(AZ381&gt;0,AZ381,1E+99)),IF(m=1E+99,"",m))</x:f>
        <x:v>0.019</x:v>
      </x:c>
      <x:c r="BC381" s="12" t="str">
        <x:f>IF(BB381="","",INDEX({"v1.4.20","v1.4.20","v1.4.21","v1.4.21","v1.4.23","v1.4.23","v1.4.26","v1.4.26","v1.4.26.1","v1.4.26.1","v1.4.27","v1.4.27","v1.4.29","v1.4.29","v1.4.30","v1.4.30","v1.4.31","v1.4.31","v1.4.33","v1.4.33","v1.4.35","v1.4.35.2","v1.5","v1.5.1","v1.5.1"},MATCH(BB381,CHOOSE({1,2,3,4,5,6,7,8,9,10,11,12,13,14,15,16,17,18,19,20,21,22,23,24,25},D381,F381,H381,J381,L381,N381,P381,R381,T381,V381,X381,Z381,AB381,AD381,AF381,AH381,AJ381,AL381,AN381,AP381,AR381,AT381,AV381,AX381,AZ381),0)))</x:f>
        <x:v>v1.4.20</x:v>
      </x:c>
      <x:c r="BD381" s="14" t="n">
        <x:f>LET(m,MIN(IF(E381&gt;0,E381,1E+99),IF(G381&gt;0,G381,1E+99),IF(I381&gt;0,I381,1E+99),IF(K381&gt;0,K381,1E+99),IF(M381&gt;0,M381,1E+99),IF(O381&gt;0,O381,1E+99),IF(Q381&gt;0,Q381,1E+99),IF(S381&gt;0,S381,1E+99),IF(U381&gt;0,U381,1E+99),IF(W381&gt;0,W381,1E+99),IF(Y381&gt;0,Y381,1E+99),IF(AA381&gt;0,AA381,1E+99),IF(AC381&gt;0,AC381,1E+99),IF(AE381&gt;0,AE381,1E+99),IF(AG381&gt;0,AG381,1E+99),IF(AI381&gt;0,AI381,1E+99),IF(AK381&gt;0,AK381,1E+99),IF(AM381&gt;0,AM381,1E+99),IF(AO381&gt;0,AO381,1E+99),IF(AQ381&gt;0,AQ381,1E+99),IF(AS381&gt;0,AS381,1E+99),IF(AU381&gt;0,AU381,1E+99),IF(AW381&gt;0,AW381,1E+99),IF(AY381&gt;0,AY381,1E+99),IF(BA381&gt;0,BA381,1E+99)),IF(m=1E+99,"",m))</x:f>
        <x:v>11.838</x:v>
      </x:c>
      <x:c r="BE381" s="16" t="str">
        <x:f>IF(BD381="","",INDEX({"v1.4.20","v1.4.20","v1.4.21","v1.4.21","v1.4.23","v1.4.23","v1.4.26","v1.4.26","v1.4.26.1","v1.4.26.1","v1.4.27","v1.4.27","v1.4.29","v1.4.29","v1.4.30","v1.4.30","v1.4.31","v1.4.31","v1.4.33","v1.4.33","v1.4.35","v1.4.35.2","v1.5","v1.5.1","v1.5.1"},MATCH(BD381,CHOOSE({1,2,3,4,5,6,7,8,9,10,11,12,13,14,15,16,17,18,19,20,21,22,23,24,25},E381,G381,I381,K381,M381,O381,Q381,S381,U381,W381,Y381,AA381,AC381,AE381,AG381,AI381,AK381,AM381,AO381,AQ381,AS381,AU381,AW381,AY381,BA381),0)))</x:f>
        <x:v>v1.4.20</x:v>
      </x:c>
      <x:c r="BF381" s="10" t="n">
        <x:f>IFERROR((AX381-BB381)/BB381,"")</x:f>
        <x:v>-1</x:v>
      </x:c>
      <x:c r="BG381" s="10" t="n">
        <x:f>IFERROR((AY381-BD381)/BD381,"")</x:f>
        <x:v>-1</x:v>
      </x:c>
    </x:row>
    <x:row r="382">
      <x:c r="A382" t="str">
        <x:v>Care Plan Due</x:v>
      </x:c>
      <x:c r="B382" t="str">
        <x:v>Format Care Plan Due Report</x:v>
      </x:c>
      <x:c r="C382" t="str">
        <x:v>Apply header row: Template - Care Plan Due</x:v>
      </x:c>
      <x:c r="D382" s="8" t="n">
        <x:v>0.044</x:v>
      </x:c>
      <x:c r="E382" s="8" t="n">
        <x:v>9.309</x:v>
      </x:c>
      <x:c r="F382" s="8" t="n">
        <x:v>0.044</x:v>
      </x:c>
      <x:c r="G382" s="8" t="n">
        <x:v>9.309</x:v>
      </x:c>
      <x:c r="H382" s="8" t="n">
        <x:v>0.03</x:v>
      </x:c>
      <x:c r="I382" s="8" t="n">
        <x:v>10.226</x:v>
      </x:c>
      <x:c r="J382" s="8" t="n">
        <x:v>0.03</x:v>
      </x:c>
      <x:c r="K382" s="8" t="n">
        <x:v>10.226</x:v>
      </x:c>
      <x:c r="L382" s="8"/>
      <x:c r="M382" s="8"/>
      <x:c r="N382" s="8"/>
      <x:c r="O382" s="8"/>
      <x:c r="P382" s="8"/>
      <x:c r="Q382" s="8"/>
      <x:c r="R382" s="8"/>
      <x:c r="S382" s="8"/>
      <x:c r="T382" s="8"/>
      <x:c r="U382" s="8"/>
      <x:c r="V382" s="8"/>
      <x:c r="W382" s="8"/>
      <x:c r="X382" s="8"/>
      <x:c r="Y382" s="8"/>
      <x:c r="Z382" s="8"/>
      <x:c r="AA382" s="8"/>
      <x:c r="AB382" s="8"/>
      <x:c r="AC382" s="8"/>
      <x:c r="AD382" s="8"/>
      <x:c r="AE382" s="8"/>
      <x:c r="AF382" s="8"/>
      <x:c r="AG382" s="8"/>
      <x:c r="AH382" s="8"/>
      <x:c r="AI382" s="8"/>
      <x:c r="AJ382" s="8"/>
      <x:c r="AK382" s="8"/>
      <x:c r="AL382" s="8"/>
      <x:c r="AM382" s="8"/>
      <x:c r="AN382" s="8"/>
      <x:c r="AO382" s="8"/>
      <x:c r="AP382" s="8"/>
      <x:c r="AQ382" s="8"/>
      <x:c r="AR382" s="8"/>
      <x:c r="AS382" s="8"/>
      <x:c r="AT382" s="8"/>
      <x:c r="AU382" s="8"/>
      <x:c r="AV382" s="8"/>
      <x:c r="AW382" s="8"/>
      <x:c r="AX382" s="8"/>
      <x:c r="AY382" s="8"/>
      <x:c r="AZ382" s="8"/>
      <x:c r="BA382" s="8"/>
      <x:c r="BB382" s="8" t="n">
        <x:f>LET(m,MIN(IF(D382&gt;0,D382,1E+99),IF(F382&gt;0,F382,1E+99),IF(H382&gt;0,H382,1E+99),IF(J382&gt;0,J382,1E+99),IF(L382&gt;0,L382,1E+99),IF(N382&gt;0,N382,1E+99),IF(P382&gt;0,P382,1E+99),IF(R382&gt;0,R382,1E+99),IF(T382&gt;0,T382,1E+99),IF(V382&gt;0,V382,1E+99),IF(X382&gt;0,X382,1E+99),IF(Z382&gt;0,Z382,1E+99),IF(AB382&gt;0,AB382,1E+99),IF(AD382&gt;0,AD382,1E+99),IF(AF382&gt;0,AF382,1E+99),IF(AH382&gt;0,AH382,1E+99),IF(AJ382&gt;0,AJ382,1E+99),IF(AL382&gt;0,AL382,1E+99),IF(AN382&gt;0,AN382,1E+99),IF(AP382&gt;0,AP382,1E+99),IF(AR382&gt;0,AR382,1E+99),IF(AT382&gt;0,AT382,1E+99),IF(AV382&gt;0,AV382,1E+99),IF(AX382&gt;0,AX382,1E+99),IF(AZ382&gt;0,AZ382,1E+99)),IF(m=1E+99,"",m))</x:f>
        <x:v>0.03</x:v>
      </x:c>
      <x:c r="BC382" s="12" t="e">
        <x:f>IF(BB382="","",INDEX({"v1.4.20","v1.4.20","v1.4.21","v1.4.21","v1.4.23","v1.4.23","v1.4.26","v1.4.26","v1.4.26.1","v1.4.26.1","v1.4.27","v1.4.27","v1.4.29","v1.4.29","v1.4.30","v1.4.30","v1.4.31","v1.4.31","v1.4.33","v1.4.33","v1.4.35","v1.4.35.2","v1.5","v1.5.1","v1.5.1"},MATCH(BB382,CHOOSE({1,2,3,4,5,6,7,8,9,10,11,12,13,14,15,16,17,18,19,20,21,22,23,24,25},D382,F382,H382,J382,L382,N382,P382,R382,T382,V382,X382,Z382,AB382,AD382,AF382,AH382,AJ382,AL382,AN382,AP382,AR382,AT382,AV382,AX382,AZ382),0)))</x:f>
      </x:c>
      <x:c r="BD382" s="14" t="n">
        <x:f>LET(m,MIN(IF(E382&gt;0,E382,1E+99),IF(G382&gt;0,G382,1E+99),IF(I382&gt;0,I382,1E+99),IF(K382&gt;0,K382,1E+99),IF(M382&gt;0,M382,1E+99),IF(O382&gt;0,O382,1E+99),IF(Q382&gt;0,Q382,1E+99),IF(S382&gt;0,S382,1E+99),IF(U382&gt;0,U382,1E+99),IF(W382&gt;0,W382,1E+99),IF(Y382&gt;0,Y382,1E+99),IF(AA382&gt;0,AA382,1E+99),IF(AC382&gt;0,AC382,1E+99),IF(AE382&gt;0,AE382,1E+99),IF(AG382&gt;0,AG382,1E+99),IF(AI382&gt;0,AI382,1E+99),IF(AK382&gt;0,AK382,1E+99),IF(AM382&gt;0,AM382,1E+99),IF(AO382&gt;0,AO382,1E+99),IF(AQ382&gt;0,AQ382,1E+99),IF(AS382&gt;0,AS382,1E+99),IF(AU382&gt;0,AU382,1E+99),IF(AW382&gt;0,AW382,1E+99),IF(AY382&gt;0,AY382,1E+99),IF(BA382&gt;0,BA382,1E+99)),IF(m=1E+99,"",m))</x:f>
        <x:v>9.309</x:v>
      </x:c>
      <x:c r="BE382" s="16" t="str">
        <x:f>IF(BD382="","",INDEX({"v1.4.20","v1.4.20","v1.4.21","v1.4.21","v1.4.23","v1.4.23","v1.4.26","v1.4.26","v1.4.26.1","v1.4.26.1","v1.4.27","v1.4.27","v1.4.29","v1.4.29","v1.4.30","v1.4.30","v1.4.31","v1.4.31","v1.4.33","v1.4.33","v1.4.35","v1.4.35.2","v1.5","v1.5.1","v1.5.1"},MATCH(BD382,CHOOSE({1,2,3,4,5,6,7,8,9,10,11,12,13,14,15,16,17,18,19,20,21,22,23,24,25},E382,G382,I382,K382,M382,O382,Q382,S382,U382,W382,Y382,AA382,AC382,AE382,AG382,AI382,AK382,AM382,AO382,AQ382,AS382,AU382,AW382,AY382,BA382),0)))</x:f>
        <x:v>v1.4.20</x:v>
      </x:c>
      <x:c r="BF382" s="10" t="n">
        <x:f>IFERROR((AX382-BB382)/BB382,"")</x:f>
        <x:v>-1</x:v>
      </x:c>
      <x:c r="BG382" s="10" t="n">
        <x:f>IFERROR((AY382-BD382)/BD382,"")</x:f>
        <x:v>-1</x:v>
      </x:c>
    </x:row>
    <x:row r="383">
      <x:c r="A383" t="str">
        <x:v>Care Plan Due</x:v>
      </x:c>
      <x:c r="B383" t="str">
        <x:v>Format Care Plan Due Report</x:v>
      </x:c>
      <x:c r="C383" t="str">
        <x:v>Apply hidden/show column settings: Template - Care Plan Due</x:v>
      </x:c>
      <x:c r="D383" s="8" t="n">
        <x:v>0.001</x:v>
      </x:c>
      <x:c r="E383" s="8" t="n">
        <x:v>11.839</x:v>
      </x:c>
      <x:c r="F383" s="8" t="n">
        <x:v>0.001</x:v>
      </x:c>
      <x:c r="G383" s="8" t="n">
        <x:v>11.839</x:v>
      </x:c>
      <x:c r="H383" s="8" t="n">
        <x:v>0.008</x:v>
      </x:c>
      <x:c r="I383" s="8" t="n">
        <x:v>14.05</x:v>
      </x:c>
      <x:c r="J383" s="8" t="n">
        <x:v>0.008</x:v>
      </x:c>
      <x:c r="K383" s="8" t="n">
        <x:v>14.05</x:v>
      </x:c>
      <x:c r="L383" s="8"/>
      <x:c r="M383" s="8"/>
      <x:c r="N383" s="8"/>
      <x:c r="O383" s="8"/>
      <x:c r="P383" s="8"/>
      <x:c r="Q383" s="8"/>
      <x:c r="R383" s="8"/>
      <x:c r="S383" s="8"/>
      <x:c r="T383" s="8"/>
      <x:c r="U383" s="8"/>
      <x:c r="V383" s="8"/>
      <x:c r="W383" s="8"/>
      <x:c r="X383" s="8"/>
      <x:c r="Y383" s="8"/>
      <x:c r="Z383" s="8"/>
      <x:c r="AA383" s="8"/>
      <x:c r="AB383" s="8"/>
      <x:c r="AC383" s="8"/>
      <x:c r="AD383" s="8"/>
      <x:c r="AE383" s="8"/>
      <x:c r="AF383" s="8"/>
      <x:c r="AG383" s="8"/>
      <x:c r="AH383" s="8"/>
      <x:c r="AI383" s="8"/>
      <x:c r="AJ383" s="8"/>
      <x:c r="AK383" s="8"/>
      <x:c r="AL383" s="8"/>
      <x:c r="AM383" s="8"/>
      <x:c r="AN383" s="8"/>
      <x:c r="AO383" s="8"/>
      <x:c r="AP383" s="8"/>
      <x:c r="AQ383" s="8"/>
      <x:c r="AR383" s="8"/>
      <x:c r="AS383" s="8"/>
      <x:c r="AT383" s="8"/>
      <x:c r="AU383" s="8"/>
      <x:c r="AV383" s="8"/>
      <x:c r="AW383" s="8"/>
      <x:c r="AX383" s="8"/>
      <x:c r="AY383" s="8"/>
      <x:c r="AZ383" s="8"/>
      <x:c r="BA383" s="8"/>
      <x:c r="BB383" s="8" t="n">
        <x:f>LET(m,MIN(IF(D383&gt;0,D383,1E+99),IF(F383&gt;0,F383,1E+99),IF(H383&gt;0,H383,1E+99),IF(J383&gt;0,J383,1E+99),IF(L383&gt;0,L383,1E+99),IF(N383&gt;0,N383,1E+99),IF(P383&gt;0,P383,1E+99),IF(R383&gt;0,R383,1E+99),IF(T383&gt;0,T383,1E+99),IF(V383&gt;0,V383,1E+99),IF(X383&gt;0,X383,1E+99),IF(Z383&gt;0,Z383,1E+99),IF(AB383&gt;0,AB383,1E+99),IF(AD383&gt;0,AD383,1E+99),IF(AF383&gt;0,AF383,1E+99),IF(AH383&gt;0,AH383,1E+99),IF(AJ383&gt;0,AJ383,1E+99),IF(AL383&gt;0,AL383,1E+99),IF(AN383&gt;0,AN383,1E+99),IF(AP383&gt;0,AP383,1E+99),IF(AR383&gt;0,AR383,1E+99),IF(AT383&gt;0,AT383,1E+99),IF(AV383&gt;0,AV383,1E+99),IF(AX383&gt;0,AX383,1E+99),IF(AZ383&gt;0,AZ383,1E+99)),IF(m=1E+99,"",m))</x:f>
        <x:v>0.001</x:v>
      </x:c>
      <x:c r="BC383" s="12" t="str">
        <x:f>IF(BB383="","",INDEX({"v1.4.20","v1.4.20","v1.4.21","v1.4.21","v1.4.23","v1.4.23","v1.4.26","v1.4.26","v1.4.26.1","v1.4.26.1","v1.4.27","v1.4.27","v1.4.29","v1.4.29","v1.4.30","v1.4.30","v1.4.31","v1.4.31","v1.4.33","v1.4.33","v1.4.35","v1.4.35.2","v1.5","v1.5.1","v1.5.1"},MATCH(BB383,CHOOSE({1,2,3,4,5,6,7,8,9,10,11,12,13,14,15,16,17,18,19,20,21,22,23,24,25},D383,F383,H383,J383,L383,N383,P383,R383,T383,V383,X383,Z383,AB383,AD383,AF383,AH383,AJ383,AL383,AN383,AP383,AR383,AT383,AV383,AX383,AZ383),0)))</x:f>
        <x:v>v1.4.20</x:v>
      </x:c>
      <x:c r="BD383" s="14" t="n">
        <x:f>LET(m,MIN(IF(E383&gt;0,E383,1E+99),IF(G383&gt;0,G383,1E+99),IF(I383&gt;0,I383,1E+99),IF(K383&gt;0,K383,1E+99),IF(M383&gt;0,M383,1E+99),IF(O383&gt;0,O383,1E+99),IF(Q383&gt;0,Q383,1E+99),IF(S383&gt;0,S383,1E+99),IF(U383&gt;0,U383,1E+99),IF(W383&gt;0,W383,1E+99),IF(Y383&gt;0,Y383,1E+99),IF(AA383&gt;0,AA383,1E+99),IF(AC383&gt;0,AC383,1E+99),IF(AE383&gt;0,AE383,1E+99),IF(AG383&gt;0,AG383,1E+99),IF(AI383&gt;0,AI383,1E+99),IF(AK383&gt;0,AK383,1E+99),IF(AM383&gt;0,AM383,1E+99),IF(AO383&gt;0,AO383,1E+99),IF(AQ383&gt;0,AQ383,1E+99),IF(AS383&gt;0,AS383,1E+99),IF(AU383&gt;0,AU383,1E+99),IF(AW383&gt;0,AW383,1E+99),IF(AY383&gt;0,AY383,1E+99),IF(BA383&gt;0,BA383,1E+99)),IF(m=1E+99,"",m))</x:f>
        <x:v>11.839</x:v>
      </x:c>
      <x:c r="BE383" s="16" t="str">
        <x:f>IF(BD383="","",INDEX({"v1.4.20","v1.4.20","v1.4.21","v1.4.21","v1.4.23","v1.4.23","v1.4.26","v1.4.26","v1.4.26.1","v1.4.26.1","v1.4.27","v1.4.27","v1.4.29","v1.4.29","v1.4.30","v1.4.30","v1.4.31","v1.4.31","v1.4.33","v1.4.33","v1.4.35","v1.4.35.2","v1.5","v1.5.1","v1.5.1"},MATCH(BD383,CHOOSE({1,2,3,4,5,6,7,8,9,10,11,12,13,14,15,16,17,18,19,20,21,22,23,24,25},E383,G383,I383,K383,M383,O383,Q383,S383,U383,W383,Y383,AA383,AC383,AE383,AG383,AI383,AK383,AM383,AO383,AQ383,AS383,AU383,AW383,AY383,BA383),0)))</x:f>
        <x:v>v1.4.20</x:v>
      </x:c>
      <x:c r="BF383" s="10" t="n">
        <x:f>IFERROR((AX383-BB383)/BB383,"")</x:f>
        <x:v>-1</x:v>
      </x:c>
      <x:c r="BG383" s="10" t="n">
        <x:f>IFERROR((AY383-BD383)/BD383,"")</x:f>
        <x:v>-1</x:v>
      </x:c>
    </x:row>
    <x:row r="384">
      <x:c r="A384" t="str">
        <x:v>Care Plan Due</x:v>
      </x:c>
      <x:c r="B384" t="str">
        <x:v>Format Care Plan Due Report</x:v>
      </x:c>
      <x:c r="C384" t="str">
        <x:v>Apply row heights: Template - Care Plan Due</x:v>
      </x:c>
      <x:c r="D384" s="8" t="n">
        <x:v>0.017</x:v>
      </x:c>
      <x:c r="E384" s="8" t="n">
        <x:v>14.299</x:v>
      </x:c>
      <x:c r="F384" s="8" t="n">
        <x:v>0.017</x:v>
      </x:c>
      <x:c r="G384" s="8" t="n">
        <x:v>14.299</x:v>
      </x:c>
      <x:c r="H384" s="8" t="n">
        <x:v>0.012</x:v>
      </x:c>
      <x:c r="I384" s="8" t="n">
        <x:v>17.027</x:v>
      </x:c>
      <x:c r="J384" s="8" t="n">
        <x:v>0.012</x:v>
      </x:c>
      <x:c r="K384" s="8" t="n">
        <x:v>17.027</x:v>
      </x:c>
      <x:c r="L384" s="8"/>
      <x:c r="M384" s="8"/>
      <x:c r="N384" s="8"/>
      <x:c r="O384" s="8"/>
      <x:c r="P384" s="8"/>
      <x:c r="Q384" s="8"/>
      <x:c r="R384" s="8"/>
      <x:c r="S384" s="8"/>
      <x:c r="T384" s="8"/>
      <x:c r="U384" s="8"/>
      <x:c r="V384" s="8"/>
      <x:c r="W384" s="8"/>
      <x:c r="X384" s="8"/>
      <x:c r="Y384" s="8"/>
      <x:c r="Z384" s="8"/>
      <x:c r="AA384" s="8"/>
      <x:c r="AB384" s="8"/>
      <x:c r="AC384" s="8"/>
      <x:c r="AD384" s="8"/>
      <x:c r="AE384" s="8"/>
      <x:c r="AF384" s="8"/>
      <x:c r="AG384" s="8"/>
      <x:c r="AH384" s="8"/>
      <x:c r="AI384" s="8"/>
      <x:c r="AJ384" s="8"/>
      <x:c r="AK384" s="8"/>
      <x:c r="AL384" s="8"/>
      <x:c r="AM384" s="8"/>
      <x:c r="AN384" s="8"/>
      <x:c r="AO384" s="8"/>
      <x:c r="AP384" s="8"/>
      <x:c r="AQ384" s="8"/>
      <x:c r="AR384" s="8"/>
      <x:c r="AS384" s="8"/>
      <x:c r="AT384" s="8"/>
      <x:c r="AU384" s="8"/>
      <x:c r="AV384" s="8"/>
      <x:c r="AW384" s="8"/>
      <x:c r="AX384" s="8"/>
      <x:c r="AY384" s="8"/>
      <x:c r="AZ384" s="8"/>
      <x:c r="BA384" s="8"/>
      <x:c r="BB384" s="8" t="n">
        <x:f>LET(m,MIN(IF(D384&gt;0,D384,1E+99),IF(F384&gt;0,F384,1E+99),IF(H384&gt;0,H384,1E+99),IF(J384&gt;0,J384,1E+99),IF(L384&gt;0,L384,1E+99),IF(N384&gt;0,N384,1E+99),IF(P384&gt;0,P384,1E+99),IF(R384&gt;0,R384,1E+99),IF(T384&gt;0,T384,1E+99),IF(V384&gt;0,V384,1E+99),IF(X384&gt;0,X384,1E+99),IF(Z384&gt;0,Z384,1E+99),IF(AB384&gt;0,AB384,1E+99),IF(AD384&gt;0,AD384,1E+99),IF(AF384&gt;0,AF384,1E+99),IF(AH384&gt;0,AH384,1E+99),IF(AJ384&gt;0,AJ384,1E+99),IF(AL384&gt;0,AL384,1E+99),IF(AN384&gt;0,AN384,1E+99),IF(AP384&gt;0,AP384,1E+99),IF(AR384&gt;0,AR384,1E+99),IF(AT384&gt;0,AT384,1E+99),IF(AV384&gt;0,AV384,1E+99),IF(AX384&gt;0,AX384,1E+99),IF(AZ384&gt;0,AZ384,1E+99)),IF(m=1E+99,"",m))</x:f>
        <x:v>0.012</x:v>
      </x:c>
      <x:c r="BC384" s="12" t="e">
        <x:f>IF(BB384="","",INDEX({"v1.4.20","v1.4.20","v1.4.21","v1.4.21","v1.4.23","v1.4.23","v1.4.26","v1.4.26","v1.4.26.1","v1.4.26.1","v1.4.27","v1.4.27","v1.4.29","v1.4.29","v1.4.30","v1.4.30","v1.4.31","v1.4.31","v1.4.33","v1.4.33","v1.4.35","v1.4.35.2","v1.5","v1.5.1","v1.5.1"},MATCH(BB384,CHOOSE({1,2,3,4,5,6,7,8,9,10,11,12,13,14,15,16,17,18,19,20,21,22,23,24,25},D384,F384,H384,J384,L384,N384,P384,R384,T384,V384,X384,Z384,AB384,AD384,AF384,AH384,AJ384,AL384,AN384,AP384,AR384,AT384,AV384,AX384,AZ384),0)))</x:f>
      </x:c>
      <x:c r="BD384" s="14" t="n">
        <x:f>LET(m,MIN(IF(E384&gt;0,E384,1E+99),IF(G384&gt;0,G384,1E+99),IF(I384&gt;0,I384,1E+99),IF(K384&gt;0,K384,1E+99),IF(M384&gt;0,M384,1E+99),IF(O384&gt;0,O384,1E+99),IF(Q384&gt;0,Q384,1E+99),IF(S384&gt;0,S384,1E+99),IF(U384&gt;0,U384,1E+99),IF(W384&gt;0,W384,1E+99),IF(Y384&gt;0,Y384,1E+99),IF(AA384&gt;0,AA384,1E+99),IF(AC384&gt;0,AC384,1E+99),IF(AE384&gt;0,AE384,1E+99),IF(AG384&gt;0,AG384,1E+99),IF(AI384&gt;0,AI384,1E+99),IF(AK384&gt;0,AK384,1E+99),IF(AM384&gt;0,AM384,1E+99),IF(AO384&gt;0,AO384,1E+99),IF(AQ384&gt;0,AQ384,1E+99),IF(AS384&gt;0,AS384,1E+99),IF(AU384&gt;0,AU384,1E+99),IF(AW384&gt;0,AW384,1E+99),IF(AY384&gt;0,AY384,1E+99),IF(BA384&gt;0,BA384,1E+99)),IF(m=1E+99,"",m))</x:f>
        <x:v>14.299</x:v>
      </x:c>
      <x:c r="BE384" s="16" t="str">
        <x:f>IF(BD384="","",INDEX({"v1.4.20","v1.4.20","v1.4.21","v1.4.21","v1.4.23","v1.4.23","v1.4.26","v1.4.26","v1.4.26.1","v1.4.26.1","v1.4.27","v1.4.27","v1.4.29","v1.4.29","v1.4.30","v1.4.30","v1.4.31","v1.4.31","v1.4.33","v1.4.33","v1.4.35","v1.4.35.2","v1.5","v1.5.1","v1.5.1"},MATCH(BD384,CHOOSE({1,2,3,4,5,6,7,8,9,10,11,12,13,14,15,16,17,18,19,20,21,22,23,24,25},E384,G384,I384,K384,M384,O384,Q384,S384,U384,W384,Y384,AA384,AC384,AE384,AG384,AI384,AK384,AM384,AO384,AQ384,AS384,AU384,AW384,AY384,BA384),0)))</x:f>
        <x:v>v1.4.20</x:v>
      </x:c>
      <x:c r="BF384" s="10" t="n">
        <x:f>IFERROR((AX384-BB384)/BB384,"")</x:f>
        <x:v>-1</x:v>
      </x:c>
      <x:c r="BG384" s="10" t="n">
        <x:f>IFERROR((AY384-BD384)/BD384,"")</x:f>
        <x:v>-1</x:v>
      </x:c>
    </x:row>
    <x:row r="385">
      <x:c r="A385" t="str">
        <x:v>Care Plan Due</x:v>
      </x:c>
      <x:c r="B385" t="str">
        <x:v>Format Care Plan Due Report</x:v>
      </x:c>
      <x:c r="C385" t="str">
        <x:v>Apply title rows: Template - Care Plan Due</x:v>
      </x:c>
      <x:c r="D385" s="8" t="n">
        <x:v>0.933</x:v>
      </x:c>
      <x:c r="E385" s="8" t="n">
        <x:v>9.265</x:v>
      </x:c>
      <x:c r="F385" s="8" t="n">
        <x:v>0.933</x:v>
      </x:c>
      <x:c r="G385" s="8" t="n">
        <x:v>9.265</x:v>
      </x:c>
      <x:c r="H385" s="8" t="n">
        <x:v>1.856</x:v>
      </x:c>
      <x:c r="I385" s="8" t="n">
        <x:v>10.196</x:v>
      </x:c>
      <x:c r="J385" s="8" t="n">
        <x:v>1.856</x:v>
      </x:c>
      <x:c r="K385" s="8" t="n">
        <x:v>10.196</x:v>
      </x:c>
      <x:c r="L385" s="8"/>
      <x:c r="M385" s="8"/>
      <x:c r="N385" s="8"/>
      <x:c r="O385" s="8"/>
      <x:c r="P385" s="8"/>
      <x:c r="Q385" s="8"/>
      <x:c r="R385" s="8"/>
      <x:c r="S385" s="8"/>
      <x:c r="T385" s="8"/>
      <x:c r="U385" s="8"/>
      <x:c r="V385" s="8"/>
      <x:c r="W385" s="8"/>
      <x:c r="X385" s="8"/>
      <x:c r="Y385" s="8"/>
      <x:c r="Z385" s="8"/>
      <x:c r="AA385" s="8"/>
      <x:c r="AB385" s="8"/>
      <x:c r="AC385" s="8"/>
      <x:c r="AD385" s="8"/>
      <x:c r="AE385" s="8"/>
      <x:c r="AF385" s="8"/>
      <x:c r="AG385" s="8"/>
      <x:c r="AH385" s="8"/>
      <x:c r="AI385" s="8"/>
      <x:c r="AJ385" s="8"/>
      <x:c r="AK385" s="8"/>
      <x:c r="AL385" s="8"/>
      <x:c r="AM385" s="8"/>
      <x:c r="AN385" s="8"/>
      <x:c r="AO385" s="8"/>
      <x:c r="AP385" s="8"/>
      <x:c r="AQ385" s="8"/>
      <x:c r="AR385" s="8"/>
      <x:c r="AS385" s="8"/>
      <x:c r="AT385" s="8"/>
      <x:c r="AU385" s="8"/>
      <x:c r="AV385" s="8"/>
      <x:c r="AW385" s="8"/>
      <x:c r="AX385" s="8"/>
      <x:c r="AY385" s="8"/>
      <x:c r="AZ385" s="8"/>
      <x:c r="BA385" s="8"/>
      <x:c r="BB385" s="8" t="n">
        <x:f>LET(m,MIN(IF(D385&gt;0,D385,1E+99),IF(F385&gt;0,F385,1E+99),IF(H385&gt;0,H385,1E+99),IF(J385&gt;0,J385,1E+99),IF(L385&gt;0,L385,1E+99),IF(N385&gt;0,N385,1E+99),IF(P385&gt;0,P385,1E+99),IF(R385&gt;0,R385,1E+99),IF(T385&gt;0,T385,1E+99),IF(V385&gt;0,V385,1E+99),IF(X385&gt;0,X385,1E+99),IF(Z385&gt;0,Z385,1E+99),IF(AB385&gt;0,AB385,1E+99),IF(AD385&gt;0,AD385,1E+99),IF(AF385&gt;0,AF385,1E+99),IF(AH385&gt;0,AH385,1E+99),IF(AJ385&gt;0,AJ385,1E+99),IF(AL385&gt;0,AL385,1E+99),IF(AN385&gt;0,AN385,1E+99),IF(AP385&gt;0,AP385,1E+99),IF(AR385&gt;0,AR385,1E+99),IF(AT385&gt;0,AT385,1E+99),IF(AV385&gt;0,AV385,1E+99),IF(AX385&gt;0,AX385,1E+99),IF(AZ385&gt;0,AZ385,1E+99)),IF(m=1E+99,"",m))</x:f>
        <x:v>0.933</x:v>
      </x:c>
      <x:c r="BC385" s="12" t="str">
        <x:f>IF(BB385="","",INDEX({"v1.4.20","v1.4.20","v1.4.21","v1.4.21","v1.4.23","v1.4.23","v1.4.26","v1.4.26","v1.4.26.1","v1.4.26.1","v1.4.27","v1.4.27","v1.4.29","v1.4.29","v1.4.30","v1.4.30","v1.4.31","v1.4.31","v1.4.33","v1.4.33","v1.4.35","v1.4.35.2","v1.5","v1.5.1","v1.5.1"},MATCH(BB385,CHOOSE({1,2,3,4,5,6,7,8,9,10,11,12,13,14,15,16,17,18,19,20,21,22,23,24,25},D385,F385,H385,J385,L385,N385,P385,R385,T385,V385,X385,Z385,AB385,AD385,AF385,AH385,AJ385,AL385,AN385,AP385,AR385,AT385,AV385,AX385,AZ385),0)))</x:f>
        <x:v>v1.4.20</x:v>
      </x:c>
      <x:c r="BD385" s="14" t="n">
        <x:f>LET(m,MIN(IF(E385&gt;0,E385,1E+99),IF(G385&gt;0,G385,1E+99),IF(I385&gt;0,I385,1E+99),IF(K385&gt;0,K385,1E+99),IF(M385&gt;0,M385,1E+99),IF(O385&gt;0,O385,1E+99),IF(Q385&gt;0,Q385,1E+99),IF(S385&gt;0,S385,1E+99),IF(U385&gt;0,U385,1E+99),IF(W385&gt;0,W385,1E+99),IF(Y385&gt;0,Y385,1E+99),IF(AA385&gt;0,AA385,1E+99),IF(AC385&gt;0,AC385,1E+99),IF(AE385&gt;0,AE385,1E+99),IF(AG385&gt;0,AG385,1E+99),IF(AI385&gt;0,AI385,1E+99),IF(AK385&gt;0,AK385,1E+99),IF(AM385&gt;0,AM385,1E+99),IF(AO385&gt;0,AO385,1E+99),IF(AQ385&gt;0,AQ385,1E+99),IF(AS385&gt;0,AS385,1E+99),IF(AU385&gt;0,AU385,1E+99),IF(AW385&gt;0,AW385,1E+99),IF(AY385&gt;0,AY385,1E+99),IF(BA385&gt;0,BA385,1E+99)),IF(m=1E+99,"",m))</x:f>
        <x:v>9.265</x:v>
      </x:c>
      <x:c r="BE385" s="16" t="str">
        <x:f>IF(BD385="","",INDEX({"v1.4.20","v1.4.20","v1.4.21","v1.4.21","v1.4.23","v1.4.23","v1.4.26","v1.4.26","v1.4.26.1","v1.4.26.1","v1.4.27","v1.4.27","v1.4.29","v1.4.29","v1.4.30","v1.4.30","v1.4.31","v1.4.31","v1.4.33","v1.4.33","v1.4.35","v1.4.35.2","v1.5","v1.5.1","v1.5.1"},MATCH(BD385,CHOOSE({1,2,3,4,5,6,7,8,9,10,11,12,13,14,15,16,17,18,19,20,21,22,23,24,25},E385,G385,I385,K385,M385,O385,Q385,S385,U385,W385,Y385,AA385,AC385,AE385,AG385,AI385,AK385,AM385,AO385,AQ385,AS385,AU385,AW385,AY385,BA385),0)))</x:f>
        <x:v>v1.4.20</x:v>
      </x:c>
      <x:c r="BF385" s="10" t="n">
        <x:f>IFERROR((AX385-BB385)/BB385,"")</x:f>
        <x:v>-1</x:v>
      </x:c>
      <x:c r="BG385" s="10" t="n">
        <x:f>IFERROR((AY385-BD385)/BD385,"")</x:f>
        <x:v>-1</x:v>
      </x:c>
    </x:row>
    <x:row r="386">
      <x:c r="A386" t="str">
        <x:v>Care Plan Due</x:v>
      </x:c>
      <x:c r="B386" t="str">
        <x:v>Format Care Plan Due Report</x:v>
      </x:c>
      <x:c r="C386" t="str">
        <x:v>Create filter: Template - Care Plan Due</x:v>
      </x:c>
      <x:c r="D386" s="8" t="n">
        <x:v>1.734</x:v>
      </x:c>
      <x:c r="E386" s="8" t="n">
        <x:v>14.282</x:v>
      </x:c>
      <x:c r="F386" s="8" t="n">
        <x:v>1.734</x:v>
      </x:c>
      <x:c r="G386" s="8" t="n">
        <x:v>14.282</x:v>
      </x:c>
      <x:c r="H386" s="8" t="n">
        <x:v>2.112</x:v>
      </x:c>
      <x:c r="I386" s="8" t="n">
        <x:v>17.015</x:v>
      </x:c>
      <x:c r="J386" s="8" t="n">
        <x:v>2.112</x:v>
      </x:c>
      <x:c r="K386" s="8" t="n">
        <x:v>17.015</x:v>
      </x:c>
      <x:c r="L386" s="8"/>
      <x:c r="M386" s="8"/>
      <x:c r="N386" s="8"/>
      <x:c r="O386" s="8"/>
      <x:c r="P386" s="8"/>
      <x:c r="Q386" s="8"/>
      <x:c r="R386" s="8"/>
      <x:c r="S386" s="8"/>
      <x:c r="T386" s="8"/>
      <x:c r="U386" s="8"/>
      <x:c r="V386" s="8"/>
      <x:c r="W386" s="8"/>
      <x:c r="X386" s="8"/>
      <x:c r="Y386" s="8"/>
      <x:c r="Z386" s="8"/>
      <x:c r="AA386" s="8"/>
      <x:c r="AB386" s="8"/>
      <x:c r="AC386" s="8"/>
      <x:c r="AD386" s="8"/>
      <x:c r="AE386" s="8"/>
      <x:c r="AF386" s="8"/>
      <x:c r="AG386" s="8"/>
      <x:c r="AH386" s="8"/>
      <x:c r="AI386" s="8"/>
      <x:c r="AJ386" s="8"/>
      <x:c r="AK386" s="8"/>
      <x:c r="AL386" s="8"/>
      <x:c r="AM386" s="8"/>
      <x:c r="AN386" s="8"/>
      <x:c r="AO386" s="8"/>
      <x:c r="AP386" s="8"/>
      <x:c r="AQ386" s="8"/>
      <x:c r="AR386" s="8"/>
      <x:c r="AS386" s="8"/>
      <x:c r="AT386" s="8"/>
      <x:c r="AU386" s="8"/>
      <x:c r="AV386" s="8"/>
      <x:c r="AW386" s="8"/>
      <x:c r="AX386" s="8"/>
      <x:c r="AY386" s="8"/>
      <x:c r="AZ386" s="8"/>
      <x:c r="BA386" s="8"/>
      <x:c r="BB386" s="8" t="n">
        <x:f>LET(m,MIN(IF(D386&gt;0,D386,1E+99),IF(F386&gt;0,F386,1E+99),IF(H386&gt;0,H386,1E+99),IF(J386&gt;0,J386,1E+99),IF(L386&gt;0,L386,1E+99),IF(N386&gt;0,N386,1E+99),IF(P386&gt;0,P386,1E+99),IF(R386&gt;0,R386,1E+99),IF(T386&gt;0,T386,1E+99),IF(V386&gt;0,V386,1E+99),IF(X386&gt;0,X386,1E+99),IF(Z386&gt;0,Z386,1E+99),IF(AB386&gt;0,AB386,1E+99),IF(AD386&gt;0,AD386,1E+99),IF(AF386&gt;0,AF386,1E+99),IF(AH386&gt;0,AH386,1E+99),IF(AJ386&gt;0,AJ386,1E+99),IF(AL386&gt;0,AL386,1E+99),IF(AN386&gt;0,AN386,1E+99),IF(AP386&gt;0,AP386,1E+99),IF(AR386&gt;0,AR386,1E+99),IF(AT386&gt;0,AT386,1E+99),IF(AV386&gt;0,AV386,1E+99),IF(AX386&gt;0,AX386,1E+99),IF(AZ386&gt;0,AZ386,1E+99)),IF(m=1E+99,"",m))</x:f>
        <x:v>1.734</x:v>
      </x:c>
      <x:c r="BC386" s="12" t="str">
        <x:f>IF(BB386="","",INDEX({"v1.4.20","v1.4.20","v1.4.21","v1.4.21","v1.4.23","v1.4.23","v1.4.26","v1.4.26","v1.4.26.1","v1.4.26.1","v1.4.27","v1.4.27","v1.4.29","v1.4.29","v1.4.30","v1.4.30","v1.4.31","v1.4.31","v1.4.33","v1.4.33","v1.4.35","v1.4.35.2","v1.5","v1.5.1","v1.5.1"},MATCH(BB386,CHOOSE({1,2,3,4,5,6,7,8,9,10,11,12,13,14,15,16,17,18,19,20,21,22,23,24,25},D386,F386,H386,J386,L386,N386,P386,R386,T386,V386,X386,Z386,AB386,AD386,AF386,AH386,AJ386,AL386,AN386,AP386,AR386,AT386,AV386,AX386,AZ386),0)))</x:f>
        <x:v>v1.4.20</x:v>
      </x:c>
      <x:c r="BD386" s="14" t="n">
        <x:f>LET(m,MIN(IF(E386&gt;0,E386,1E+99),IF(G386&gt;0,G386,1E+99),IF(I386&gt;0,I386,1E+99),IF(K386&gt;0,K386,1E+99),IF(M386&gt;0,M386,1E+99),IF(O386&gt;0,O386,1E+99),IF(Q386&gt;0,Q386,1E+99),IF(S386&gt;0,S386,1E+99),IF(U386&gt;0,U386,1E+99),IF(W386&gt;0,W386,1E+99),IF(Y386&gt;0,Y386,1E+99),IF(AA386&gt;0,AA386,1E+99),IF(AC386&gt;0,AC386,1E+99),IF(AE386&gt;0,AE386,1E+99),IF(AG386&gt;0,AG386,1E+99),IF(AI386&gt;0,AI386,1E+99),IF(AK386&gt;0,AK386,1E+99),IF(AM386&gt;0,AM386,1E+99),IF(AO386&gt;0,AO386,1E+99),IF(AQ386&gt;0,AQ386,1E+99),IF(AS386&gt;0,AS386,1E+99),IF(AU386&gt;0,AU386,1E+99),IF(AW386&gt;0,AW386,1E+99),IF(AY386&gt;0,AY386,1E+99),IF(BA386&gt;0,BA386,1E+99)),IF(m=1E+99,"",m))</x:f>
        <x:v>14.282</x:v>
      </x:c>
      <x:c r="BE386" s="16" t="str">
        <x:f>IF(BD386="","",INDEX({"v1.4.20","v1.4.20","v1.4.21","v1.4.21","v1.4.23","v1.4.23","v1.4.26","v1.4.26","v1.4.26.1","v1.4.26.1","v1.4.27","v1.4.27","v1.4.29","v1.4.29","v1.4.30","v1.4.30","v1.4.31","v1.4.31","v1.4.33","v1.4.33","v1.4.35","v1.4.35.2","v1.5","v1.5.1","v1.5.1"},MATCH(BD386,CHOOSE({1,2,3,4,5,6,7,8,9,10,11,12,13,14,15,16,17,18,19,20,21,22,23,24,25},E386,G386,I386,K386,M386,O386,Q386,S386,U386,W386,Y386,AA386,AC386,AE386,AG386,AI386,AK386,AM386,AO386,AQ386,AS386,AU386,AW386,AY386,BA386),0)))</x:f>
        <x:v>v1.4.20</x:v>
      </x:c>
      <x:c r="BF386" s="10" t="n">
        <x:f>IFERROR((AX386-BB386)/BB386,"")</x:f>
        <x:v>-1</x:v>
      </x:c>
      <x:c r="BG386" s="10" t="n">
        <x:f>IFERROR((AY386-BD386)/BD386,"")</x:f>
        <x:v>-1</x:v>
      </x:c>
    </x:row>
    <x:row r="387">
      <x:c r="A387" t="str">
        <x:v>Care Plan Due</x:v>
      </x:c>
      <x:c r="B387" t="str">
        <x:v>Format Care Plan Due Report</x:v>
      </x:c>
      <x:c r="C387" t="str">
        <x:v>Ensure frozen columns: Template - Care Plan Due</x:v>
      </x:c>
      <x:c r="D387" s="8" t="n">
        <x:v>0.771</x:v>
      </x:c>
      <x:c r="E387" s="8" t="n">
        <x:v>16.347</x:v>
      </x:c>
      <x:c r="F387" s="8" t="n">
        <x:v>0.771</x:v>
      </x:c>
      <x:c r="G387" s="8" t="n">
        <x:v>16.347</x:v>
      </x:c>
      <x:c r="H387" s="8" t="n">
        <x:v>0.776</x:v>
      </x:c>
      <x:c r="I387" s="8" t="n">
        <x:v>19.19</x:v>
      </x:c>
      <x:c r="J387" s="8" t="n">
        <x:v>0.776</x:v>
      </x:c>
      <x:c r="K387" s="8" t="n">
        <x:v>19.19</x:v>
      </x:c>
      <x:c r="L387" s="8"/>
      <x:c r="M387" s="8"/>
      <x:c r="N387" s="8"/>
      <x:c r="O387" s="8"/>
      <x:c r="P387" s="8"/>
      <x:c r="Q387" s="8"/>
      <x:c r="R387" s="8"/>
      <x:c r="S387" s="8"/>
      <x:c r="T387" s="8"/>
      <x:c r="U387" s="8"/>
      <x:c r="V387" s="8"/>
      <x:c r="W387" s="8"/>
      <x:c r="X387" s="8"/>
      <x:c r="Y387" s="8"/>
      <x:c r="Z387" s="8"/>
      <x:c r="AA387" s="8"/>
      <x:c r="AB387" s="8"/>
      <x:c r="AC387" s="8"/>
      <x:c r="AD387" s="8"/>
      <x:c r="AE387" s="8"/>
      <x:c r="AF387" s="8"/>
      <x:c r="AG387" s="8"/>
      <x:c r="AH387" s="8"/>
      <x:c r="AI387" s="8"/>
      <x:c r="AJ387" s="8"/>
      <x:c r="AK387" s="8"/>
      <x:c r="AL387" s="8"/>
      <x:c r="AM387" s="8"/>
      <x:c r="AN387" s="8"/>
      <x:c r="AO387" s="8"/>
      <x:c r="AP387" s="8"/>
      <x:c r="AQ387" s="8"/>
      <x:c r="AR387" s="8"/>
      <x:c r="AS387" s="8"/>
      <x:c r="AT387" s="8"/>
      <x:c r="AU387" s="8"/>
      <x:c r="AV387" s="8"/>
      <x:c r="AW387" s="8"/>
      <x:c r="AX387" s="8"/>
      <x:c r="AY387" s="8"/>
      <x:c r="AZ387" s="8"/>
      <x:c r="BA387" s="8"/>
      <x:c r="BB387" s="8" t="n">
        <x:f>LET(m,MIN(IF(D387&gt;0,D387,1E+99),IF(F387&gt;0,F387,1E+99),IF(H387&gt;0,H387,1E+99),IF(J387&gt;0,J387,1E+99),IF(L387&gt;0,L387,1E+99),IF(N387&gt;0,N387,1E+99),IF(P387&gt;0,P387,1E+99),IF(R387&gt;0,R387,1E+99),IF(T387&gt;0,T387,1E+99),IF(V387&gt;0,V387,1E+99),IF(X387&gt;0,X387,1E+99),IF(Z387&gt;0,Z387,1E+99),IF(AB387&gt;0,AB387,1E+99),IF(AD387&gt;0,AD387,1E+99),IF(AF387&gt;0,AF387,1E+99),IF(AH387&gt;0,AH387,1E+99),IF(AJ387&gt;0,AJ387,1E+99),IF(AL387&gt;0,AL387,1E+99),IF(AN387&gt;0,AN387,1E+99),IF(AP387&gt;0,AP387,1E+99),IF(AR387&gt;0,AR387,1E+99),IF(AT387&gt;0,AT387,1E+99),IF(AV387&gt;0,AV387,1E+99),IF(AX387&gt;0,AX387,1E+99),IF(AZ387&gt;0,AZ387,1E+99)),IF(m=1E+99,"",m))</x:f>
        <x:v>0.771</x:v>
      </x:c>
      <x:c r="BC387" s="12" t="str">
        <x:f>IF(BB387="","",INDEX({"v1.4.20","v1.4.20","v1.4.21","v1.4.21","v1.4.23","v1.4.23","v1.4.26","v1.4.26","v1.4.26.1","v1.4.26.1","v1.4.27","v1.4.27","v1.4.29","v1.4.29","v1.4.30","v1.4.30","v1.4.31","v1.4.31","v1.4.33","v1.4.33","v1.4.35","v1.4.35.2","v1.5","v1.5.1","v1.5.1"},MATCH(BB387,CHOOSE({1,2,3,4,5,6,7,8,9,10,11,12,13,14,15,16,17,18,19,20,21,22,23,24,25},D387,F387,H387,J387,L387,N387,P387,R387,T387,V387,X387,Z387,AB387,AD387,AF387,AH387,AJ387,AL387,AN387,AP387,AR387,AT387,AV387,AX387,AZ387),0)))</x:f>
        <x:v>v1.4.20</x:v>
      </x:c>
      <x:c r="BD387" s="14" t="n">
        <x:f>LET(m,MIN(IF(E387&gt;0,E387,1E+99),IF(G387&gt;0,G387,1E+99),IF(I387&gt;0,I387,1E+99),IF(K387&gt;0,K387,1E+99),IF(M387&gt;0,M387,1E+99),IF(O387&gt;0,O387,1E+99),IF(Q387&gt;0,Q387,1E+99),IF(S387&gt;0,S387,1E+99),IF(U387&gt;0,U387,1E+99),IF(W387&gt;0,W387,1E+99),IF(Y387&gt;0,Y387,1E+99),IF(AA387&gt;0,AA387,1E+99),IF(AC387&gt;0,AC387,1E+99),IF(AE387&gt;0,AE387,1E+99),IF(AG387&gt;0,AG387,1E+99),IF(AI387&gt;0,AI387,1E+99),IF(AK387&gt;0,AK387,1E+99),IF(AM387&gt;0,AM387,1E+99),IF(AO387&gt;0,AO387,1E+99),IF(AQ387&gt;0,AQ387,1E+99),IF(AS387&gt;0,AS387,1E+99),IF(AU387&gt;0,AU387,1E+99),IF(AW387&gt;0,AW387,1E+99),IF(AY387&gt;0,AY387,1E+99),IF(BA387&gt;0,BA387,1E+99)),IF(m=1E+99,"",m))</x:f>
        <x:v>16.347</x:v>
      </x:c>
      <x:c r="BE387" s="16" t="str">
        <x:f>IF(BD387="","",INDEX({"v1.4.20","v1.4.20","v1.4.21","v1.4.21","v1.4.23","v1.4.23","v1.4.26","v1.4.26","v1.4.26.1","v1.4.26.1","v1.4.27","v1.4.27","v1.4.29","v1.4.29","v1.4.30","v1.4.30","v1.4.31","v1.4.31","v1.4.33","v1.4.33","v1.4.35","v1.4.35.2","v1.5","v1.5.1","v1.5.1"},MATCH(BD387,CHOOSE({1,2,3,4,5,6,7,8,9,10,11,12,13,14,15,16,17,18,19,20,21,22,23,24,25},E387,G387,I387,K387,M387,O387,Q387,S387,U387,W387,Y387,AA387,AC387,AE387,AG387,AI387,AK387,AM387,AO387,AQ387,AS387,AU387,AW387,AY387,BA387),0)))</x:f>
        <x:v>v1.4.20</x:v>
      </x:c>
      <x:c r="BF387" s="10" t="n">
        <x:f>IFERROR((AX387-BB387)/BB387,"")</x:f>
        <x:v>-1</x:v>
      </x:c>
      <x:c r="BG387" s="10" t="n">
        <x:f>IFERROR((AY387-BD387)/BD387,"")</x:f>
        <x:v>-1</x:v>
      </x:c>
    </x:row>
    <x:row r="388">
      <x:c r="A388" t="str">
        <x:v>Care Plan Due</x:v>
      </x:c>
      <x:c r="B388" t="str">
        <x:v>Format Care Plan Due Report</x:v>
      </x:c>
      <x:c r="C388" t="str">
        <x:v>Ensure frozen rows: Template - Care Plan Due</x:v>
      </x:c>
      <x:c r="D388" s="8" t="n">
        <x:v>1.277</x:v>
      </x:c>
      <x:c r="E388" s="8" t="n">
        <x:v>15.576</x:v>
      </x:c>
      <x:c r="F388" s="8" t="n">
        <x:v>1.277</x:v>
      </x:c>
      <x:c r="G388" s="8" t="n">
        <x:v>15.576</x:v>
      </x:c>
      <x:c r="H388" s="8" t="n">
        <x:v>1.387</x:v>
      </x:c>
      <x:c r="I388" s="8" t="n">
        <x:v>18.414</x:v>
      </x:c>
      <x:c r="J388" s="8" t="n">
        <x:v>1.387</x:v>
      </x:c>
      <x:c r="K388" s="8" t="n">
        <x:v>18.414</x:v>
      </x:c>
      <x:c r="L388" s="8"/>
      <x:c r="M388" s="8"/>
      <x:c r="N388" s="8"/>
      <x:c r="O388" s="8"/>
      <x:c r="P388" s="8"/>
      <x:c r="Q388" s="8"/>
      <x:c r="R388" s="8"/>
      <x:c r="S388" s="8"/>
      <x:c r="T388" s="8"/>
      <x:c r="U388" s="8"/>
      <x:c r="V388" s="8"/>
      <x:c r="W388" s="8"/>
      <x:c r="X388" s="8"/>
      <x:c r="Y388" s="8"/>
      <x:c r="Z388" s="8"/>
      <x:c r="AA388" s="8"/>
      <x:c r="AB388" s="8"/>
      <x:c r="AC388" s="8"/>
      <x:c r="AD388" s="8"/>
      <x:c r="AE388" s="8"/>
      <x:c r="AF388" s="8"/>
      <x:c r="AG388" s="8"/>
      <x:c r="AH388" s="8"/>
      <x:c r="AI388" s="8"/>
      <x:c r="AJ388" s="8"/>
      <x:c r="AK388" s="8"/>
      <x:c r="AL388" s="8"/>
      <x:c r="AM388" s="8"/>
      <x:c r="AN388" s="8"/>
      <x:c r="AO388" s="8"/>
      <x:c r="AP388" s="8"/>
      <x:c r="AQ388" s="8"/>
      <x:c r="AR388" s="8"/>
      <x:c r="AS388" s="8"/>
      <x:c r="AT388" s="8"/>
      <x:c r="AU388" s="8"/>
      <x:c r="AV388" s="8"/>
      <x:c r="AW388" s="8"/>
      <x:c r="AX388" s="8"/>
      <x:c r="AY388" s="8"/>
      <x:c r="AZ388" s="8"/>
      <x:c r="BA388" s="8"/>
      <x:c r="BB388" s="8" t="n">
        <x:f>LET(m,MIN(IF(D388&gt;0,D388,1E+99),IF(F388&gt;0,F388,1E+99),IF(H388&gt;0,H388,1E+99),IF(J388&gt;0,J388,1E+99),IF(L388&gt;0,L388,1E+99),IF(N388&gt;0,N388,1E+99),IF(P388&gt;0,P388,1E+99),IF(R388&gt;0,R388,1E+99),IF(T388&gt;0,T388,1E+99),IF(V388&gt;0,V388,1E+99),IF(X388&gt;0,X388,1E+99),IF(Z388&gt;0,Z388,1E+99),IF(AB388&gt;0,AB388,1E+99),IF(AD388&gt;0,AD388,1E+99),IF(AF388&gt;0,AF388,1E+99),IF(AH388&gt;0,AH388,1E+99),IF(AJ388&gt;0,AJ388,1E+99),IF(AL388&gt;0,AL388,1E+99),IF(AN388&gt;0,AN388,1E+99),IF(AP388&gt;0,AP388,1E+99),IF(AR388&gt;0,AR388,1E+99),IF(AT388&gt;0,AT388,1E+99),IF(AV388&gt;0,AV388,1E+99),IF(AX388&gt;0,AX388,1E+99),IF(AZ388&gt;0,AZ388,1E+99)),IF(m=1E+99,"",m))</x:f>
        <x:v>1.277</x:v>
      </x:c>
      <x:c r="BC388" s="12" t="str">
        <x:f>IF(BB388="","",INDEX({"v1.4.20","v1.4.20","v1.4.21","v1.4.21","v1.4.23","v1.4.23","v1.4.26","v1.4.26","v1.4.26.1","v1.4.26.1","v1.4.27","v1.4.27","v1.4.29","v1.4.29","v1.4.30","v1.4.30","v1.4.31","v1.4.31","v1.4.33","v1.4.33","v1.4.35","v1.4.35.2","v1.5","v1.5.1","v1.5.1"},MATCH(BB388,CHOOSE({1,2,3,4,5,6,7,8,9,10,11,12,13,14,15,16,17,18,19,20,21,22,23,24,25},D388,F388,H388,J388,L388,N388,P388,R388,T388,V388,X388,Z388,AB388,AD388,AF388,AH388,AJ388,AL388,AN388,AP388,AR388,AT388,AV388,AX388,AZ388),0)))</x:f>
        <x:v>v1.4.20</x:v>
      </x:c>
      <x:c r="BD388" s="14" t="n">
        <x:f>LET(m,MIN(IF(E388&gt;0,E388,1E+99),IF(G388&gt;0,G388,1E+99),IF(I388&gt;0,I388,1E+99),IF(K388&gt;0,K388,1E+99),IF(M388&gt;0,M388,1E+99),IF(O388&gt;0,O388,1E+99),IF(Q388&gt;0,Q388,1E+99),IF(S388&gt;0,S388,1E+99),IF(U388&gt;0,U388,1E+99),IF(W388&gt;0,W388,1E+99),IF(Y388&gt;0,Y388,1E+99),IF(AA388&gt;0,AA388,1E+99),IF(AC388&gt;0,AC388,1E+99),IF(AE388&gt;0,AE388,1E+99),IF(AG388&gt;0,AG388,1E+99),IF(AI388&gt;0,AI388,1E+99),IF(AK388&gt;0,AK388,1E+99),IF(AM388&gt;0,AM388,1E+99),IF(AO388&gt;0,AO388,1E+99),IF(AQ388&gt;0,AQ388,1E+99),IF(AS388&gt;0,AS388,1E+99),IF(AU388&gt;0,AU388,1E+99),IF(AW388&gt;0,AW388,1E+99),IF(AY388&gt;0,AY388,1E+99),IF(BA388&gt;0,BA388,1E+99)),IF(m=1E+99,"",m))</x:f>
        <x:v>15.576</x:v>
      </x:c>
      <x:c r="BE388" s="16" t="str">
        <x:f>IF(BD388="","",INDEX({"v1.4.20","v1.4.20","v1.4.21","v1.4.21","v1.4.23","v1.4.23","v1.4.26","v1.4.26","v1.4.26.1","v1.4.26.1","v1.4.27","v1.4.27","v1.4.29","v1.4.29","v1.4.30","v1.4.30","v1.4.31","v1.4.31","v1.4.33","v1.4.33","v1.4.35","v1.4.35.2","v1.5","v1.5.1","v1.5.1"},MATCH(BD388,CHOOSE({1,2,3,4,5,6,7,8,9,10,11,12,13,14,15,16,17,18,19,20,21,22,23,24,25},E388,G388,I388,K388,M388,O388,Q388,S388,U388,W388,Y388,AA388,AC388,AE388,AG388,AI388,AK388,AM388,AO388,AQ388,AS388,AU388,AW388,AY388,BA388),0)))</x:f>
        <x:v>v1.4.20</x:v>
      </x:c>
      <x:c r="BF388" s="10" t="n">
        <x:f>IFERROR((AX388-BB388)/BB388,"")</x:f>
        <x:v>-1</x:v>
      </x:c>
      <x:c r="BG388" s="10" t="n">
        <x:f>IFERROR((AY388-BD388)/BD388,"")</x:f>
        <x:v>-1</x:v>
      </x:c>
    </x:row>
    <x:row r="389">
      <x:c r="A389" t="str">
        <x:v>Care Plan Due</x:v>
      </x:c>
      <x:c r="B389" t="str">
        <x:v>Format Care Plan Due Report</x:v>
      </x:c>
      <x:c r="C389" t="str">
        <x:v>Ensure tab color: Template - Care Plan Due</x:v>
      </x:c>
      <x:c r="D389" s="8" t="n">
        <x:v>0.715</x:v>
      </x:c>
      <x:c r="E389" s="8" t="n">
        <x:v>17.062</x:v>
      </x:c>
      <x:c r="F389" s="8" t="n">
        <x:v>0.715</x:v>
      </x:c>
      <x:c r="G389" s="8" t="n">
        <x:v>17.062</x:v>
      </x:c>
      <x:c r="H389" s="8" t="n">
        <x:v>0.761</x:v>
      </x:c>
      <x:c r="I389" s="8" t="n">
        <x:v>19.951</x:v>
      </x:c>
      <x:c r="J389" s="8" t="n">
        <x:v>0.761</x:v>
      </x:c>
      <x:c r="K389" s="8" t="n">
        <x:v>19.951</x:v>
      </x:c>
      <x:c r="L389" s="8"/>
      <x:c r="M389" s="8"/>
      <x:c r="N389" s="8"/>
      <x:c r="O389" s="8"/>
      <x:c r="P389" s="8"/>
      <x:c r="Q389" s="8"/>
      <x:c r="R389" s="8"/>
      <x:c r="S389" s="8"/>
      <x:c r="T389" s="8"/>
      <x:c r="U389" s="8"/>
      <x:c r="V389" s="8"/>
      <x:c r="W389" s="8"/>
      <x:c r="X389" s="8"/>
      <x:c r="Y389" s="8"/>
      <x:c r="Z389" s="8"/>
      <x:c r="AA389" s="8"/>
      <x:c r="AB389" s="8"/>
      <x:c r="AC389" s="8"/>
      <x:c r="AD389" s="8"/>
      <x:c r="AE389" s="8"/>
      <x:c r="AF389" s="8"/>
      <x:c r="AG389" s="8"/>
      <x:c r="AH389" s="8"/>
      <x:c r="AI389" s="8"/>
      <x:c r="AJ389" s="8"/>
      <x:c r="AK389" s="8"/>
      <x:c r="AL389" s="8"/>
      <x:c r="AM389" s="8"/>
      <x:c r="AN389" s="8"/>
      <x:c r="AO389" s="8"/>
      <x:c r="AP389" s="8"/>
      <x:c r="AQ389" s="8"/>
      <x:c r="AR389" s="8"/>
      <x:c r="AS389" s="8"/>
      <x:c r="AT389" s="8"/>
      <x:c r="AU389" s="8"/>
      <x:c r="AV389" s="8"/>
      <x:c r="AW389" s="8"/>
      <x:c r="AX389" s="8"/>
      <x:c r="AY389" s="8"/>
      <x:c r="AZ389" s="8"/>
      <x:c r="BA389" s="8"/>
      <x:c r="BB389" s="8" t="n">
        <x:f>LET(m,MIN(IF(D389&gt;0,D389,1E+99),IF(F389&gt;0,F389,1E+99),IF(H389&gt;0,H389,1E+99),IF(J389&gt;0,J389,1E+99),IF(L389&gt;0,L389,1E+99),IF(N389&gt;0,N389,1E+99),IF(P389&gt;0,P389,1E+99),IF(R389&gt;0,R389,1E+99),IF(T389&gt;0,T389,1E+99),IF(V389&gt;0,V389,1E+99),IF(X389&gt;0,X389,1E+99),IF(Z389&gt;0,Z389,1E+99),IF(AB389&gt;0,AB389,1E+99),IF(AD389&gt;0,AD389,1E+99),IF(AF389&gt;0,AF389,1E+99),IF(AH389&gt;0,AH389,1E+99),IF(AJ389&gt;0,AJ389,1E+99),IF(AL389&gt;0,AL389,1E+99),IF(AN389&gt;0,AN389,1E+99),IF(AP389&gt;0,AP389,1E+99),IF(AR389&gt;0,AR389,1E+99),IF(AT389&gt;0,AT389,1E+99),IF(AV389&gt;0,AV389,1E+99),IF(AX389&gt;0,AX389,1E+99),IF(AZ389&gt;0,AZ389,1E+99)),IF(m=1E+99,"",m))</x:f>
        <x:v>0.715</x:v>
      </x:c>
      <x:c r="BC389" s="12" t="str">
        <x:f>IF(BB389="","",INDEX({"v1.4.20","v1.4.20","v1.4.21","v1.4.21","v1.4.23","v1.4.23","v1.4.26","v1.4.26","v1.4.26.1","v1.4.26.1","v1.4.27","v1.4.27","v1.4.29","v1.4.29","v1.4.30","v1.4.30","v1.4.31","v1.4.31","v1.4.33","v1.4.33","v1.4.35","v1.4.35.2","v1.5","v1.5.1","v1.5.1"},MATCH(BB389,CHOOSE({1,2,3,4,5,6,7,8,9,10,11,12,13,14,15,16,17,18,19,20,21,22,23,24,25},D389,F389,H389,J389,L389,N389,P389,R389,T389,V389,X389,Z389,AB389,AD389,AF389,AH389,AJ389,AL389,AN389,AP389,AR389,AT389,AV389,AX389,AZ389),0)))</x:f>
        <x:v>v1.4.20</x:v>
      </x:c>
      <x:c r="BD389" s="14" t="n">
        <x:f>LET(m,MIN(IF(E389&gt;0,E389,1E+99),IF(G389&gt;0,G389,1E+99),IF(I389&gt;0,I389,1E+99),IF(K389&gt;0,K389,1E+99),IF(M389&gt;0,M389,1E+99),IF(O389&gt;0,O389,1E+99),IF(Q389&gt;0,Q389,1E+99),IF(S389&gt;0,S389,1E+99),IF(U389&gt;0,U389,1E+99),IF(W389&gt;0,W389,1E+99),IF(Y389&gt;0,Y389,1E+99),IF(AA389&gt;0,AA389,1E+99),IF(AC389&gt;0,AC389,1E+99),IF(AE389&gt;0,AE389,1E+99),IF(AG389&gt;0,AG389,1E+99),IF(AI389&gt;0,AI389,1E+99),IF(AK389&gt;0,AK389,1E+99),IF(AM389&gt;0,AM389,1E+99),IF(AO389&gt;0,AO389,1E+99),IF(AQ389&gt;0,AQ389,1E+99),IF(AS389&gt;0,AS389,1E+99),IF(AU389&gt;0,AU389,1E+99),IF(AW389&gt;0,AW389,1E+99),IF(AY389&gt;0,AY389,1E+99),IF(BA389&gt;0,BA389,1E+99)),IF(m=1E+99,"",m))</x:f>
        <x:v>17.062</x:v>
      </x:c>
      <x:c r="BE389" s="16" t="str">
        <x:f>IF(BD389="","",INDEX({"v1.4.20","v1.4.20","v1.4.21","v1.4.21","v1.4.23","v1.4.23","v1.4.26","v1.4.26","v1.4.26.1","v1.4.26.1","v1.4.27","v1.4.27","v1.4.29","v1.4.29","v1.4.30","v1.4.30","v1.4.31","v1.4.31","v1.4.33","v1.4.33","v1.4.35","v1.4.35.2","v1.5","v1.5.1","v1.5.1"},MATCH(BD389,CHOOSE({1,2,3,4,5,6,7,8,9,10,11,12,13,14,15,16,17,18,19,20,21,22,23,24,25},E389,G389,I389,K389,M389,O389,Q389,S389,U389,W389,Y389,AA389,AC389,AE389,AG389,AI389,AK389,AM389,AO389,AQ389,AS389,AU389,AW389,AY389,BA389),0)))</x:f>
        <x:v>v1.4.20</x:v>
      </x:c>
      <x:c r="BF389" s="10" t="n">
        <x:f>IFERROR((AX389-BB389)/BB389,"")</x:f>
        <x:v>-1</x:v>
      </x:c>
      <x:c r="BG389" s="10" t="n">
        <x:f>IFERROR((AY389-BD389)/BD389,"")</x:f>
        <x:v>-1</x:v>
      </x:c>
    </x:row>
    <x:row r="390">
      <x:c r="A390" t="str">
        <x:v>Care Plan Due</x:v>
      </x:c>
      <x:c r="B390" t="str">
        <x:v>Format Care Plan Due Report</x:v>
      </x:c>
      <x:c r="C390" t="str">
        <x:v>No existing filter to remove: Template - Care Plan Due</x:v>
      </x:c>
      <x:c r="D390" s="8" t="n">
        <x:v>0.709</x:v>
      </x:c>
      <x:c r="E390" s="8" t="n">
        <x:v>12.548</x:v>
      </x:c>
      <x:c r="F390" s="8" t="n">
        <x:v>0.709</x:v>
      </x:c>
      <x:c r="G390" s="8" t="n">
        <x:v>12.548</x:v>
      </x:c>
      <x:c r="H390" s="8" t="n">
        <x:v>0.853</x:v>
      </x:c>
      <x:c r="I390" s="8" t="n">
        <x:v>14.903</x:v>
      </x:c>
      <x:c r="J390" s="8" t="n">
        <x:v>0.853</x:v>
      </x:c>
      <x:c r="K390" s="8" t="n">
        <x:v>14.903</x:v>
      </x:c>
      <x:c r="L390" s="8"/>
      <x:c r="M390" s="8"/>
      <x:c r="N390" s="8"/>
      <x:c r="O390" s="8"/>
      <x:c r="P390" s="8"/>
      <x:c r="Q390" s="8"/>
      <x:c r="R390" s="8"/>
      <x:c r="S390" s="8"/>
      <x:c r="T390" s="8"/>
      <x:c r="U390" s="8"/>
      <x:c r="V390" s="8"/>
      <x:c r="W390" s="8"/>
      <x:c r="X390" s="8"/>
      <x:c r="Y390" s="8"/>
      <x:c r="Z390" s="8"/>
      <x:c r="AA390" s="8"/>
      <x:c r="AB390" s="8"/>
      <x:c r="AC390" s="8"/>
      <x:c r="AD390" s="8"/>
      <x:c r="AE390" s="8"/>
      <x:c r="AF390" s="8"/>
      <x:c r="AG390" s="8"/>
      <x:c r="AH390" s="8"/>
      <x:c r="AI390" s="8"/>
      <x:c r="AJ390" s="8"/>
      <x:c r="AK390" s="8"/>
      <x:c r="AL390" s="8"/>
      <x:c r="AM390" s="8"/>
      <x:c r="AN390" s="8"/>
      <x:c r="AO390" s="8"/>
      <x:c r="AP390" s="8"/>
      <x:c r="AQ390" s="8"/>
      <x:c r="AR390" s="8"/>
      <x:c r="AS390" s="8"/>
      <x:c r="AT390" s="8"/>
      <x:c r="AU390" s="8"/>
      <x:c r="AV390" s="8"/>
      <x:c r="AW390" s="8"/>
      <x:c r="AX390" s="8"/>
      <x:c r="AY390" s="8"/>
      <x:c r="AZ390" s="8"/>
      <x:c r="BA390" s="8"/>
      <x:c r="BB390" s="8" t="n">
        <x:f>LET(m,MIN(IF(D390&gt;0,D390,1E+99),IF(F390&gt;0,F390,1E+99),IF(H390&gt;0,H390,1E+99),IF(J390&gt;0,J390,1E+99),IF(L390&gt;0,L390,1E+99),IF(N390&gt;0,N390,1E+99),IF(P390&gt;0,P390,1E+99),IF(R390&gt;0,R390,1E+99),IF(T390&gt;0,T390,1E+99),IF(V390&gt;0,V390,1E+99),IF(X390&gt;0,X390,1E+99),IF(Z390&gt;0,Z390,1E+99),IF(AB390&gt;0,AB390,1E+99),IF(AD390&gt;0,AD390,1E+99),IF(AF390&gt;0,AF390,1E+99),IF(AH390&gt;0,AH390,1E+99),IF(AJ390&gt;0,AJ390,1E+99),IF(AL390&gt;0,AL390,1E+99),IF(AN390&gt;0,AN390,1E+99),IF(AP390&gt;0,AP390,1E+99),IF(AR390&gt;0,AR390,1E+99),IF(AT390&gt;0,AT390,1E+99),IF(AV390&gt;0,AV390,1E+99),IF(AX390&gt;0,AX390,1E+99),IF(AZ390&gt;0,AZ390,1E+99)),IF(m=1E+99,"",m))</x:f>
        <x:v>0.709</x:v>
      </x:c>
      <x:c r="BC390" s="12" t="str">
        <x:f>IF(BB390="","",INDEX({"v1.4.20","v1.4.20","v1.4.21","v1.4.21","v1.4.23","v1.4.23","v1.4.26","v1.4.26","v1.4.26.1","v1.4.26.1","v1.4.27","v1.4.27","v1.4.29","v1.4.29","v1.4.30","v1.4.30","v1.4.31","v1.4.31","v1.4.33","v1.4.33","v1.4.35","v1.4.35.2","v1.5","v1.5.1","v1.5.1"},MATCH(BB390,CHOOSE({1,2,3,4,5,6,7,8,9,10,11,12,13,14,15,16,17,18,19,20,21,22,23,24,25},D390,F390,H390,J390,L390,N390,P390,R390,T390,V390,X390,Z390,AB390,AD390,AF390,AH390,AJ390,AL390,AN390,AP390,AR390,AT390,AV390,AX390,AZ390),0)))</x:f>
        <x:v>v1.4.20</x:v>
      </x:c>
      <x:c r="BD390" s="14" t="n">
        <x:f>LET(m,MIN(IF(E390&gt;0,E390,1E+99),IF(G390&gt;0,G390,1E+99),IF(I390&gt;0,I390,1E+99),IF(K390&gt;0,K390,1E+99),IF(M390&gt;0,M390,1E+99),IF(O390&gt;0,O390,1E+99),IF(Q390&gt;0,Q390,1E+99),IF(S390&gt;0,S390,1E+99),IF(U390&gt;0,U390,1E+99),IF(W390&gt;0,W390,1E+99),IF(Y390&gt;0,Y390,1E+99),IF(AA390&gt;0,AA390,1E+99),IF(AC390&gt;0,AC390,1E+99),IF(AE390&gt;0,AE390,1E+99),IF(AG390&gt;0,AG390,1E+99),IF(AI390&gt;0,AI390,1E+99),IF(AK390&gt;0,AK390,1E+99),IF(AM390&gt;0,AM390,1E+99),IF(AO390&gt;0,AO390,1E+99),IF(AQ390&gt;0,AQ390,1E+99),IF(AS390&gt;0,AS390,1E+99),IF(AU390&gt;0,AU390,1E+99),IF(AW390&gt;0,AW390,1E+99),IF(AY390&gt;0,AY390,1E+99),IF(BA390&gt;0,BA390,1E+99)),IF(m=1E+99,"",m))</x:f>
        <x:v>12.548</x:v>
      </x:c>
      <x:c r="BE390" s="16" t="str">
        <x:f>IF(BD390="","",INDEX({"v1.4.20","v1.4.20","v1.4.21","v1.4.21","v1.4.23","v1.4.23","v1.4.26","v1.4.26","v1.4.26.1","v1.4.26.1","v1.4.27","v1.4.27","v1.4.29","v1.4.29","v1.4.30","v1.4.30","v1.4.31","v1.4.31","v1.4.33","v1.4.33","v1.4.35","v1.4.35.2","v1.5","v1.5.1","v1.5.1"},MATCH(BD390,CHOOSE({1,2,3,4,5,6,7,8,9,10,11,12,13,14,15,16,17,18,19,20,21,22,23,24,25},E390,G390,I390,K390,M390,O390,Q390,S390,U390,W390,Y390,AA390,AC390,AE390,AG390,AI390,AK390,AM390,AO390,AQ390,AS390,AU390,AW390,AY390,BA390),0)))</x:f>
        <x:v>v1.4.20</x:v>
      </x:c>
      <x:c r="BF390" s="10" t="n">
        <x:f>IFERROR((AX390-BB390)/BB390,"")</x:f>
        <x:v>-1</x:v>
      </x:c>
      <x:c r="BG390" s="10" t="n">
        <x:f>IFERROR((AY390-BD390)/BD390,"")</x:f>
        <x:v>-1</x:v>
      </x:c>
    </x:row>
    <x:row r="391">
      <x:c r="A391" t="str"/>
      <x:c r="B391" t="str">
        <x:v>Format Unlocked Care Plan Report</x:v>
      </x:c>
      <x:c r="C391" t="str">
        <x:v>Start</x:v>
      </x:c>
      <x:c r="D391" s="8"/>
      <x:c r="E391" s="8"/>
      <x:c r="F391" s="8"/>
      <x:c r="G391" s="8"/>
      <x:c r="H391" s="8"/>
      <x:c r="I391" s="8"/>
      <x:c r="J391" s="8"/>
      <x:c r="K391" s="8"/>
      <x:c r="L391" s="8" t="n">
        <x:v>0</x:v>
      </x:c>
      <x:c r="M391" s="8" t="n">
        <x:v>0</x:v>
      </x:c>
      <x:c r="N391" s="8" t="n">
        <x:v>0</x:v>
      </x:c>
      <x:c r="O391" s="8" t="n">
        <x:v>0</x:v>
      </x:c>
      <x:c r="P391" s="8" t="n">
        <x:v>0</x:v>
      </x:c>
      <x:c r="Q391" s="8" t="n">
        <x:v>0</x:v>
      </x:c>
      <x:c r="R391" s="8" t="n">
        <x:v>0</x:v>
      </x:c>
      <x:c r="S391" s="8" t="n">
        <x:v>0</x:v>
      </x:c>
      <x:c r="T391" s="8" t="n">
        <x:v>0</x:v>
      </x:c>
      <x:c r="U391" s="8" t="n">
        <x:v>0</x:v>
      </x:c>
      <x:c r="V391" s="8" t="n">
        <x:v>0</x:v>
      </x:c>
      <x:c r="W391" s="8" t="n">
        <x:v>0</x:v>
      </x:c>
      <x:c r="X391" s="8" t="n">
        <x:v>0</x:v>
      </x:c>
      <x:c r="Y391" s="8" t="n">
        <x:v>0</x:v>
      </x:c>
      <x:c r="Z391" s="8" t="n">
        <x:v>0</x:v>
      </x:c>
      <x:c r="AA391" s="8" t="n">
        <x:v>0</x:v>
      </x:c>
      <x:c r="AB391" s="8" t="n">
        <x:v>0.001</x:v>
      </x:c>
      <x:c r="AC391" s="8" t="n">
        <x:v>0.001</x:v>
      </x:c>
      <x:c r="AD391" s="8" t="n">
        <x:v>0.001</x:v>
      </x:c>
      <x:c r="AE391" s="8" t="n">
        <x:v>0.001</x:v>
      </x:c>
      <x:c r="AF391" s="8" t="n">
        <x:v>0</x:v>
      </x:c>
      <x:c r="AG391" s="8" t="n">
        <x:v>0</x:v>
      </x:c>
      <x:c r="AH391" s="8" t="n">
        <x:v>0</x:v>
      </x:c>
      <x:c r="AI391" s="8" t="n">
        <x:v>0</x:v>
      </x:c>
      <x:c r="AJ391" s="8" t="n">
        <x:v>0</x:v>
      </x:c>
      <x:c r="AK391" s="8" t="n">
        <x:v>0</x:v>
      </x:c>
      <x:c r="AL391" s="8" t="n">
        <x:v>0</x:v>
      </x:c>
      <x:c r="AM391" s="8" t="n">
        <x:v>0</x:v>
      </x:c>
      <x:c r="AN391" s="8" t="n">
        <x:v>0.001</x:v>
      </x:c>
      <x:c r="AO391" s="8" t="n">
        <x:v>0.001</x:v>
      </x:c>
      <x:c r="AP391" s="8" t="n">
        <x:v>0.001</x:v>
      </x:c>
      <x:c r="AQ391" s="8" t="n">
        <x:v>0.001</x:v>
      </x:c>
      <x:c r="AR391" s="8"/>
      <x:c r="AS391" s="8"/>
      <x:c r="AT391" s="8" t="n">
        <x:v>0</x:v>
      </x:c>
      <x:c r="AU391" s="8" t="n">
        <x:v>0</x:v>
      </x:c>
      <x:c r="AV391" s="8" t="n">
        <x:v>0</x:v>
      </x:c>
      <x:c r="AW391" s="8" t="n">
        <x:v>0</x:v>
      </x:c>
      <x:c r="AX391" s="8" t="n">
        <x:v>0.001</x:v>
      </x:c>
      <x:c r="AY391" s="8" t="n">
        <x:v>0.001</x:v>
      </x:c>
      <x:c r="AZ391" s="8" t="n">
        <x:v>0.001</x:v>
      </x:c>
      <x:c r="BA391" s="8" t="n">
        <x:v>0.001</x:v>
      </x:c>
      <x:c r="BB391" s="8" t="n">
        <x:f>LET(m,MIN(IF(D391&gt;0,D391,1E+99),IF(F391&gt;0,F391,1E+99),IF(H391&gt;0,H391,1E+99),IF(J391&gt;0,J391,1E+99),IF(L391&gt;0,L391,1E+99),IF(N391&gt;0,N391,1E+99),IF(P391&gt;0,P391,1E+99),IF(R391&gt;0,R391,1E+99),IF(T391&gt;0,T391,1E+99),IF(V391&gt;0,V391,1E+99),IF(X391&gt;0,X391,1E+99),IF(Z391&gt;0,Z391,1E+99),IF(AB391&gt;0,AB391,1E+99),IF(AD391&gt;0,AD391,1E+99),IF(AF391&gt;0,AF391,1E+99),IF(AH391&gt;0,AH391,1E+99),IF(AJ391&gt;0,AJ391,1E+99),IF(AL391&gt;0,AL391,1E+99),IF(AN391&gt;0,AN391,1E+99),IF(AP391&gt;0,AP391,1E+99),IF(AR391&gt;0,AR391,1E+99),IF(AT391&gt;0,AT391,1E+99),IF(AV391&gt;0,AV391,1E+99),IF(AX391&gt;0,AX391,1E+99),IF(AZ391&gt;0,AZ391,1E+99)),IF(m=1E+99,"",m))</x:f>
        <x:v>0.001</x:v>
      </x:c>
      <x:c r="BC391" s="12" t="e">
        <x:f>IF(BB391="","",INDEX({"v1.4.20","v1.4.20","v1.4.21","v1.4.21","v1.4.23","v1.4.23","v1.4.26","v1.4.26","v1.4.26.1","v1.4.26.1","v1.4.27","v1.4.27","v1.4.29","v1.4.29","v1.4.30","v1.4.30","v1.4.31","v1.4.31","v1.4.33","v1.4.33","v1.4.35","v1.4.35.2","v1.5","v1.5.1","v1.5.1"},MATCH(BB391,CHOOSE({1,2,3,4,5,6,7,8,9,10,11,12,13,14,15,16,17,18,19,20,21,22,23,24,25},D391,F391,H391,J391,L391,N391,P391,R391,T391,V391,X391,Z391,AB391,AD391,AF391,AH391,AJ391,AL391,AN391,AP391,AR391,AT391,AV391,AX391,AZ391),0)))</x:f>
      </x:c>
      <x:c r="BD391" s="14" t="n">
        <x:f>LET(m,MIN(IF(E391&gt;0,E391,1E+99),IF(G391&gt;0,G391,1E+99),IF(I391&gt;0,I391,1E+99),IF(K391&gt;0,K391,1E+99),IF(M391&gt;0,M391,1E+99),IF(O391&gt;0,O391,1E+99),IF(Q391&gt;0,Q391,1E+99),IF(S391&gt;0,S391,1E+99),IF(U391&gt;0,U391,1E+99),IF(W391&gt;0,W391,1E+99),IF(Y391&gt;0,Y391,1E+99),IF(AA391&gt;0,AA391,1E+99),IF(AC391&gt;0,AC391,1E+99),IF(AE391&gt;0,AE391,1E+99),IF(AG391&gt;0,AG391,1E+99),IF(AI391&gt;0,AI391,1E+99),IF(AK391&gt;0,AK391,1E+99),IF(AM391&gt;0,AM391,1E+99),IF(AO391&gt;0,AO391,1E+99),IF(AQ391&gt;0,AQ391,1E+99),IF(AS391&gt;0,AS391,1E+99),IF(AU391&gt;0,AU391,1E+99),IF(AW391&gt;0,AW391,1E+99),IF(AY391&gt;0,AY391,1E+99),IF(BA391&gt;0,BA391,1E+99)),IF(m=1E+99,"",m))</x:f>
        <x:v>0.001</x:v>
      </x:c>
      <x:c r="BE391" s="16" t="e">
        <x:f>IF(BD391="","",INDEX({"v1.4.20","v1.4.20","v1.4.21","v1.4.21","v1.4.23","v1.4.23","v1.4.26","v1.4.26","v1.4.26.1","v1.4.26.1","v1.4.27","v1.4.27","v1.4.29","v1.4.29","v1.4.30","v1.4.30","v1.4.31","v1.4.31","v1.4.33","v1.4.33","v1.4.35","v1.4.35.2","v1.5","v1.5.1","v1.5.1"},MATCH(BD391,CHOOSE({1,2,3,4,5,6,7,8,9,10,11,12,13,14,15,16,17,18,19,20,21,22,23,24,25},E391,G391,I391,K391,M391,O391,Q391,S391,U391,W391,Y391,AA391,AC391,AE391,AG391,AI391,AK391,AM391,AO391,AQ391,AS391,AU391,AW391,AY391,BA391),0)))</x:f>
      </x:c>
      <x:c r="BF391" s="10" t="n">
        <x:f>IFERROR((AX391-BB391)/BB391,"")</x:f>
        <x:v>0</x:v>
      </x:c>
      <x:c r="BG391" s="10" t="n">
        <x:f>IFERROR((AY391-BD391)/BD391,"")</x:f>
        <x:v>0</x:v>
      </x:c>
    </x:row>
    <x:row r="392">
      <x:c r="A392" t="str"/>
      <x:c r="B392" t="str">
        <x:v>Format Unlocked Care Plan Report</x:v>
      </x:c>
      <x:c r="C392" t="str">
        <x:v>Move source title/date cells into dashboard title info</x:v>
      </x:c>
      <x:c r="D392" s="8" t="n">
        <x:v>6.502</x:v>
      </x:c>
      <x:c r="E392" s="8" t="n">
        <x:v>6.502</x:v>
      </x:c>
      <x:c r="F392" s="8" t="n">
        <x:v>6.502</x:v>
      </x:c>
      <x:c r="G392" s="8" t="n">
        <x:v>6.502</x:v>
      </x:c>
      <x:c r="H392" s="8" t="n">
        <x:v>7.081</x:v>
      </x:c>
      <x:c r="I392" s="8" t="n">
        <x:v>7.081</x:v>
      </x:c>
      <x:c r="J392" s="8" t="n">
        <x:v>7.081</x:v>
      </x:c>
      <x:c r="K392" s="8" t="n">
        <x:v>7.081</x:v>
      </x:c>
      <x:c r="L392" s="8" t="n">
        <x:v>12.213</x:v>
      </x:c>
      <x:c r="M392" s="8" t="n">
        <x:v>12.213</x:v>
      </x:c>
      <x:c r="N392" s="8" t="n">
        <x:v>12.213</x:v>
      </x:c>
      <x:c r="O392" s="8" t="n">
        <x:v>12.213</x:v>
      </x:c>
      <x:c r="P392" s="8" t="n">
        <x:v>10.154</x:v>
      </x:c>
      <x:c r="Q392" s="8" t="n">
        <x:v>10.154</x:v>
      </x:c>
      <x:c r="R392" s="8" t="n">
        <x:v>10.154</x:v>
      </x:c>
      <x:c r="S392" s="8" t="n">
        <x:v>10.154</x:v>
      </x:c>
      <x:c r="T392" s="8" t="n">
        <x:v>9.716</x:v>
      </x:c>
      <x:c r="U392" s="8" t="n">
        <x:v>9.716</x:v>
      </x:c>
      <x:c r="V392" s="8" t="n">
        <x:v>9.716</x:v>
      </x:c>
      <x:c r="W392" s="8" t="n">
        <x:v>9.716</x:v>
      </x:c>
      <x:c r="X392" s="8" t="n">
        <x:v>14.54</x:v>
      </x:c>
      <x:c r="Y392" s="8" t="n">
        <x:v>14.54</x:v>
      </x:c>
      <x:c r="Z392" s="8" t="n">
        <x:v>14.54</x:v>
      </x:c>
      <x:c r="AA392" s="8" t="n">
        <x:v>14.54</x:v>
      </x:c>
      <x:c r="AB392" s="8" t="n">
        <x:v>27.654</x:v>
      </x:c>
      <x:c r="AC392" s="8" t="n">
        <x:v>27.655</x:v>
      </x:c>
      <x:c r="AD392" s="8" t="n">
        <x:v>27.654</x:v>
      </x:c>
      <x:c r="AE392" s="8" t="n">
        <x:v>27.655</x:v>
      </x:c>
      <x:c r="AF392" s="8" t="n">
        <x:v>10.523</x:v>
      </x:c>
      <x:c r="AG392" s="8" t="n">
        <x:v>10.523</x:v>
      </x:c>
      <x:c r="AH392" s="8" t="n">
        <x:v>10.523</x:v>
      </x:c>
      <x:c r="AI392" s="8" t="n">
        <x:v>10.523</x:v>
      </x:c>
      <x:c r="AJ392" s="8" t="n">
        <x:v>12.876</x:v>
      </x:c>
      <x:c r="AK392" s="8" t="n">
        <x:v>12.876</x:v>
      </x:c>
      <x:c r="AL392" s="8" t="n">
        <x:v>12.876</x:v>
      </x:c>
      <x:c r="AM392" s="8" t="n">
        <x:v>12.876</x:v>
      </x:c>
      <x:c r="AN392" s="8" t="n">
        <x:v>9.21</x:v>
      </x:c>
      <x:c r="AO392" s="8" t="n">
        <x:v>9.211</x:v>
      </x:c>
      <x:c r="AP392" s="8" t="n">
        <x:v>9.21</x:v>
      </x:c>
      <x:c r="AQ392" s="8" t="n">
        <x:v>9.211</x:v>
      </x:c>
      <x:c r="AR392" s="8"/>
      <x:c r="AS392" s="8"/>
      <x:c r="AT392" s="8" t="n">
        <x:v>9.875</x:v>
      </x:c>
      <x:c r="AU392" s="8" t="n">
        <x:v>9.875</x:v>
      </x:c>
      <x:c r="AV392" s="8" t="n">
        <x:v>11.965</x:v>
      </x:c>
      <x:c r="AW392" s="8" t="n">
        <x:v>11.965</x:v>
      </x:c>
      <x:c r="AX392" s="8" t="n">
        <x:v>9.631</x:v>
      </x:c>
      <x:c r="AY392" s="8" t="n">
        <x:v>9.632</x:v>
      </x:c>
      <x:c r="AZ392" s="8" t="n">
        <x:v>9.631</x:v>
      </x:c>
      <x:c r="BA392" s="8" t="n">
        <x:v>9.632</x:v>
      </x:c>
      <x:c r="BB392" s="8" t="n">
        <x:f>LET(m,MIN(IF(D392&gt;0,D392,1E+99),IF(F392&gt;0,F392,1E+99),IF(H392&gt;0,H392,1E+99),IF(J392&gt;0,J392,1E+99),IF(L392&gt;0,L392,1E+99),IF(N392&gt;0,N392,1E+99),IF(P392&gt;0,P392,1E+99),IF(R392&gt;0,R392,1E+99),IF(T392&gt;0,T392,1E+99),IF(V392&gt;0,V392,1E+99),IF(X392&gt;0,X392,1E+99),IF(Z392&gt;0,Z392,1E+99),IF(AB392&gt;0,AB392,1E+99),IF(AD392&gt;0,AD392,1E+99),IF(AF392&gt;0,AF392,1E+99),IF(AH392&gt;0,AH392,1E+99),IF(AJ392&gt;0,AJ392,1E+99),IF(AL392&gt;0,AL392,1E+99),IF(AN392&gt;0,AN392,1E+99),IF(AP392&gt;0,AP392,1E+99),IF(AR392&gt;0,AR392,1E+99),IF(AT392&gt;0,AT392,1E+99),IF(AV392&gt;0,AV392,1E+99),IF(AX392&gt;0,AX392,1E+99),IF(AZ392&gt;0,AZ392,1E+99)),IF(m=1E+99,"",m))</x:f>
        <x:v>6.502</x:v>
      </x:c>
      <x:c r="BC392" s="12" t="str">
        <x:f>IF(BB392="","",INDEX({"v1.4.20","v1.4.20","v1.4.21","v1.4.21","v1.4.23","v1.4.23","v1.4.26","v1.4.26","v1.4.26.1","v1.4.26.1","v1.4.27","v1.4.27","v1.4.29","v1.4.29","v1.4.30","v1.4.30","v1.4.31","v1.4.31","v1.4.33","v1.4.33","v1.4.35","v1.4.35.2","v1.5","v1.5.1","v1.5.1"},MATCH(BB392,CHOOSE({1,2,3,4,5,6,7,8,9,10,11,12,13,14,15,16,17,18,19,20,21,22,23,24,25},D392,F392,H392,J392,L392,N392,P392,R392,T392,V392,X392,Z392,AB392,AD392,AF392,AH392,AJ392,AL392,AN392,AP392,AR392,AT392,AV392,AX392,AZ392),0)))</x:f>
        <x:v>v1.4.20</x:v>
      </x:c>
      <x:c r="BD392" s="14" t="n">
        <x:f>LET(m,MIN(IF(E392&gt;0,E392,1E+99),IF(G392&gt;0,G392,1E+99),IF(I392&gt;0,I392,1E+99),IF(K392&gt;0,K392,1E+99),IF(M392&gt;0,M392,1E+99),IF(O392&gt;0,O392,1E+99),IF(Q392&gt;0,Q392,1E+99),IF(S392&gt;0,S392,1E+99),IF(U392&gt;0,U392,1E+99),IF(W392&gt;0,W392,1E+99),IF(Y392&gt;0,Y392,1E+99),IF(AA392&gt;0,AA392,1E+99),IF(AC392&gt;0,AC392,1E+99),IF(AE392&gt;0,AE392,1E+99),IF(AG392&gt;0,AG392,1E+99),IF(AI392&gt;0,AI392,1E+99),IF(AK392&gt;0,AK392,1E+99),IF(AM392&gt;0,AM392,1E+99),IF(AO392&gt;0,AO392,1E+99),IF(AQ392&gt;0,AQ392,1E+99),IF(AS392&gt;0,AS392,1E+99),IF(AU392&gt;0,AU392,1E+99),IF(AW392&gt;0,AW392,1E+99),IF(AY392&gt;0,AY392,1E+99),IF(BA392&gt;0,BA392,1E+99)),IF(m=1E+99,"",m))</x:f>
        <x:v>6.502</x:v>
      </x:c>
      <x:c r="BE392" s="16" t="str">
        <x:f>IF(BD392="","",INDEX({"v1.4.20","v1.4.20","v1.4.21","v1.4.21","v1.4.23","v1.4.23","v1.4.26","v1.4.26","v1.4.26.1","v1.4.26.1","v1.4.27","v1.4.27","v1.4.29","v1.4.29","v1.4.30","v1.4.30","v1.4.31","v1.4.31","v1.4.33","v1.4.33","v1.4.35","v1.4.35.2","v1.5","v1.5.1","v1.5.1"},MATCH(BD392,CHOOSE({1,2,3,4,5,6,7,8,9,10,11,12,13,14,15,16,17,18,19,20,21,22,23,24,25},E392,G392,I392,K392,M392,O392,Q392,S392,U392,W392,Y392,AA392,AC392,AE392,AG392,AI392,AK392,AM392,AO392,AQ392,AS392,AU392,AW392,AY392,BA392),0)))</x:f>
        <x:v>v1.4.20</x:v>
      </x:c>
      <x:c r="BF392" s="10" t="n">
        <x:f>IFERROR((AX392-BB392)/BB392,"")</x:f>
        <x:v>0.48123654260227633</x:v>
      </x:c>
      <x:c r="BG392" s="10" t="n">
        <x:f>IFERROR((AY392-BD392)/BD392,"")</x:f>
        <x:v>0.4813903414334051</x:v>
      </x:c>
    </x:row>
    <x:row r="393">
      <x:c r="A393" t="str"/>
      <x:c r="B393" t="str">
        <x:v>Format Unlocked Care Plan Report</x:v>
      </x:c>
      <x:c r="C393" t="str">
        <x:v>Prepare raw source structure</x:v>
      </x:c>
      <x:c r="D393" s="8"/>
      <x:c r="E393" s="8"/>
      <x:c r="F393" s="8"/>
      <x:c r="G393" s="8"/>
      <x:c r="H393" s="8"/>
      <x:c r="I393" s="8"/>
      <x:c r="J393" s="8"/>
      <x:c r="K393" s="8"/>
      <x:c r="L393" s="8" t="n">
        <x:v>2.262</x:v>
      </x:c>
      <x:c r="M393" s="8" t="n">
        <x:v>14.475</x:v>
      </x:c>
      <x:c r="N393" s="8" t="n">
        <x:v>2.262</x:v>
      </x:c>
      <x:c r="O393" s="8" t="n">
        <x:v>14.475</x:v>
      </x:c>
      <x:c r="P393" s="8" t="n">
        <x:v>0.004</x:v>
      </x:c>
      <x:c r="Q393" s="8" t="n">
        <x:v>10.158</x:v>
      </x:c>
      <x:c r="R393" s="8" t="n">
        <x:v>0.004</x:v>
      </x:c>
      <x:c r="S393" s="8" t="n">
        <x:v>10.158</x:v>
      </x:c>
      <x:c r="T393" s="8" t="n">
        <x:v>0.002</x:v>
      </x:c>
      <x:c r="U393" s="8" t="n">
        <x:v>9.718</x:v>
      </x:c>
      <x:c r="V393" s="8" t="n">
        <x:v>0.002</x:v>
      </x:c>
      <x:c r="W393" s="8" t="n">
        <x:v>9.718</x:v>
      </x:c>
      <x:c r="X393" s="8" t="n">
        <x:v>0.002</x:v>
      </x:c>
      <x:c r="Y393" s="8" t="n">
        <x:v>14.542</x:v>
      </x:c>
      <x:c r="Z393" s="8" t="n">
        <x:v>0.002</x:v>
      </x:c>
      <x:c r="AA393" s="8" t="n">
        <x:v>14.542</x:v>
      </x:c>
      <x:c r="AB393" s="8" t="n">
        <x:v>0.001</x:v>
      </x:c>
      <x:c r="AC393" s="8" t="n">
        <x:v>27.656</x:v>
      </x:c>
      <x:c r="AD393" s="8" t="n">
        <x:v>0.001</x:v>
      </x:c>
      <x:c r="AE393" s="8" t="n">
        <x:v>27.656</x:v>
      </x:c>
      <x:c r="AF393" s="8" t="n">
        <x:v>0.002</x:v>
      </x:c>
      <x:c r="AG393" s="8" t="n">
        <x:v>10.525</x:v>
      </x:c>
      <x:c r="AH393" s="8" t="n">
        <x:v>0.002</x:v>
      </x:c>
      <x:c r="AI393" s="8" t="n">
        <x:v>10.525</x:v>
      </x:c>
      <x:c r="AJ393" s="8" t="n">
        <x:v>0.003</x:v>
      </x:c>
      <x:c r="AK393" s="8" t="n">
        <x:v>12.879</x:v>
      </x:c>
      <x:c r="AL393" s="8" t="n">
        <x:v>0.003</x:v>
      </x:c>
      <x:c r="AM393" s="8" t="n">
        <x:v>12.879</x:v>
      </x:c>
      <x:c r="AN393" s="8" t="n">
        <x:v>0.003</x:v>
      </x:c>
      <x:c r="AO393" s="8" t="n">
        <x:v>9.214</x:v>
      </x:c>
      <x:c r="AP393" s="8" t="n">
        <x:v>0.003</x:v>
      </x:c>
      <x:c r="AQ393" s="8" t="n">
        <x:v>9.214</x:v>
      </x:c>
      <x:c r="AR393" s="8"/>
      <x:c r="AS393" s="8"/>
      <x:c r="AT393" s="8" t="n">
        <x:v>0.003</x:v>
      </x:c>
      <x:c r="AU393" s="8" t="n">
        <x:v>9.878</x:v>
      </x:c>
      <x:c r="AV393" s="8" t="n">
        <x:v>0.003</x:v>
      </x:c>
      <x:c r="AW393" s="8" t="n">
        <x:v>11.968</x:v>
      </x:c>
      <x:c r="AX393" s="8" t="n">
        <x:v>0.001</x:v>
      </x:c>
      <x:c r="AY393" s="8" t="n">
        <x:v>9.633</x:v>
      </x:c>
      <x:c r="AZ393" s="8" t="n">
        <x:v>0.001</x:v>
      </x:c>
      <x:c r="BA393" s="8" t="n">
        <x:v>9.633</x:v>
      </x:c>
      <x:c r="BB393" s="8" t="n">
        <x:f>LET(m,MIN(IF(D393&gt;0,D393,1E+99),IF(F393&gt;0,F393,1E+99),IF(H393&gt;0,H393,1E+99),IF(J393&gt;0,J393,1E+99),IF(L393&gt;0,L393,1E+99),IF(N393&gt;0,N393,1E+99),IF(P393&gt;0,P393,1E+99),IF(R393&gt;0,R393,1E+99),IF(T393&gt;0,T393,1E+99),IF(V393&gt;0,V393,1E+99),IF(X393&gt;0,X393,1E+99),IF(Z393&gt;0,Z393,1E+99),IF(AB393&gt;0,AB393,1E+99),IF(AD393&gt;0,AD393,1E+99),IF(AF393&gt;0,AF393,1E+99),IF(AH393&gt;0,AH393,1E+99),IF(AJ393&gt;0,AJ393,1E+99),IF(AL393&gt;0,AL393,1E+99),IF(AN393&gt;0,AN393,1E+99),IF(AP393&gt;0,AP393,1E+99),IF(AR393&gt;0,AR393,1E+99),IF(AT393&gt;0,AT393,1E+99),IF(AV393&gt;0,AV393,1E+99),IF(AX393&gt;0,AX393,1E+99),IF(AZ393&gt;0,AZ393,1E+99)),IF(m=1E+99,"",m))</x:f>
        <x:v>0.001</x:v>
      </x:c>
      <x:c r="BC393" s="12" t="e">
        <x:f>IF(BB393="","",INDEX({"v1.4.20","v1.4.20","v1.4.21","v1.4.21","v1.4.23","v1.4.23","v1.4.26","v1.4.26","v1.4.26.1","v1.4.26.1","v1.4.27","v1.4.27","v1.4.29","v1.4.29","v1.4.30","v1.4.30","v1.4.31","v1.4.31","v1.4.33","v1.4.33","v1.4.35","v1.4.35.2","v1.5","v1.5.1","v1.5.1"},MATCH(BB393,CHOOSE({1,2,3,4,5,6,7,8,9,10,11,12,13,14,15,16,17,18,19,20,21,22,23,24,25},D393,F393,H393,J393,L393,N393,P393,R393,T393,V393,X393,Z393,AB393,AD393,AF393,AH393,AJ393,AL393,AN393,AP393,AR393,AT393,AV393,AX393,AZ393),0)))</x:f>
      </x:c>
      <x:c r="BD393" s="14" t="n">
        <x:f>LET(m,MIN(IF(E393&gt;0,E393,1E+99),IF(G393&gt;0,G393,1E+99),IF(I393&gt;0,I393,1E+99),IF(K393&gt;0,K393,1E+99),IF(M393&gt;0,M393,1E+99),IF(O393&gt;0,O393,1E+99),IF(Q393&gt;0,Q393,1E+99),IF(S393&gt;0,S393,1E+99),IF(U393&gt;0,U393,1E+99),IF(W393&gt;0,W393,1E+99),IF(Y393&gt;0,Y393,1E+99),IF(AA393&gt;0,AA393,1E+99),IF(AC393&gt;0,AC393,1E+99),IF(AE393&gt;0,AE393,1E+99),IF(AG393&gt;0,AG393,1E+99),IF(AI393&gt;0,AI393,1E+99),IF(AK393&gt;0,AK393,1E+99),IF(AM393&gt;0,AM393,1E+99),IF(AO393&gt;0,AO393,1E+99),IF(AQ393&gt;0,AQ393,1E+99),IF(AS393&gt;0,AS393,1E+99),IF(AU393&gt;0,AU393,1E+99),IF(AW393&gt;0,AW393,1E+99),IF(AY393&gt;0,AY393,1E+99),IF(BA393&gt;0,BA393,1E+99)),IF(m=1E+99,"",m))</x:f>
        <x:v>9.214</x:v>
      </x:c>
      <x:c r="BE393" s="16" t="e">
        <x:f>IF(BD393="","",INDEX({"v1.4.20","v1.4.20","v1.4.21","v1.4.21","v1.4.23","v1.4.23","v1.4.26","v1.4.26","v1.4.26.1","v1.4.26.1","v1.4.27","v1.4.27","v1.4.29","v1.4.29","v1.4.30","v1.4.30","v1.4.31","v1.4.31","v1.4.33","v1.4.33","v1.4.35","v1.4.35.2","v1.5","v1.5.1","v1.5.1"},MATCH(BD393,CHOOSE({1,2,3,4,5,6,7,8,9,10,11,12,13,14,15,16,17,18,19,20,21,22,23,24,25},E393,G393,I393,K393,M393,O393,Q393,S393,U393,W393,Y393,AA393,AC393,AE393,AG393,AI393,AK393,AM393,AO393,AQ393,AS393,AU393,AW393,AY393,BA393),0)))</x:f>
      </x:c>
      <x:c r="BF393" s="10" t="n">
        <x:f>IFERROR((AX393-BB393)/BB393,"")</x:f>
        <x:v>0</x:v>
      </x:c>
      <x:c r="BG393" s="10" t="n">
        <x:f>IFERROR((AY393-BD393)/BD393,"")</x:f>
        <x:v>0.04547427827219434</x:v>
      </x:c>
    </x:row>
    <x:row r="394">
      <x:c r="A394" t="str"/>
      <x:c r="B394" t="str">
        <x:v>Format Unlocked Care Plan Report</x:v>
      </x:c>
      <x:c r="C394" t="str">
        <x:v>Raw data mapped to dashboard headers</x:v>
      </x:c>
      <x:c r="D394" s="8"/>
      <x:c r="E394" s="8"/>
      <x:c r="F394" s="8"/>
      <x:c r="G394" s="8"/>
      <x:c r="H394" s="8"/>
      <x:c r="I394" s="8"/>
      <x:c r="J394" s="8"/>
      <x:c r="K394" s="8"/>
      <x:c r="L394" s="8" t="n">
        <x:v>0.988</x:v>
      </x:c>
      <x:c r="M394" s="8" t="n">
        <x:v>17.166</x:v>
      </x:c>
      <x:c r="N394" s="8" t="n">
        <x:v>0.988</x:v>
      </x:c>
      <x:c r="O394" s="8" t="n">
        <x:v>17.166</x:v>
      </x:c>
      <x:c r="P394" s="8" t="n">
        <x:v>0.57</x:v>
      </x:c>
      <x:c r="Q394" s="8" t="n">
        <x:v>11.392</x:v>
      </x:c>
      <x:c r="R394" s="8" t="n">
        <x:v>0.57</x:v>
      </x:c>
      <x:c r="S394" s="8" t="n">
        <x:v>11.392</x:v>
      </x:c>
      <x:c r="T394" s="8" t="n">
        <x:v>0.487</x:v>
      </x:c>
      <x:c r="U394" s="8" t="n">
        <x:v>10.801</x:v>
      </x:c>
      <x:c r="V394" s="8" t="n">
        <x:v>0.487</x:v>
      </x:c>
      <x:c r="W394" s="8" t="n">
        <x:v>10.801</x:v>
      </x:c>
      <x:c r="X394" s="8" t="n">
        <x:v>1.727</x:v>
      </x:c>
      <x:c r="Y394" s="8" t="n">
        <x:v>17.779</x:v>
      </x:c>
      <x:c r="Z394" s="8" t="n">
        <x:v>1.727</x:v>
      </x:c>
      <x:c r="AA394" s="8" t="n">
        <x:v>17.779</x:v>
      </x:c>
      <x:c r="AB394" s="8" t="n">
        <x:v>1.73</x:v>
      </x:c>
      <x:c r="AC394" s="8" t="n">
        <x:v>30.47</x:v>
      </x:c>
      <x:c r="AD394" s="8" t="n">
        <x:v>1.73</x:v>
      </x:c>
      <x:c r="AE394" s="8" t="n">
        <x:v>30.47</x:v>
      </x:c>
      <x:c r="AF394" s="8" t="n">
        <x:v>1.515</x:v>
      </x:c>
      <x:c r="AG394" s="8" t="n">
        <x:v>12.758</x:v>
      </x:c>
      <x:c r="AH394" s="8" t="n">
        <x:v>1.515</x:v>
      </x:c>
      <x:c r="AI394" s="8" t="n">
        <x:v>12.758</x:v>
      </x:c>
      <x:c r="AJ394" s="8" t="n">
        <x:v>0.939</x:v>
      </x:c>
      <x:c r="AK394" s="8" t="n">
        <x:v>14.925</x:v>
      </x:c>
      <x:c r="AL394" s="8" t="n">
        <x:v>0.939</x:v>
      </x:c>
      <x:c r="AM394" s="8" t="n">
        <x:v>14.925</x:v>
      </x:c>
      <x:c r="AN394" s="8" t="n">
        <x:v>1.905</x:v>
      </x:c>
      <x:c r="AO394" s="8" t="n">
        <x:v>13.364</x:v>
      </x:c>
      <x:c r="AP394" s="8" t="n">
        <x:v>1.905</x:v>
      </x:c>
      <x:c r="AQ394" s="8" t="n">
        <x:v>13.364</x:v>
      </x:c>
      <x:c r="AR394" s="8"/>
      <x:c r="AS394" s="8"/>
      <x:c r="AT394" s="8" t="n">
        <x:v>0.89</x:v>
      </x:c>
      <x:c r="AU394" s="8" t="n">
        <x:v>11.416</x:v>
      </x:c>
      <x:c r="AV394" s="8" t="n">
        <x:v>0.479</x:v>
      </x:c>
      <x:c r="AW394" s="8" t="n">
        <x:v>13.423</x:v>
      </x:c>
      <x:c r="AX394" s="8" t="n">
        <x:v>0.417</x:v>
      </x:c>
      <x:c r="AY394" s="8" t="n">
        <x:v>11.056</x:v>
      </x:c>
      <x:c r="AZ394" s="8" t="n">
        <x:v>0.417</x:v>
      </x:c>
      <x:c r="BA394" s="8" t="n">
        <x:v>11.056</x:v>
      </x:c>
      <x:c r="BB394" s="8" t="n">
        <x:f>LET(m,MIN(IF(D394&gt;0,D394,1E+99),IF(F394&gt;0,F394,1E+99),IF(H394&gt;0,H394,1E+99),IF(J394&gt;0,J394,1E+99),IF(L394&gt;0,L394,1E+99),IF(N394&gt;0,N394,1E+99),IF(P394&gt;0,P394,1E+99),IF(R394&gt;0,R394,1E+99),IF(T394&gt;0,T394,1E+99),IF(V394&gt;0,V394,1E+99),IF(X394&gt;0,X394,1E+99),IF(Z394&gt;0,Z394,1E+99),IF(AB394&gt;0,AB394,1E+99),IF(AD394&gt;0,AD394,1E+99),IF(AF394&gt;0,AF394,1E+99),IF(AH394&gt;0,AH394,1E+99),IF(AJ394&gt;0,AJ394,1E+99),IF(AL394&gt;0,AL394,1E+99),IF(AN394&gt;0,AN394,1E+99),IF(AP394&gt;0,AP394,1E+99),IF(AR394&gt;0,AR394,1E+99),IF(AT394&gt;0,AT394,1E+99),IF(AV394&gt;0,AV394,1E+99),IF(AX394&gt;0,AX394,1E+99),IF(AZ394&gt;0,AZ394,1E+99)),IF(m=1E+99,"",m))</x:f>
        <x:v>0.417</x:v>
      </x:c>
      <x:c r="BC394" s="12" t="e">
        <x:f>IF(BB394="","",INDEX({"v1.4.20","v1.4.20","v1.4.21","v1.4.21","v1.4.23","v1.4.23","v1.4.26","v1.4.26","v1.4.26.1","v1.4.26.1","v1.4.27","v1.4.27","v1.4.29","v1.4.29","v1.4.30","v1.4.30","v1.4.31","v1.4.31","v1.4.33","v1.4.33","v1.4.35","v1.4.35.2","v1.5","v1.5.1","v1.5.1"},MATCH(BB394,CHOOSE({1,2,3,4,5,6,7,8,9,10,11,12,13,14,15,16,17,18,19,20,21,22,23,24,25},D394,F394,H394,J394,L394,N394,P394,R394,T394,V394,X394,Z394,AB394,AD394,AF394,AH394,AJ394,AL394,AN394,AP394,AR394,AT394,AV394,AX394,AZ394),0)))</x:f>
      </x:c>
      <x:c r="BD394" s="14" t="n">
        <x:f>LET(m,MIN(IF(E394&gt;0,E394,1E+99),IF(G394&gt;0,G394,1E+99),IF(I394&gt;0,I394,1E+99),IF(K394&gt;0,K394,1E+99),IF(M394&gt;0,M394,1E+99),IF(O394&gt;0,O394,1E+99),IF(Q394&gt;0,Q394,1E+99),IF(S394&gt;0,S394,1E+99),IF(U394&gt;0,U394,1E+99),IF(W394&gt;0,W394,1E+99),IF(Y394&gt;0,Y394,1E+99),IF(AA394&gt;0,AA394,1E+99),IF(AC394&gt;0,AC394,1E+99),IF(AE394&gt;0,AE394,1E+99),IF(AG394&gt;0,AG394,1E+99),IF(AI394&gt;0,AI394,1E+99),IF(AK394&gt;0,AK394,1E+99),IF(AM394&gt;0,AM394,1E+99),IF(AO394&gt;0,AO394,1E+99),IF(AQ394&gt;0,AQ394,1E+99),IF(AS394&gt;0,AS394,1E+99),IF(AU394&gt;0,AU394,1E+99),IF(AW394&gt;0,AW394,1E+99),IF(AY394&gt;0,AY394,1E+99),IF(BA394&gt;0,BA394,1E+99)),IF(m=1E+99,"",m))</x:f>
        <x:v>10.801</x:v>
      </x:c>
      <x:c r="BE394" s="16" t="e">
        <x:f>IF(BD394="","",INDEX({"v1.4.20","v1.4.20","v1.4.21","v1.4.21","v1.4.23","v1.4.23","v1.4.26","v1.4.26","v1.4.26.1","v1.4.26.1","v1.4.27","v1.4.27","v1.4.29","v1.4.29","v1.4.30","v1.4.30","v1.4.31","v1.4.31","v1.4.33","v1.4.33","v1.4.35","v1.4.35.2","v1.5","v1.5.1","v1.5.1"},MATCH(BD394,CHOOSE({1,2,3,4,5,6,7,8,9,10,11,12,13,14,15,16,17,18,19,20,21,22,23,24,25},E394,G394,I394,K394,M394,O394,Q394,S394,U394,W394,Y394,AA394,AC394,AE394,AG394,AI394,AK394,AM394,AO394,AQ394,AS394,AU394,AW394,AY394,BA394),0)))</x:f>
      </x:c>
      <x:c r="BF394" s="10" t="n">
        <x:f>IFERROR((AX394-BB394)/BB394,"")</x:f>
        <x:v>0</x:v>
      </x:c>
      <x:c r="BG394" s="10" t="n">
        <x:f>IFERROR((AY394-BD394)/BD394,"")</x:f>
        <x:v>0.02360892509952773</x:v>
      </x:c>
    </x:row>
    <x:row r="395">
      <x:c r="A395" t="str"/>
      <x:c r="B395" t="str">
        <x:v>Format Unlocked Care Plan Report</x:v>
      </x:c>
      <x:c r="C395" t="str">
        <x:v>Template duplicated and raw data pasted: Unlocked CP 04.26</x:v>
      </x:c>
      <x:c r="D395" s="8"/>
      <x:c r="E395" s="8"/>
      <x:c r="F395" s="8"/>
      <x:c r="G395" s="8"/>
      <x:c r="H395" s="8"/>
      <x:c r="I395" s="8"/>
      <x:c r="J395" s="8"/>
      <x:c r="K395" s="8"/>
      <x:c r="L395" s="8" t="n">
        <x:v>12.334</x:v>
      </x:c>
      <x:c r="M395" s="8" t="n">
        <x:v>29.5</x:v>
      </x:c>
      <x:c r="N395" s="8" t="n">
        <x:v>12.334</x:v>
      </x:c>
      <x:c r="O395" s="8" t="n">
        <x:v>29.5</x:v>
      </x:c>
      <x:c r="P395" s="8"/>
      <x:c r="Q395" s="8"/>
      <x:c r="R395" s="8"/>
      <x:c r="S395" s="8"/>
      <x:c r="T395" s="8" t="n">
        <x:v>6.655</x:v>
      </x:c>
      <x:c r="U395" s="8" t="n">
        <x:v>17.456</x:v>
      </x:c>
      <x:c r="V395" s="8" t="n">
        <x:v>6.655</x:v>
      </x:c>
      <x:c r="W395" s="8" t="n">
        <x:v>17.456</x:v>
      </x:c>
      <x:c r="X395" s="8"/>
      <x:c r="Y395" s="8"/>
      <x:c r="Z395" s="8"/>
      <x:c r="AA395" s="8"/>
      <x:c r="AB395" s="8"/>
      <x:c r="AC395" s="8"/>
      <x:c r="AD395" s="8"/>
      <x:c r="AE395" s="8"/>
      <x:c r="AF395" s="8" t="n">
        <x:v>7.455</x:v>
      </x:c>
      <x:c r="AG395" s="8" t="n">
        <x:v>20.213</x:v>
      </x:c>
      <x:c r="AH395" s="8" t="n">
        <x:v>7.455</x:v>
      </x:c>
      <x:c r="AI395" s="8" t="n">
        <x:v>20.213</x:v>
      </x:c>
      <x:c r="AJ395" s="8" t="n">
        <x:v>11.703</x:v>
      </x:c>
      <x:c r="AK395" s="8" t="n">
        <x:v>26.628</x:v>
      </x:c>
      <x:c r="AL395" s="8" t="n">
        <x:v>11.703</x:v>
      </x:c>
      <x:c r="AM395" s="8" t="n">
        <x:v>26.628</x:v>
      </x:c>
      <x:c r="AN395" s="8" t="n">
        <x:v>7.562</x:v>
      </x:c>
      <x:c r="AO395" s="8" t="n">
        <x:v>20.926</x:v>
      </x:c>
      <x:c r="AP395" s="8" t="n">
        <x:v>7.562</x:v>
      </x:c>
      <x:c r="AQ395" s="8" t="n">
        <x:v>20.926</x:v>
      </x:c>
      <x:c r="AR395" s="8"/>
      <x:c r="AS395" s="8"/>
      <x:c r="AT395" s="8" t="n">
        <x:v>8.435</x:v>
      </x:c>
      <x:c r="AU395" s="8" t="n">
        <x:v>19.851</x:v>
      </x:c>
      <x:c r="AV395" s="8" t="n">
        <x:v>9.169</x:v>
      </x:c>
      <x:c r="AW395" s="8" t="n">
        <x:v>22.592</x:v>
      </x:c>
      <x:c r="AX395" s="8" t="n">
        <x:v>8.689</x:v>
      </x:c>
      <x:c r="AY395" s="8" t="n">
        <x:v>19.745</x:v>
      </x:c>
      <x:c r="AZ395" s="8" t="n">
        <x:v>8.689</x:v>
      </x:c>
      <x:c r="BA395" s="8" t="n">
        <x:v>19.745</x:v>
      </x:c>
      <x:c r="BB395" s="8" t="n">
        <x:f>LET(m,MIN(IF(D395&gt;0,D395,1E+99),IF(F395&gt;0,F395,1E+99),IF(H395&gt;0,H395,1E+99),IF(J395&gt;0,J395,1E+99),IF(L395&gt;0,L395,1E+99),IF(N395&gt;0,N395,1E+99),IF(P395&gt;0,P395,1E+99),IF(R395&gt;0,R395,1E+99),IF(T395&gt;0,T395,1E+99),IF(V395&gt;0,V395,1E+99),IF(X395&gt;0,X395,1E+99),IF(Z395&gt;0,Z395,1E+99),IF(AB395&gt;0,AB395,1E+99),IF(AD395&gt;0,AD395,1E+99),IF(AF395&gt;0,AF395,1E+99),IF(AH395&gt;0,AH395,1E+99),IF(AJ395&gt;0,AJ395,1E+99),IF(AL395&gt;0,AL395,1E+99),IF(AN395&gt;0,AN395,1E+99),IF(AP395&gt;0,AP395,1E+99),IF(AR395&gt;0,AR395,1E+99),IF(AT395&gt;0,AT395,1E+99),IF(AV395&gt;0,AV395,1E+99),IF(AX395&gt;0,AX395,1E+99),IF(AZ395&gt;0,AZ395,1E+99)),IF(m=1E+99,"",m))</x:f>
        <x:v>6.655</x:v>
      </x:c>
      <x:c r="BC395" s="12" t="e">
        <x:f>IF(BB395="","",INDEX({"v1.4.20","v1.4.20","v1.4.21","v1.4.21","v1.4.23","v1.4.23","v1.4.26","v1.4.26","v1.4.26.1","v1.4.26.1","v1.4.27","v1.4.27","v1.4.29","v1.4.29","v1.4.30","v1.4.30","v1.4.31","v1.4.31","v1.4.33","v1.4.33","v1.4.35","v1.4.35.2","v1.5","v1.5.1","v1.5.1"},MATCH(BB395,CHOOSE({1,2,3,4,5,6,7,8,9,10,11,12,13,14,15,16,17,18,19,20,21,22,23,24,25},D395,F395,H395,J395,L395,N395,P395,R395,T395,V395,X395,Z395,AB395,AD395,AF395,AH395,AJ395,AL395,AN395,AP395,AR395,AT395,AV395,AX395,AZ395),0)))</x:f>
      </x:c>
      <x:c r="BD395" s="14" t="n">
        <x:f>LET(m,MIN(IF(E395&gt;0,E395,1E+99),IF(G395&gt;0,G395,1E+99),IF(I395&gt;0,I395,1E+99),IF(K395&gt;0,K395,1E+99),IF(M395&gt;0,M395,1E+99),IF(O395&gt;0,O395,1E+99),IF(Q395&gt;0,Q395,1E+99),IF(S395&gt;0,S395,1E+99),IF(U395&gt;0,U395,1E+99),IF(W395&gt;0,W395,1E+99),IF(Y395&gt;0,Y395,1E+99),IF(AA395&gt;0,AA395,1E+99),IF(AC395&gt;0,AC395,1E+99),IF(AE395&gt;0,AE395,1E+99),IF(AG395&gt;0,AG395,1E+99),IF(AI395&gt;0,AI395,1E+99),IF(AK395&gt;0,AK395,1E+99),IF(AM395&gt;0,AM395,1E+99),IF(AO395&gt;0,AO395,1E+99),IF(AQ395&gt;0,AQ395,1E+99),IF(AS395&gt;0,AS395,1E+99),IF(AU395&gt;0,AU395,1E+99),IF(AW395&gt;0,AW395,1E+99),IF(AY395&gt;0,AY395,1E+99),IF(BA395&gt;0,BA395,1E+99)),IF(m=1E+99,"",m))</x:f>
        <x:v>17.456</x:v>
      </x:c>
      <x:c r="BE395" s="16" t="e">
        <x:f>IF(BD395="","",INDEX({"v1.4.20","v1.4.20","v1.4.21","v1.4.21","v1.4.23","v1.4.23","v1.4.26","v1.4.26","v1.4.26.1","v1.4.26.1","v1.4.27","v1.4.27","v1.4.29","v1.4.29","v1.4.30","v1.4.30","v1.4.31","v1.4.31","v1.4.33","v1.4.33","v1.4.35","v1.4.35.2","v1.5","v1.5.1","v1.5.1"},MATCH(BD395,CHOOSE({1,2,3,4,5,6,7,8,9,10,11,12,13,14,15,16,17,18,19,20,21,22,23,24,25},E395,G395,I395,K395,M395,O395,Q395,S395,U395,W395,Y395,AA395,AC395,AE395,AG395,AI395,AK395,AM395,AO395,AQ395,AS395,AU395,AW395,AY395,BA395),0)))</x:f>
      </x:c>
      <x:c r="BF395" s="10" t="n">
        <x:f>IFERROR((AX395-BB395)/BB395,"")</x:f>
        <x:v>0.3056348610067618</x:v>
      </x:c>
      <x:c r="BG395" s="10" t="n">
        <x:f>IFERROR((AY395-BD395)/BD395,"")</x:f>
        <x:v>0.1311296975252063</x:v>
      </x:c>
    </x:row>
    <x:row r="396">
      <x:c r="A396" t="str"/>
      <x:c r="B396" t="str">
        <x:v>Format Unlocked Care Plan Report</x:v>
      </x:c>
      <x:c r="C396" t="str">
        <x:v>Lock final row heights</x:v>
      </x:c>
      <x:c r="D396" s="8"/>
      <x:c r="E396" s="8"/>
      <x:c r="F396" s="8"/>
      <x:c r="G396" s="8"/>
      <x:c r="H396" s="8"/>
      <x:c r="I396" s="8"/>
      <x:c r="J396" s="8"/>
      <x:c r="K396" s="8"/>
      <x:c r="L396" s="8" t="n">
        <x:v>1.318</x:v>
      </x:c>
      <x:c r="M396" s="8" t="n">
        <x:v>30.818</x:v>
      </x:c>
      <x:c r="N396" s="8" t="n">
        <x:v>1.318</x:v>
      </x:c>
      <x:c r="O396" s="8" t="n">
        <x:v>30.818</x:v>
      </x:c>
      <x:c r="P396" s="8"/>
      <x:c r="Q396" s="8"/>
      <x:c r="R396" s="8"/>
      <x:c r="S396" s="8"/>
      <x:c r="T396" s="8" t="n">
        <x:v>1.546</x:v>
      </x:c>
      <x:c r="U396" s="8" t="n">
        <x:v>19.002</x:v>
      </x:c>
      <x:c r="V396" s="8" t="n">
        <x:v>1.546</x:v>
      </x:c>
      <x:c r="W396" s="8" t="n">
        <x:v>19.002</x:v>
      </x:c>
      <x:c r="X396" s="8"/>
      <x:c r="Y396" s="8"/>
      <x:c r="Z396" s="8"/>
      <x:c r="AA396" s="8"/>
      <x:c r="AB396" s="8"/>
      <x:c r="AC396" s="8"/>
      <x:c r="AD396" s="8"/>
      <x:c r="AE396" s="8"/>
      <x:c r="AF396" s="8" t="n">
        <x:v>4.734</x:v>
      </x:c>
      <x:c r="AG396" s="8" t="n">
        <x:v>24.947</x:v>
      </x:c>
      <x:c r="AH396" s="8" t="n">
        <x:v>4.734</x:v>
      </x:c>
      <x:c r="AI396" s="8" t="n">
        <x:v>24.947</x:v>
      </x:c>
      <x:c r="AJ396" s="8" t="n">
        <x:v>1.509</x:v>
      </x:c>
      <x:c r="AK396" s="8" t="n">
        <x:v>28.137</x:v>
      </x:c>
      <x:c r="AL396" s="8" t="n">
        <x:v>1.509</x:v>
      </x:c>
      <x:c r="AM396" s="8" t="n">
        <x:v>28.137</x:v>
      </x:c>
      <x:c r="AN396" s="8" t="n">
        <x:v>1.002</x:v>
      </x:c>
      <x:c r="AO396" s="8" t="n">
        <x:v>21.928</x:v>
      </x:c>
      <x:c r="AP396" s="8" t="n">
        <x:v>1.002</x:v>
      </x:c>
      <x:c r="AQ396" s="8" t="n">
        <x:v>21.928</x:v>
      </x:c>
      <x:c r="AR396" s="8"/>
      <x:c r="AS396" s="8"/>
      <x:c r="AT396" s="8" t="n">
        <x:v>0.928</x:v>
      </x:c>
      <x:c r="AU396" s="8" t="n">
        <x:v>20.779</x:v>
      </x:c>
      <x:c r="AV396" s="8" t="n">
        <x:v>1.198</x:v>
      </x:c>
      <x:c r="AW396" s="8" t="n">
        <x:v>23.79</x:v>
      </x:c>
      <x:c r="AX396" s="8" t="n">
        <x:v>1.836</x:v>
      </x:c>
      <x:c r="AY396" s="8" t="n">
        <x:v>21.581</x:v>
      </x:c>
      <x:c r="AZ396" s="8" t="n">
        <x:v>1.836</x:v>
      </x:c>
      <x:c r="BA396" s="8" t="n">
        <x:v>21.581</x:v>
      </x:c>
      <x:c r="BB396" s="8" t="n">
        <x:f>LET(m,MIN(IF(D396&gt;0,D396,1E+99),IF(F396&gt;0,F396,1E+99),IF(H396&gt;0,H396,1E+99),IF(J396&gt;0,J396,1E+99),IF(L396&gt;0,L396,1E+99),IF(N396&gt;0,N396,1E+99),IF(P396&gt;0,P396,1E+99),IF(R396&gt;0,R396,1E+99),IF(T396&gt;0,T396,1E+99),IF(V396&gt;0,V396,1E+99),IF(X396&gt;0,X396,1E+99),IF(Z396&gt;0,Z396,1E+99),IF(AB396&gt;0,AB396,1E+99),IF(AD396&gt;0,AD396,1E+99),IF(AF396&gt;0,AF396,1E+99),IF(AH396&gt;0,AH396,1E+99),IF(AJ396&gt;0,AJ396,1E+99),IF(AL396&gt;0,AL396,1E+99),IF(AN396&gt;0,AN396,1E+99),IF(AP396&gt;0,AP396,1E+99),IF(AR396&gt;0,AR396,1E+99),IF(AT396&gt;0,AT396,1E+99),IF(AV396&gt;0,AV396,1E+99),IF(AX396&gt;0,AX396,1E+99),IF(AZ396&gt;0,AZ396,1E+99)),IF(m=1E+99,"",m))</x:f>
        <x:v>0.928</x:v>
      </x:c>
      <x:c r="BC396" s="12" t="e">
        <x:f>IF(BB396="","",INDEX({"v1.4.20","v1.4.20","v1.4.21","v1.4.21","v1.4.23","v1.4.23","v1.4.26","v1.4.26","v1.4.26.1","v1.4.26.1","v1.4.27","v1.4.27","v1.4.29","v1.4.29","v1.4.30","v1.4.30","v1.4.31","v1.4.31","v1.4.33","v1.4.33","v1.4.35","v1.4.35.2","v1.5","v1.5.1","v1.5.1"},MATCH(BB396,CHOOSE({1,2,3,4,5,6,7,8,9,10,11,12,13,14,15,16,17,18,19,20,21,22,23,24,25},D396,F396,H396,J396,L396,N396,P396,R396,T396,V396,X396,Z396,AB396,AD396,AF396,AH396,AJ396,AL396,AN396,AP396,AR396,AT396,AV396,AX396,AZ396),0)))</x:f>
      </x:c>
      <x:c r="BD396" s="14" t="n">
        <x:f>LET(m,MIN(IF(E396&gt;0,E396,1E+99),IF(G396&gt;0,G396,1E+99),IF(I396&gt;0,I396,1E+99),IF(K396&gt;0,K396,1E+99),IF(M396&gt;0,M396,1E+99),IF(O396&gt;0,O396,1E+99),IF(Q396&gt;0,Q396,1E+99),IF(S396&gt;0,S396,1E+99),IF(U396&gt;0,U396,1E+99),IF(W396&gt;0,W396,1E+99),IF(Y396&gt;0,Y396,1E+99),IF(AA396&gt;0,AA396,1E+99),IF(AC396&gt;0,AC396,1E+99),IF(AE396&gt;0,AE396,1E+99),IF(AG396&gt;0,AG396,1E+99),IF(AI396&gt;0,AI396,1E+99),IF(AK396&gt;0,AK396,1E+99),IF(AM396&gt;0,AM396,1E+99),IF(AO396&gt;0,AO396,1E+99),IF(AQ396&gt;0,AQ396,1E+99),IF(AS396&gt;0,AS396,1E+99),IF(AU396&gt;0,AU396,1E+99),IF(AW396&gt;0,AW396,1E+99),IF(AY396&gt;0,AY396,1E+99),IF(BA396&gt;0,BA396,1E+99)),IF(m=1E+99,"",m))</x:f>
        <x:v>19.002</x:v>
      </x:c>
      <x:c r="BE396" s="16" t="e">
        <x:f>IF(BD396="","",INDEX({"v1.4.20","v1.4.20","v1.4.21","v1.4.21","v1.4.23","v1.4.23","v1.4.26","v1.4.26","v1.4.26.1","v1.4.26.1","v1.4.27","v1.4.27","v1.4.29","v1.4.29","v1.4.30","v1.4.30","v1.4.31","v1.4.31","v1.4.33","v1.4.33","v1.4.35","v1.4.35.2","v1.5","v1.5.1","v1.5.1"},MATCH(BD396,CHOOSE({1,2,3,4,5,6,7,8,9,10,11,12,13,14,15,16,17,18,19,20,21,22,23,24,25},E396,G396,I396,K396,M396,O396,Q396,S396,U396,W396,Y396,AA396,AC396,AE396,AG396,AI396,AK396,AM396,AO396,AQ396,AS396,AU396,AW396,AY396,BA396),0)))</x:f>
      </x:c>
      <x:c r="BF396" s="10" t="n">
        <x:f>IFERROR((AX396-BB396)/BB396,"")</x:f>
        <x:v>0.978448275862069</x:v>
      </x:c>
      <x:c r="BG396" s="10" t="n">
        <x:f>IFERROR((AY396-BD396)/BD396,"")</x:f>
        <x:v>0.13572255552047158</x:v>
      </x:c>
    </x:row>
    <x:row r="397">
      <x:c r="A397" t="str"/>
      <x:c r="B397" t="str">
        <x:v>Format Unlocked Care Plan Report</x:v>
      </x:c>
      <x:c r="C397" t="str">
        <x:v>Local raw sheet deleted after archive</x:v>
      </x:c>
      <x:c r="D397" s="8"/>
      <x:c r="E397" s="8"/>
      <x:c r="F397" s="8"/>
      <x:c r="G397" s="8"/>
      <x:c r="H397" s="8"/>
      <x:c r="I397" s="8"/>
      <x:c r="J397" s="8"/>
      <x:c r="K397" s="8"/>
      <x:c r="L397" s="8" t="n">
        <x:v>0.098</x:v>
      </x:c>
      <x:c r="M397" s="8" t="n">
        <x:v>35.842</x:v>
      </x:c>
      <x:c r="N397" s="8" t="n">
        <x:v>0.098</x:v>
      </x:c>
      <x:c r="O397" s="8" t="n">
        <x:v>35.842</x:v>
      </x:c>
      <x:c r="P397" s="8"/>
      <x:c r="Q397" s="8"/>
      <x:c r="R397" s="8"/>
      <x:c r="S397" s="8"/>
      <x:c r="T397" s="8" t="n">
        <x:v>0.094</x:v>
      </x:c>
      <x:c r="U397" s="8" t="n">
        <x:v>22.675</x:v>
      </x:c>
      <x:c r="V397" s="8" t="n">
        <x:v>0.094</x:v>
      </x:c>
      <x:c r="W397" s="8" t="n">
        <x:v>22.675</x:v>
      </x:c>
      <x:c r="X397" s="8"/>
      <x:c r="Y397" s="8"/>
      <x:c r="Z397" s="8"/>
      <x:c r="AA397" s="8"/>
      <x:c r="AB397" s="8"/>
      <x:c r="AC397" s="8"/>
      <x:c r="AD397" s="8"/>
      <x:c r="AE397" s="8"/>
      <x:c r="AF397" s="8" t="n">
        <x:v>0.106</x:v>
      </x:c>
      <x:c r="AG397" s="8" t="n">
        <x:v>29.234</x:v>
      </x:c>
      <x:c r="AH397" s="8" t="n">
        <x:v>0.106</x:v>
      </x:c>
      <x:c r="AI397" s="8" t="n">
        <x:v>29.234</x:v>
      </x:c>
      <x:c r="AJ397" s="8" t="n">
        <x:v>0.385</x:v>
      </x:c>
      <x:c r="AK397" s="8" t="n">
        <x:v>34.569</x:v>
      </x:c>
      <x:c r="AL397" s="8" t="n">
        <x:v>0.385</x:v>
      </x:c>
      <x:c r="AM397" s="8" t="n">
        <x:v>34.569</x:v>
      </x:c>
      <x:c r="AN397" s="8" t="n">
        <x:v>0.155</x:v>
      </x:c>
      <x:c r="AO397" s="8" t="n">
        <x:v>25.872</x:v>
      </x:c>
      <x:c r="AP397" s="8" t="n">
        <x:v>0.155</x:v>
      </x:c>
      <x:c r="AQ397" s="8" t="n">
        <x:v>25.872</x:v>
      </x:c>
      <x:c r="AR397" s="8"/>
      <x:c r="AS397" s="8"/>
      <x:c r="AT397" s="8" t="n">
        <x:v>0.094</x:v>
      </x:c>
      <x:c r="AU397" s="8" t="n">
        <x:v>24.628</x:v>
      </x:c>
      <x:c r="AV397" s="8" t="n">
        <x:v>0.116</x:v>
      </x:c>
      <x:c r="AW397" s="8" t="n">
        <x:v>28.844</x:v>
      </x:c>
      <x:c r="AX397" s="8" t="n">
        <x:v>0.088</x:v>
      </x:c>
      <x:c r="AY397" s="8" t="n">
        <x:v>25.921</x:v>
      </x:c>
      <x:c r="AZ397" s="8" t="n">
        <x:v>0.088</x:v>
      </x:c>
      <x:c r="BA397" s="8" t="n">
        <x:v>25.921</x:v>
      </x:c>
      <x:c r="BB397" s="8" t="n">
        <x:f>LET(m,MIN(IF(D397&gt;0,D397,1E+99),IF(F397&gt;0,F397,1E+99),IF(H397&gt;0,H397,1E+99),IF(J397&gt;0,J397,1E+99),IF(L397&gt;0,L397,1E+99),IF(N397&gt;0,N397,1E+99),IF(P397&gt;0,P397,1E+99),IF(R397&gt;0,R397,1E+99),IF(T397&gt;0,T397,1E+99),IF(V397&gt;0,V397,1E+99),IF(X397&gt;0,X397,1E+99),IF(Z397&gt;0,Z397,1E+99),IF(AB397&gt;0,AB397,1E+99),IF(AD397&gt;0,AD397,1E+99),IF(AF397&gt;0,AF397,1E+99),IF(AH397&gt;0,AH397,1E+99),IF(AJ397&gt;0,AJ397,1E+99),IF(AL397&gt;0,AL397,1E+99),IF(AN397&gt;0,AN397,1E+99),IF(AP397&gt;0,AP397,1E+99),IF(AR397&gt;0,AR397,1E+99),IF(AT397&gt;0,AT397,1E+99),IF(AV397&gt;0,AV397,1E+99),IF(AX397&gt;0,AX397,1E+99),IF(AZ397&gt;0,AZ397,1E+99)),IF(m=1E+99,"",m))</x:f>
        <x:v>0.088</x:v>
      </x:c>
      <x:c r="BC397" s="12" t="e">
        <x:f>IF(BB397="","",INDEX({"v1.4.20","v1.4.20","v1.4.21","v1.4.21","v1.4.23","v1.4.23","v1.4.26","v1.4.26","v1.4.26.1","v1.4.26.1","v1.4.27","v1.4.27","v1.4.29","v1.4.29","v1.4.30","v1.4.30","v1.4.31","v1.4.31","v1.4.33","v1.4.33","v1.4.35","v1.4.35.2","v1.5","v1.5.1","v1.5.1"},MATCH(BB397,CHOOSE({1,2,3,4,5,6,7,8,9,10,11,12,13,14,15,16,17,18,19,20,21,22,23,24,25},D397,F397,H397,J397,L397,N397,P397,R397,T397,V397,X397,Z397,AB397,AD397,AF397,AH397,AJ397,AL397,AN397,AP397,AR397,AT397,AV397,AX397,AZ397),0)))</x:f>
      </x:c>
      <x:c r="BD397" s="14" t="n">
        <x:f>LET(m,MIN(IF(E397&gt;0,E397,1E+99),IF(G397&gt;0,G397,1E+99),IF(I397&gt;0,I397,1E+99),IF(K397&gt;0,K397,1E+99),IF(M397&gt;0,M397,1E+99),IF(O397&gt;0,O397,1E+99),IF(Q397&gt;0,Q397,1E+99),IF(S397&gt;0,S397,1E+99),IF(U397&gt;0,U397,1E+99),IF(W397&gt;0,W397,1E+99),IF(Y397&gt;0,Y397,1E+99),IF(AA397&gt;0,AA397,1E+99),IF(AC397&gt;0,AC397,1E+99),IF(AE397&gt;0,AE397,1E+99),IF(AG397&gt;0,AG397,1E+99),IF(AI397&gt;0,AI397,1E+99),IF(AK397&gt;0,AK397,1E+99),IF(AM397&gt;0,AM397,1E+99),IF(AO397&gt;0,AO397,1E+99),IF(AQ397&gt;0,AQ397,1E+99),IF(AS397&gt;0,AS397,1E+99),IF(AU397&gt;0,AU397,1E+99),IF(AW397&gt;0,AW397,1E+99),IF(AY397&gt;0,AY397,1E+99),IF(BA397&gt;0,BA397,1E+99)),IF(m=1E+99,"",m))</x:f>
        <x:v>22.675</x:v>
      </x:c>
      <x:c r="BE397" s="16" t="e">
        <x:f>IF(BD397="","",INDEX({"v1.4.20","v1.4.20","v1.4.21","v1.4.21","v1.4.23","v1.4.23","v1.4.26","v1.4.26","v1.4.26.1","v1.4.26.1","v1.4.27","v1.4.27","v1.4.29","v1.4.29","v1.4.30","v1.4.30","v1.4.31","v1.4.31","v1.4.33","v1.4.33","v1.4.35","v1.4.35.2","v1.5","v1.5.1","v1.5.1"},MATCH(BD397,CHOOSE({1,2,3,4,5,6,7,8,9,10,11,12,13,14,15,16,17,18,19,20,21,22,23,24,25},E397,G397,I397,K397,M397,O397,Q397,S397,U397,W397,Y397,AA397,AC397,AE397,AG397,AI397,AK397,AM397,AO397,AQ397,AS397,AU397,AW397,AY397,BA397),0)))</x:f>
      </x:c>
      <x:c r="BF397" s="10" t="n">
        <x:f>IFERROR((AX397-BB397)/BB397,"")</x:f>
        <x:v>0</x:v>
      </x:c>
      <x:c r="BG397" s="10" t="n">
        <x:f>IFERROR((AY397-BD397)/BD397,"")</x:f>
        <x:v>0.14315325248070557</x:v>
      </x:c>
    </x:row>
    <x:row r="398">
      <x:c r="A398" t="str"/>
      <x:c r="B398" t="str">
        <x:v>Format Unlocked Care Plan Report</x:v>
      </x:c>
      <x:c r="C398" t="str">
        <x:v>Clear runtime caches</x:v>
      </x:c>
      <x:c r="D398" s="8" t="n">
        <x:v>0.004</x:v>
      </x:c>
      <x:c r="E398" s="8" t="n">
        <x:v>21.074</x:v>
      </x:c>
      <x:c r="F398" s="8" t="n">
        <x:v>0.004</x:v>
      </x:c>
      <x:c r="G398" s="8" t="n">
        <x:v>21.074</x:v>
      </x:c>
      <x:c r="H398" s="8" t="n">
        <x:v>0.003</x:v>
      </x:c>
      <x:c r="I398" s="8" t="n">
        <x:v>26.01</x:v>
      </x:c>
      <x:c r="J398" s="8" t="n">
        <x:v>0.003</x:v>
      </x:c>
      <x:c r="K398" s="8" t="n">
        <x:v>26.01</x:v>
      </x:c>
      <x:c r="L398" s="8" t="n">
        <x:v>0.003</x:v>
      </x:c>
      <x:c r="M398" s="8" t="n">
        <x:v>35.845</x:v>
      </x:c>
      <x:c r="N398" s="8" t="n">
        <x:v>0.003</x:v>
      </x:c>
      <x:c r="O398" s="8" t="n">
        <x:v>35.845</x:v>
      </x:c>
      <x:c r="P398" s="8"/>
      <x:c r="Q398" s="8"/>
      <x:c r="R398" s="8"/>
      <x:c r="S398" s="8"/>
      <x:c r="T398" s="8" t="n">
        <x:v>0.003</x:v>
      </x:c>
      <x:c r="U398" s="8" t="n">
        <x:v>22.678</x:v>
      </x:c>
      <x:c r="V398" s="8" t="n">
        <x:v>0.003</x:v>
      </x:c>
      <x:c r="W398" s="8" t="n">
        <x:v>22.678</x:v>
      </x:c>
      <x:c r="X398" s="8"/>
      <x:c r="Y398" s="8"/>
      <x:c r="Z398" s="8"/>
      <x:c r="AA398" s="8"/>
      <x:c r="AB398" s="8"/>
      <x:c r="AC398" s="8"/>
      <x:c r="AD398" s="8"/>
      <x:c r="AE398" s="8"/>
      <x:c r="AF398" s="8" t="n">
        <x:v>0.003</x:v>
      </x:c>
      <x:c r="AG398" s="8" t="n">
        <x:v>29.237</x:v>
      </x:c>
      <x:c r="AH398" s="8" t="n">
        <x:v>0.003</x:v>
      </x:c>
      <x:c r="AI398" s="8" t="n">
        <x:v>29.237</x:v>
      </x:c>
      <x:c r="AJ398" s="8" t="n">
        <x:v>0.002</x:v>
      </x:c>
      <x:c r="AK398" s="8" t="n">
        <x:v>34.571</x:v>
      </x:c>
      <x:c r="AL398" s="8" t="n">
        <x:v>0.002</x:v>
      </x:c>
      <x:c r="AM398" s="8" t="n">
        <x:v>34.571</x:v>
      </x:c>
      <x:c r="AN398" s="8" t="n">
        <x:v>0.004</x:v>
      </x:c>
      <x:c r="AO398" s="8" t="n">
        <x:v>25.876</x:v>
      </x:c>
      <x:c r="AP398" s="8" t="n">
        <x:v>0.004</x:v>
      </x:c>
      <x:c r="AQ398" s="8" t="n">
        <x:v>25.876</x:v>
      </x:c>
      <x:c r="AR398" s="8"/>
      <x:c r="AS398" s="8"/>
      <x:c r="AT398" s="8" t="n">
        <x:v>0.002</x:v>
      </x:c>
      <x:c r="AU398" s="8" t="n">
        <x:v>24.63</x:v>
      </x:c>
      <x:c r="AV398" s="8" t="n">
        <x:v>0.002</x:v>
      </x:c>
      <x:c r="AW398" s="8" t="n">
        <x:v>28.846</x:v>
      </x:c>
      <x:c r="AX398" s="8" t="n">
        <x:v>0.001</x:v>
      </x:c>
      <x:c r="AY398" s="8" t="n">
        <x:v>25.922</x:v>
      </x:c>
      <x:c r="AZ398" s="8" t="n">
        <x:v>0.001</x:v>
      </x:c>
      <x:c r="BA398" s="8" t="n">
        <x:v>25.922</x:v>
      </x:c>
      <x:c r="BB398" s="8" t="n">
        <x:f>LET(m,MIN(IF(D398&gt;0,D398,1E+99),IF(F398&gt;0,F398,1E+99),IF(H398&gt;0,H398,1E+99),IF(J398&gt;0,J398,1E+99),IF(L398&gt;0,L398,1E+99),IF(N398&gt;0,N398,1E+99),IF(P398&gt;0,P398,1E+99),IF(R398&gt;0,R398,1E+99),IF(T398&gt;0,T398,1E+99),IF(V398&gt;0,V398,1E+99),IF(X398&gt;0,X398,1E+99),IF(Z398&gt;0,Z398,1E+99),IF(AB398&gt;0,AB398,1E+99),IF(AD398&gt;0,AD398,1E+99),IF(AF398&gt;0,AF398,1E+99),IF(AH398&gt;0,AH398,1E+99),IF(AJ398&gt;0,AJ398,1E+99),IF(AL398&gt;0,AL398,1E+99),IF(AN398&gt;0,AN398,1E+99),IF(AP398&gt;0,AP398,1E+99),IF(AR398&gt;0,AR398,1E+99),IF(AT398&gt;0,AT398,1E+99),IF(AV398&gt;0,AV398,1E+99),IF(AX398&gt;0,AX398,1E+99),IF(AZ398&gt;0,AZ398,1E+99)),IF(m=1E+99,"",m))</x:f>
        <x:v>0.001</x:v>
      </x:c>
      <x:c r="BC398" s="12" t="e">
        <x:f>IF(BB398="","",INDEX({"v1.4.20","v1.4.20","v1.4.21","v1.4.21","v1.4.23","v1.4.23","v1.4.26","v1.4.26","v1.4.26.1","v1.4.26.1","v1.4.27","v1.4.27","v1.4.29","v1.4.29","v1.4.30","v1.4.30","v1.4.31","v1.4.31","v1.4.33","v1.4.33","v1.4.35","v1.4.35.2","v1.5","v1.5.1","v1.5.1"},MATCH(BB398,CHOOSE({1,2,3,4,5,6,7,8,9,10,11,12,13,14,15,16,17,18,19,20,21,22,23,24,25},D398,F398,H398,J398,L398,N398,P398,R398,T398,V398,X398,Z398,AB398,AD398,AF398,AH398,AJ398,AL398,AN398,AP398,AR398,AT398,AV398,AX398,AZ398),0)))</x:f>
      </x:c>
      <x:c r="BD398" s="14" t="n">
        <x:f>LET(m,MIN(IF(E398&gt;0,E398,1E+99),IF(G398&gt;0,G398,1E+99),IF(I398&gt;0,I398,1E+99),IF(K398&gt;0,K398,1E+99),IF(M398&gt;0,M398,1E+99),IF(O398&gt;0,O398,1E+99),IF(Q398&gt;0,Q398,1E+99),IF(S398&gt;0,S398,1E+99),IF(U398&gt;0,U398,1E+99),IF(W398&gt;0,W398,1E+99),IF(Y398&gt;0,Y398,1E+99),IF(AA398&gt;0,AA398,1E+99),IF(AC398&gt;0,AC398,1E+99),IF(AE398&gt;0,AE398,1E+99),IF(AG398&gt;0,AG398,1E+99),IF(AI398&gt;0,AI398,1E+99),IF(AK398&gt;0,AK398,1E+99),IF(AM398&gt;0,AM398,1E+99),IF(AO398&gt;0,AO398,1E+99),IF(AQ398&gt;0,AQ398,1E+99),IF(AS398&gt;0,AS398,1E+99),IF(AU398&gt;0,AU398,1E+99),IF(AW398&gt;0,AW398,1E+99),IF(AY398&gt;0,AY398,1E+99),IF(BA398&gt;0,BA398,1E+99)),IF(m=1E+99,"",m))</x:f>
        <x:v>21.074</x:v>
      </x:c>
      <x:c r="BE398" s="16" t="str">
        <x:f>IF(BD398="","",INDEX({"v1.4.20","v1.4.20","v1.4.21","v1.4.21","v1.4.23","v1.4.23","v1.4.26","v1.4.26","v1.4.26.1","v1.4.26.1","v1.4.27","v1.4.27","v1.4.29","v1.4.29","v1.4.30","v1.4.30","v1.4.31","v1.4.31","v1.4.33","v1.4.33","v1.4.35","v1.4.35.2","v1.5","v1.5.1","v1.5.1"},MATCH(BD398,CHOOSE({1,2,3,4,5,6,7,8,9,10,11,12,13,14,15,16,17,18,19,20,21,22,23,24,25},E398,G398,I398,K398,M398,O398,Q398,S398,U398,W398,Y398,AA398,AC398,AE398,AG398,AI398,AK398,AM398,AO398,AQ398,AS398,AU398,AW398,AY398,BA398),0)))</x:f>
        <x:v>v1.4.20</x:v>
      </x:c>
      <x:c r="BF398" s="10" t="n">
        <x:f>IFERROR((AX398-BB398)/BB398,"")</x:f>
        <x:v>0</x:v>
      </x:c>
      <x:c r="BG398" s="10" t="n">
        <x:f>IFERROR((AY398-BD398)/BD398,"")</x:f>
        <x:v>0.23004650279965827</x:v>
      </x:c>
    </x:row>
    <x:row r="399">
      <x:c r="A399" t="str"/>
      <x:c r="B399" t="str">
        <x:v>Format Unlocked Care Plan Report</x:v>
      </x:c>
      <x:c r="C399" t="str">
        <x:v>Complete</x:v>
      </x:c>
      <x:c r="D399" s="8"/>
      <x:c r="E399" s="8"/>
      <x:c r="F399" s="8"/>
      <x:c r="G399" s="8"/>
      <x:c r="H399" s="8"/>
      <x:c r="I399" s="8"/>
      <x:c r="J399" s="8"/>
      <x:c r="K399" s="8"/>
      <x:c r="L399" s="8" t="n">
        <x:v>0.953</x:v>
      </x:c>
      <x:c r="M399" s="8" t="n">
        <x:v>36.798</x:v>
      </x:c>
      <x:c r="N399" s="8" t="n">
        <x:v>0.953</x:v>
      </x:c>
      <x:c r="O399" s="8" t="n">
        <x:v>36.798</x:v>
      </x:c>
      <x:c r="P399" s="8"/>
      <x:c r="Q399" s="8"/>
      <x:c r="R399" s="8"/>
      <x:c r="S399" s="8"/>
      <x:c r="T399" s="8" t="n">
        <x:v>0.569</x:v>
      </x:c>
      <x:c r="U399" s="8" t="n">
        <x:v>23.247</x:v>
      </x:c>
      <x:c r="V399" s="8" t="n">
        <x:v>0.569</x:v>
      </x:c>
      <x:c r="W399" s="8" t="n">
        <x:v>23.247</x:v>
      </x:c>
      <x:c r="X399" s="8"/>
      <x:c r="Y399" s="8"/>
      <x:c r="Z399" s="8"/>
      <x:c r="AA399" s="8"/>
      <x:c r="AB399" s="8"/>
      <x:c r="AC399" s="8"/>
      <x:c r="AD399" s="8"/>
      <x:c r="AE399" s="8"/>
      <x:c r="AF399" s="8" t="n">
        <x:v>0.662</x:v>
      </x:c>
      <x:c r="AG399" s="8" t="n">
        <x:v>29.899</x:v>
      </x:c>
      <x:c r="AH399" s="8" t="n">
        <x:v>0.662</x:v>
      </x:c>
      <x:c r="AI399" s="8" t="n">
        <x:v>29.899</x:v>
      </x:c>
      <x:c r="AJ399" s="8" t="n">
        <x:v>1.257</x:v>
      </x:c>
      <x:c r="AK399" s="8" t="n">
        <x:v>35.828</x:v>
      </x:c>
      <x:c r="AL399" s="8" t="n">
        <x:v>1.257</x:v>
      </x:c>
      <x:c r="AM399" s="8" t="n">
        <x:v>35.828</x:v>
      </x:c>
      <x:c r="AN399" s="8" t="n">
        <x:v>0.591</x:v>
      </x:c>
      <x:c r="AO399" s="8" t="n">
        <x:v>26.467</x:v>
      </x:c>
      <x:c r="AP399" s="8" t="n">
        <x:v>0.591</x:v>
      </x:c>
      <x:c r="AQ399" s="8" t="n">
        <x:v>26.467</x:v>
      </x:c>
      <x:c r="AR399" s="8"/>
      <x:c r="AS399" s="8"/>
      <x:c r="AT399" s="8" t="n">
        <x:v>0.611</x:v>
      </x:c>
      <x:c r="AU399" s="8" t="n">
        <x:v>25.241</x:v>
      </x:c>
      <x:c r="AV399" s="8" t="n">
        <x:v>0.866</x:v>
      </x:c>
      <x:c r="AW399" s="8" t="n">
        <x:v>29.712</x:v>
      </x:c>
      <x:c r="AX399" s="8" t="n">
        <x:v>0.736</x:v>
      </x:c>
      <x:c r="AY399" s="8" t="n">
        <x:v>26.658</x:v>
      </x:c>
      <x:c r="AZ399" s="8" t="n">
        <x:v>0.736</x:v>
      </x:c>
      <x:c r="BA399" s="8" t="n">
        <x:v>26.658</x:v>
      </x:c>
      <x:c r="BB399" s="8" t="n">
        <x:f>LET(m,MIN(IF(D399&gt;0,D399,1E+99),IF(F399&gt;0,F399,1E+99),IF(H399&gt;0,H399,1E+99),IF(J399&gt;0,J399,1E+99),IF(L399&gt;0,L399,1E+99),IF(N399&gt;0,N399,1E+99),IF(P399&gt;0,P399,1E+99),IF(R399&gt;0,R399,1E+99),IF(T399&gt;0,T399,1E+99),IF(V399&gt;0,V399,1E+99),IF(X399&gt;0,X399,1E+99),IF(Z399&gt;0,Z399,1E+99),IF(AB399&gt;0,AB399,1E+99),IF(AD399&gt;0,AD399,1E+99),IF(AF399&gt;0,AF399,1E+99),IF(AH399&gt;0,AH399,1E+99),IF(AJ399&gt;0,AJ399,1E+99),IF(AL399&gt;0,AL399,1E+99),IF(AN399&gt;0,AN399,1E+99),IF(AP399&gt;0,AP399,1E+99),IF(AR399&gt;0,AR399,1E+99),IF(AT399&gt;0,AT399,1E+99),IF(AV399&gt;0,AV399,1E+99),IF(AX399&gt;0,AX399,1E+99),IF(AZ399&gt;0,AZ399,1E+99)),IF(m=1E+99,"",m))</x:f>
        <x:v>0.569</x:v>
      </x:c>
      <x:c r="BC399" s="12" t="e">
        <x:f>IF(BB399="","",INDEX({"v1.4.20","v1.4.20","v1.4.21","v1.4.21","v1.4.23","v1.4.23","v1.4.26","v1.4.26","v1.4.26.1","v1.4.26.1","v1.4.27","v1.4.27","v1.4.29","v1.4.29","v1.4.30","v1.4.30","v1.4.31","v1.4.31","v1.4.33","v1.4.33","v1.4.35","v1.4.35.2","v1.5","v1.5.1","v1.5.1"},MATCH(BB399,CHOOSE({1,2,3,4,5,6,7,8,9,10,11,12,13,14,15,16,17,18,19,20,21,22,23,24,25},D399,F399,H399,J399,L399,N399,P399,R399,T399,V399,X399,Z399,AB399,AD399,AF399,AH399,AJ399,AL399,AN399,AP399,AR399,AT399,AV399,AX399,AZ399),0)))</x:f>
      </x:c>
      <x:c r="BD399" s="14" t="n">
        <x:f>LET(m,MIN(IF(E399&gt;0,E399,1E+99),IF(G399&gt;0,G399,1E+99),IF(I399&gt;0,I399,1E+99),IF(K399&gt;0,K399,1E+99),IF(M399&gt;0,M399,1E+99),IF(O399&gt;0,O399,1E+99),IF(Q399&gt;0,Q399,1E+99),IF(S399&gt;0,S399,1E+99),IF(U399&gt;0,U399,1E+99),IF(W399&gt;0,W399,1E+99),IF(Y399&gt;0,Y399,1E+99),IF(AA399&gt;0,AA399,1E+99),IF(AC399&gt;0,AC399,1E+99),IF(AE399&gt;0,AE399,1E+99),IF(AG399&gt;0,AG399,1E+99),IF(AI399&gt;0,AI399,1E+99),IF(AK399&gt;0,AK399,1E+99),IF(AM399&gt;0,AM399,1E+99),IF(AO399&gt;0,AO399,1E+99),IF(AQ399&gt;0,AQ399,1E+99),IF(AS399&gt;0,AS399,1E+99),IF(AU399&gt;0,AU399,1E+99),IF(AW399&gt;0,AW399,1E+99),IF(AY399&gt;0,AY399,1E+99),IF(BA399&gt;0,BA399,1E+99)),IF(m=1E+99,"",m))</x:f>
        <x:v>23.247</x:v>
      </x:c>
      <x:c r="BE399" s="16" t="e">
        <x:f>IF(BD399="","",INDEX({"v1.4.20","v1.4.20","v1.4.21","v1.4.21","v1.4.23","v1.4.23","v1.4.26","v1.4.26","v1.4.26.1","v1.4.26.1","v1.4.27","v1.4.27","v1.4.29","v1.4.29","v1.4.30","v1.4.30","v1.4.31","v1.4.31","v1.4.33","v1.4.33","v1.4.35","v1.4.35.2","v1.5","v1.5.1","v1.5.1"},MATCH(BD399,CHOOSE({1,2,3,4,5,6,7,8,9,10,11,12,13,14,15,16,17,18,19,20,21,22,23,24,25},E399,G399,I399,K399,M399,O399,Q399,S399,U399,W399,Y399,AA399,AC399,AE399,AG399,AI399,AK399,AM399,AO399,AQ399,AS399,AU399,AW399,AY399,BA399),0)))</x:f>
      </x:c>
      <x:c r="BF399" s="10" t="n">
        <x:f>IFERROR((AX399-BB399)/BB399,"")</x:f>
        <x:v>0.29349736379613367</x:v>
      </x:c>
      <x:c r="BG399" s="10" t="n">
        <x:f>IFERROR((AY399-BD399)/BD399,"")</x:f>
        <x:v>0.14672861014324434</x:v>
      </x:c>
    </x:row>
    <x:row r="400">
      <x:c r="A400" t="str"/>
      <x:c r="B400" t="str">
        <x:v>Format Unlocked Care Plan Report</x:v>
      </x:c>
      <x:c r="C400" t="str">
        <x:v>Apply dashboard template formatting</x:v>
      </x:c>
      <x:c r="D400" s="8" t="n">
        <x:v>2.509</x:v>
      </x:c>
      <x:c r="E400" s="8" t="n">
        <x:v>20.378</x:v>
      </x:c>
      <x:c r="F400" s="8" t="n">
        <x:v>2.509</x:v>
      </x:c>
      <x:c r="G400" s="8" t="n">
        <x:v>20.378</x:v>
      </x:c>
      <x:c r="H400" s="8" t="n">
        <x:v>3.126</x:v>
      </x:c>
      <x:c r="I400" s="8" t="n">
        <x:v>24.981</x:v>
      </x:c>
      <x:c r="J400" s="8" t="n">
        <x:v>3.126</x:v>
      </x:c>
      <x:c r="K400" s="8" t="n">
        <x:v>24.981</x:v>
      </x:c>
      <x:c r="L400" s="8"/>
      <x:c r="M400" s="8"/>
      <x:c r="N400" s="8"/>
      <x:c r="O400" s="8"/>
      <x:c r="P400" s="8"/>
      <x:c r="Q400" s="8"/>
      <x:c r="R400" s="8"/>
      <x:c r="S400" s="8"/>
      <x:c r="T400" s="8"/>
      <x:c r="U400" s="8"/>
      <x:c r="V400" s="8"/>
      <x:c r="W400" s="8"/>
      <x:c r="X400" s="8"/>
      <x:c r="Y400" s="8"/>
      <x:c r="Z400" s="8"/>
      <x:c r="AA400" s="8"/>
      <x:c r="AB400" s="8"/>
      <x:c r="AC400" s="8"/>
      <x:c r="AD400" s="8"/>
      <x:c r="AE400" s="8"/>
      <x:c r="AF400" s="8"/>
      <x:c r="AG400" s="8"/>
      <x:c r="AH400" s="8"/>
      <x:c r="AI400" s="8"/>
      <x:c r="AJ400" s="8"/>
      <x:c r="AK400" s="8"/>
      <x:c r="AL400" s="8"/>
      <x:c r="AM400" s="8"/>
      <x:c r="AN400" s="8"/>
      <x:c r="AO400" s="8"/>
      <x:c r="AP400" s="8"/>
      <x:c r="AQ400" s="8"/>
      <x:c r="AR400" s="8"/>
      <x:c r="AS400" s="8"/>
      <x:c r="AT400" s="8"/>
      <x:c r="AU400" s="8"/>
      <x:c r="AV400" s="8"/>
      <x:c r="AW400" s="8"/>
      <x:c r="AX400" s="8"/>
      <x:c r="AY400" s="8"/>
      <x:c r="AZ400" s="8"/>
      <x:c r="BA400" s="8"/>
      <x:c r="BB400" s="8" t="n">
        <x:f>LET(m,MIN(IF(D400&gt;0,D400,1E+99),IF(F400&gt;0,F400,1E+99),IF(H400&gt;0,H400,1E+99),IF(J400&gt;0,J400,1E+99),IF(L400&gt;0,L400,1E+99),IF(N400&gt;0,N400,1E+99),IF(P400&gt;0,P400,1E+99),IF(R400&gt;0,R400,1E+99),IF(T400&gt;0,T400,1E+99),IF(V400&gt;0,V400,1E+99),IF(X400&gt;0,X400,1E+99),IF(Z400&gt;0,Z400,1E+99),IF(AB400&gt;0,AB400,1E+99),IF(AD400&gt;0,AD400,1E+99),IF(AF400&gt;0,AF400,1E+99),IF(AH400&gt;0,AH400,1E+99),IF(AJ400&gt;0,AJ400,1E+99),IF(AL400&gt;0,AL400,1E+99),IF(AN400&gt;0,AN400,1E+99),IF(AP400&gt;0,AP400,1E+99),IF(AR400&gt;0,AR400,1E+99),IF(AT400&gt;0,AT400,1E+99),IF(AV400&gt;0,AV400,1E+99),IF(AX400&gt;0,AX400,1E+99),IF(AZ400&gt;0,AZ400,1E+99)),IF(m=1E+99,"",m))</x:f>
        <x:v>2.509</x:v>
      </x:c>
      <x:c r="BC400" s="12" t="str">
        <x:f>IF(BB400="","",INDEX({"v1.4.20","v1.4.20","v1.4.21","v1.4.21","v1.4.23","v1.4.23","v1.4.26","v1.4.26","v1.4.26.1","v1.4.26.1","v1.4.27","v1.4.27","v1.4.29","v1.4.29","v1.4.30","v1.4.30","v1.4.31","v1.4.31","v1.4.33","v1.4.33","v1.4.35","v1.4.35.2","v1.5","v1.5.1","v1.5.1"},MATCH(BB400,CHOOSE({1,2,3,4,5,6,7,8,9,10,11,12,13,14,15,16,17,18,19,20,21,22,23,24,25},D400,F400,H400,J400,L400,N400,P400,R400,T400,V400,X400,Z400,AB400,AD400,AF400,AH400,AJ400,AL400,AN400,AP400,AR400,AT400,AV400,AX400,AZ400),0)))</x:f>
        <x:v>v1.4.20</x:v>
      </x:c>
      <x:c r="BD400" s="14" t="n">
        <x:f>LET(m,MIN(IF(E400&gt;0,E400,1E+99),IF(G400&gt;0,G400,1E+99),IF(I400&gt;0,I400,1E+99),IF(K400&gt;0,K400,1E+99),IF(M400&gt;0,M400,1E+99),IF(O400&gt;0,O400,1E+99),IF(Q400&gt;0,Q400,1E+99),IF(S400&gt;0,S400,1E+99),IF(U400&gt;0,U400,1E+99),IF(W400&gt;0,W400,1E+99),IF(Y400&gt;0,Y400,1E+99),IF(AA400&gt;0,AA400,1E+99),IF(AC400&gt;0,AC400,1E+99),IF(AE400&gt;0,AE400,1E+99),IF(AG400&gt;0,AG400,1E+99),IF(AI400&gt;0,AI400,1E+99),IF(AK400&gt;0,AK400,1E+99),IF(AM400&gt;0,AM400,1E+99),IF(AO400&gt;0,AO400,1E+99),IF(AQ400&gt;0,AQ400,1E+99),IF(AS400&gt;0,AS400,1E+99),IF(AU400&gt;0,AU400,1E+99),IF(AW400&gt;0,AW400,1E+99),IF(AY400&gt;0,AY400,1E+99),IF(BA400&gt;0,BA400,1E+99)),IF(m=1E+99,"",m))</x:f>
        <x:v>20.378</x:v>
      </x:c>
      <x:c r="BE400" s="16" t="str">
        <x:f>IF(BD400="","",INDEX({"v1.4.20","v1.4.20","v1.4.21","v1.4.21","v1.4.23","v1.4.23","v1.4.26","v1.4.26","v1.4.26.1","v1.4.26.1","v1.4.27","v1.4.27","v1.4.29","v1.4.29","v1.4.30","v1.4.30","v1.4.31","v1.4.31","v1.4.33","v1.4.33","v1.4.35","v1.4.35.2","v1.5","v1.5.1","v1.5.1"},MATCH(BD400,CHOOSE({1,2,3,4,5,6,7,8,9,10,11,12,13,14,15,16,17,18,19,20,21,22,23,24,25},E400,G400,I400,K400,M400,O400,Q400,S400,U400,W400,Y400,AA400,AC400,AE400,AG400,AI400,AK400,AM400,AO400,AQ400,AS400,AU400,AW400,AY400,BA400),0)))</x:f>
        <x:v>v1.4.20</x:v>
      </x:c>
      <x:c r="BF400" s="10" t="n">
        <x:f>IFERROR((AX400-BB400)/BB400,"")</x:f>
        <x:v>-1</x:v>
      </x:c>
      <x:c r="BG400" s="10" t="n">
        <x:f>IFERROR((AY400-BD400)/BD400,"")</x:f>
        <x:v>-1</x:v>
      </x:c>
    </x:row>
    <x:row r="401">
      <x:c r="A401" t="str"/>
      <x:c r="B401" t="str">
        <x:v>Format Unlocked Care Plan Report</x:v>
      </x:c>
      <x:c r="C401" t="str">
        <x:v>ERROR - applyFinalRowHeightLock_ is not defined</x:v>
      </x:c>
      <x:c r="D401" s="8"/>
      <x:c r="E401" s="8"/>
      <x:c r="F401" s="8"/>
      <x:c r="G401" s="8"/>
      <x:c r="H401" s="8"/>
      <x:c r="I401" s="8"/>
      <x:c r="J401" s="8"/>
      <x:c r="K401" s="8"/>
      <x:c r="L401" s="8"/>
      <x:c r="M401" s="8"/>
      <x:c r="N401" s="8"/>
      <x:c r="O401" s="8"/>
      <x:c r="P401" s="8" t="n">
        <x:v>6.787</x:v>
      </x:c>
      <x:c r="Q401" s="8" t="n">
        <x:v>18.179</x:v>
      </x:c>
      <x:c r="R401" s="8" t="n">
        <x:v>6.787</x:v>
      </x:c>
      <x:c r="S401" s="8" t="n">
        <x:v>18.179</x:v>
      </x:c>
      <x:c r="T401" s="8"/>
      <x:c r="U401" s="8"/>
      <x:c r="V401" s="8"/>
      <x:c r="W401" s="8"/>
      <x:c r="X401" s="8" t="n">
        <x:v>14.46</x:v>
      </x:c>
      <x:c r="Y401" s="8" t="n">
        <x:v>32.239</x:v>
      </x:c>
      <x:c r="Z401" s="8" t="n">
        <x:v>14.46</x:v>
      </x:c>
      <x:c r="AA401" s="8" t="n">
        <x:v>32.239</x:v>
      </x:c>
      <x:c r="AB401" s="8" t="n">
        <x:v>9.141</x:v>
      </x:c>
      <x:c r="AC401" s="8" t="n">
        <x:v>39.611</x:v>
      </x:c>
      <x:c r="AD401" s="8" t="n">
        <x:v>9.141</x:v>
      </x:c>
      <x:c r="AE401" s="8" t="n">
        <x:v>39.611</x:v>
      </x:c>
      <x:c r="AF401" s="8"/>
      <x:c r="AG401" s="8"/>
      <x:c r="AH401" s="8"/>
      <x:c r="AI401" s="8"/>
      <x:c r="AJ401" s="8"/>
      <x:c r="AK401" s="8"/>
      <x:c r="AL401" s="8"/>
      <x:c r="AM401" s="8"/>
      <x:c r="AN401" s="8"/>
      <x:c r="AO401" s="8"/>
      <x:c r="AP401" s="8"/>
      <x:c r="AQ401" s="8"/>
      <x:c r="AR401" s="8"/>
      <x:c r="AS401" s="8"/>
      <x:c r="AT401" s="8"/>
      <x:c r="AU401" s="8"/>
      <x:c r="AV401" s="8"/>
      <x:c r="AW401" s="8"/>
      <x:c r="AX401" s="8"/>
      <x:c r="AY401" s="8"/>
      <x:c r="AZ401" s="8"/>
      <x:c r="BA401" s="8"/>
      <x:c r="BB401" s="8" t="n">
        <x:f>LET(m,MIN(IF(D401&gt;0,D401,1E+99),IF(F401&gt;0,F401,1E+99),IF(H401&gt;0,H401,1E+99),IF(J401&gt;0,J401,1E+99),IF(L401&gt;0,L401,1E+99),IF(N401&gt;0,N401,1E+99),IF(P401&gt;0,P401,1E+99),IF(R401&gt;0,R401,1E+99),IF(T401&gt;0,T401,1E+99),IF(V401&gt;0,V401,1E+99),IF(X401&gt;0,X401,1E+99),IF(Z401&gt;0,Z401,1E+99),IF(AB401&gt;0,AB401,1E+99),IF(AD401&gt;0,AD401,1E+99),IF(AF401&gt;0,AF401,1E+99),IF(AH401&gt;0,AH401,1E+99),IF(AJ401&gt;0,AJ401,1E+99),IF(AL401&gt;0,AL401,1E+99),IF(AN401&gt;0,AN401,1E+99),IF(AP401&gt;0,AP401,1E+99),IF(AR401&gt;0,AR401,1E+99),IF(AT401&gt;0,AT401,1E+99),IF(AV401&gt;0,AV401,1E+99),IF(AX401&gt;0,AX401,1E+99),IF(AZ401&gt;0,AZ401,1E+99)),IF(m=1E+99,"",m))</x:f>
        <x:v>6.787</x:v>
      </x:c>
      <x:c r="BC401" s="12" t="e">
        <x:f>IF(BB401="","",INDEX({"v1.4.20","v1.4.20","v1.4.21","v1.4.21","v1.4.23","v1.4.23","v1.4.26","v1.4.26","v1.4.26.1","v1.4.26.1","v1.4.27","v1.4.27","v1.4.29","v1.4.29","v1.4.30","v1.4.30","v1.4.31","v1.4.31","v1.4.33","v1.4.33","v1.4.35","v1.4.35.2","v1.5","v1.5.1","v1.5.1"},MATCH(BB401,CHOOSE({1,2,3,4,5,6,7,8,9,10,11,12,13,14,15,16,17,18,19,20,21,22,23,24,25},D401,F401,H401,J401,L401,N401,P401,R401,T401,V401,X401,Z401,AB401,AD401,AF401,AH401,AJ401,AL401,AN401,AP401,AR401,AT401,AV401,AX401,AZ401),0)))</x:f>
      </x:c>
      <x:c r="BD401" s="14" t="n">
        <x:f>LET(m,MIN(IF(E401&gt;0,E401,1E+99),IF(G401&gt;0,G401,1E+99),IF(I401&gt;0,I401,1E+99),IF(K401&gt;0,K401,1E+99),IF(M401&gt;0,M401,1E+99),IF(O401&gt;0,O401,1E+99),IF(Q401&gt;0,Q401,1E+99),IF(S401&gt;0,S401,1E+99),IF(U401&gt;0,U401,1E+99),IF(W401&gt;0,W401,1E+99),IF(Y401&gt;0,Y401,1E+99),IF(AA401&gt;0,AA401,1E+99),IF(AC401&gt;0,AC401,1E+99),IF(AE401&gt;0,AE401,1E+99),IF(AG401&gt;0,AG401,1E+99),IF(AI401&gt;0,AI401,1E+99),IF(AK401&gt;0,AK401,1E+99),IF(AM401&gt;0,AM401,1E+99),IF(AO401&gt;0,AO401,1E+99),IF(AQ401&gt;0,AQ401,1E+99),IF(AS401&gt;0,AS401,1E+99),IF(AU401&gt;0,AU401,1E+99),IF(AW401&gt;0,AW401,1E+99),IF(AY401&gt;0,AY401,1E+99),IF(BA401&gt;0,BA401,1E+99)),IF(m=1E+99,"",m))</x:f>
        <x:v>18.179</x:v>
      </x:c>
      <x:c r="BE401" s="16" t="e">
        <x:f>IF(BD401="","",INDEX({"v1.4.20","v1.4.20","v1.4.21","v1.4.21","v1.4.23","v1.4.23","v1.4.26","v1.4.26","v1.4.26.1","v1.4.26.1","v1.4.27","v1.4.27","v1.4.29","v1.4.29","v1.4.30","v1.4.30","v1.4.31","v1.4.31","v1.4.33","v1.4.33","v1.4.35","v1.4.35.2","v1.5","v1.5.1","v1.5.1"},MATCH(BD401,CHOOSE({1,2,3,4,5,6,7,8,9,10,11,12,13,14,15,16,17,18,19,20,21,22,23,24,25},E401,G401,I401,K401,M401,O401,Q401,S401,U401,W401,Y401,AA401,AC401,AE401,AG401,AI401,AK401,AM401,AO401,AQ401,AS401,AU401,AW401,AY401,BA401),0)))</x:f>
      </x:c>
      <x:c r="BF401" s="10" t="n">
        <x:f>IFERROR((AX401-BB401)/BB401,"")</x:f>
        <x:v>-1</x:v>
      </x:c>
      <x:c r="BG401" s="10" t="n">
        <x:f>IFERROR((AY401-BD401)/BD401,"")</x:f>
        <x:v>-1</x:v>
      </x:c>
    </x:row>
    <x:row r="402">
      <x:c r="A402" t="str"/>
      <x:c r="B402" t="str">
        <x:v>Format Unlocked Care Plan Report</x:v>
      </x:c>
      <x:c r="C402" t="str">
        <x:v>Prepare source sheet structure</x:v>
      </x:c>
      <x:c r="D402" s="8" t="n">
        <x:v>1.826</x:v>
      </x:c>
      <x:c r="E402" s="8" t="n">
        <x:v>8.328</x:v>
      </x:c>
      <x:c r="F402" s="8" t="n">
        <x:v>1.826</x:v>
      </x:c>
      <x:c r="G402" s="8" t="n">
        <x:v>8.328</x:v>
      </x:c>
      <x:c r="H402" s="8" t="n">
        <x:v>2.136</x:v>
      </x:c>
      <x:c r="I402" s="8" t="n">
        <x:v>9.217</x:v>
      </x:c>
      <x:c r="J402" s="8" t="n">
        <x:v>2.136</x:v>
      </x:c>
      <x:c r="K402" s="8" t="n">
        <x:v>9.217</x:v>
      </x:c>
      <x:c r="L402" s="8"/>
      <x:c r="M402" s="8"/>
      <x:c r="N402" s="8"/>
      <x:c r="O402" s="8"/>
      <x:c r="P402" s="8"/>
      <x:c r="Q402" s="8"/>
      <x:c r="R402" s="8"/>
      <x:c r="S402" s="8"/>
      <x:c r="T402" s="8"/>
      <x:c r="U402" s="8"/>
      <x:c r="V402" s="8"/>
      <x:c r="W402" s="8"/>
      <x:c r="X402" s="8"/>
      <x:c r="Y402" s="8"/>
      <x:c r="Z402" s="8"/>
      <x:c r="AA402" s="8"/>
      <x:c r="AB402" s="8"/>
      <x:c r="AC402" s="8"/>
      <x:c r="AD402" s="8"/>
      <x:c r="AE402" s="8"/>
      <x:c r="AF402" s="8"/>
      <x:c r="AG402" s="8"/>
      <x:c r="AH402" s="8"/>
      <x:c r="AI402" s="8"/>
      <x:c r="AJ402" s="8"/>
      <x:c r="AK402" s="8"/>
      <x:c r="AL402" s="8"/>
      <x:c r="AM402" s="8"/>
      <x:c r="AN402" s="8"/>
      <x:c r="AO402" s="8"/>
      <x:c r="AP402" s="8"/>
      <x:c r="AQ402" s="8"/>
      <x:c r="AR402" s="8"/>
      <x:c r="AS402" s="8"/>
      <x:c r="AT402" s="8"/>
      <x:c r="AU402" s="8"/>
      <x:c r="AV402" s="8"/>
      <x:c r="AW402" s="8"/>
      <x:c r="AX402" s="8"/>
      <x:c r="AY402" s="8"/>
      <x:c r="AZ402" s="8"/>
      <x:c r="BA402" s="8"/>
      <x:c r="BB402" s="8" t="n">
        <x:f>LET(m,MIN(IF(D402&gt;0,D402,1E+99),IF(F402&gt;0,F402,1E+99),IF(H402&gt;0,H402,1E+99),IF(J402&gt;0,J402,1E+99),IF(L402&gt;0,L402,1E+99),IF(N402&gt;0,N402,1E+99),IF(P402&gt;0,P402,1E+99),IF(R402&gt;0,R402,1E+99),IF(T402&gt;0,T402,1E+99),IF(V402&gt;0,V402,1E+99),IF(X402&gt;0,X402,1E+99),IF(Z402&gt;0,Z402,1E+99),IF(AB402&gt;0,AB402,1E+99),IF(AD402&gt;0,AD402,1E+99),IF(AF402&gt;0,AF402,1E+99),IF(AH402&gt;0,AH402,1E+99),IF(AJ402&gt;0,AJ402,1E+99),IF(AL402&gt;0,AL402,1E+99),IF(AN402&gt;0,AN402,1E+99),IF(AP402&gt;0,AP402,1E+99),IF(AR402&gt;0,AR402,1E+99),IF(AT402&gt;0,AT402,1E+99),IF(AV402&gt;0,AV402,1E+99),IF(AX402&gt;0,AX402,1E+99),IF(AZ402&gt;0,AZ402,1E+99)),IF(m=1E+99,"",m))</x:f>
        <x:v>1.826</x:v>
      </x:c>
      <x:c r="BC402" s="12" t="str">
        <x:f>IF(BB402="","",INDEX({"v1.4.20","v1.4.20","v1.4.21","v1.4.21","v1.4.23","v1.4.23","v1.4.26","v1.4.26","v1.4.26.1","v1.4.26.1","v1.4.27","v1.4.27","v1.4.29","v1.4.29","v1.4.30","v1.4.30","v1.4.31","v1.4.31","v1.4.33","v1.4.33","v1.4.35","v1.4.35.2","v1.5","v1.5.1","v1.5.1"},MATCH(BB402,CHOOSE({1,2,3,4,5,6,7,8,9,10,11,12,13,14,15,16,17,18,19,20,21,22,23,24,25},D402,F402,H402,J402,L402,N402,P402,R402,T402,V402,X402,Z402,AB402,AD402,AF402,AH402,AJ402,AL402,AN402,AP402,AR402,AT402,AV402,AX402,AZ402),0)))</x:f>
        <x:v>v1.4.20</x:v>
      </x:c>
      <x:c r="BD402" s="14" t="n">
        <x:f>LET(m,MIN(IF(E402&gt;0,E402,1E+99),IF(G402&gt;0,G402,1E+99),IF(I402&gt;0,I402,1E+99),IF(K402&gt;0,K402,1E+99),IF(M402&gt;0,M402,1E+99),IF(O402&gt;0,O402,1E+99),IF(Q402&gt;0,Q402,1E+99),IF(S402&gt;0,S402,1E+99),IF(U402&gt;0,U402,1E+99),IF(W402&gt;0,W402,1E+99),IF(Y402&gt;0,Y402,1E+99),IF(AA402&gt;0,AA402,1E+99),IF(AC402&gt;0,AC402,1E+99),IF(AE402&gt;0,AE402,1E+99),IF(AG402&gt;0,AG402,1E+99),IF(AI402&gt;0,AI402,1E+99),IF(AK402&gt;0,AK402,1E+99),IF(AM402&gt;0,AM402,1E+99),IF(AO402&gt;0,AO402,1E+99),IF(AQ402&gt;0,AQ402,1E+99),IF(AS402&gt;0,AS402,1E+99),IF(AU402&gt;0,AU402,1E+99),IF(AW402&gt;0,AW402,1E+99),IF(AY402&gt;0,AY402,1E+99),IF(BA402&gt;0,BA402,1E+99)),IF(m=1E+99,"",m))</x:f>
        <x:v>8.328</x:v>
      </x:c>
      <x:c r="BE402" s="16" t="str">
        <x:f>IF(BD402="","",INDEX({"v1.4.20","v1.4.20","v1.4.21","v1.4.21","v1.4.23","v1.4.23","v1.4.26","v1.4.26","v1.4.26.1","v1.4.26.1","v1.4.27","v1.4.27","v1.4.29","v1.4.29","v1.4.30","v1.4.30","v1.4.31","v1.4.31","v1.4.33","v1.4.33","v1.4.35","v1.4.35.2","v1.5","v1.5.1","v1.5.1"},MATCH(BD402,CHOOSE({1,2,3,4,5,6,7,8,9,10,11,12,13,14,15,16,17,18,19,20,21,22,23,24,25},E402,G402,I402,K402,M402,O402,Q402,S402,U402,W402,Y402,AA402,AC402,AE402,AG402,AI402,AK402,AM402,AO402,AQ402,AS402,AU402,AW402,AY402,BA402),0)))</x:f>
        <x:v>v1.4.20</x:v>
      </x:c>
      <x:c r="BF402" s="10" t="n">
        <x:f>IFERROR((AX402-BB402)/BB402,"")</x:f>
        <x:v>-1</x:v>
      </x:c>
      <x:c r="BG402" s="10" t="n">
        <x:f>IFERROR((AY402-BD402)/BD402,"")</x:f>
        <x:v>-1</x:v>
      </x:c>
    </x:row>
    <x:row r="403">
      <x:c r="A403" t="str"/>
      <x:c r="B403" t="str">
        <x:v>Format Unlocked Care Plan Report</x:v>
      </x:c>
      <x:c r="C403" t="str">
        <x:v>Rename sheet to Unlocked CP 04.26</x:v>
      </x:c>
      <x:c r="D403" s="8" t="n">
        <x:v>0.692</x:v>
      </x:c>
      <x:c r="E403" s="8" t="n">
        <x:v>21.07</x:v>
      </x:c>
      <x:c r="F403" s="8" t="n">
        <x:v>0.692</x:v>
      </x:c>
      <x:c r="G403" s="8" t="n">
        <x:v>21.07</x:v>
      </x:c>
      <x:c r="H403" s="8" t="n">
        <x:v>1.026</x:v>
      </x:c>
      <x:c r="I403" s="8" t="n">
        <x:v>26.007</x:v>
      </x:c>
      <x:c r="J403" s="8" t="n">
        <x:v>1.026</x:v>
      </x:c>
      <x:c r="K403" s="8" t="n">
        <x:v>26.007</x:v>
      </x:c>
      <x:c r="L403" s="8"/>
      <x:c r="M403" s="8"/>
      <x:c r="N403" s="8"/>
      <x:c r="O403" s="8"/>
      <x:c r="P403" s="8"/>
      <x:c r="Q403" s="8"/>
      <x:c r="R403" s="8"/>
      <x:c r="S403" s="8"/>
      <x:c r="T403" s="8"/>
      <x:c r="U403" s="8"/>
      <x:c r="V403" s="8"/>
      <x:c r="W403" s="8"/>
      <x:c r="X403" s="8"/>
      <x:c r="Y403" s="8"/>
      <x:c r="Z403" s="8"/>
      <x:c r="AA403" s="8"/>
      <x:c r="AB403" s="8"/>
      <x:c r="AC403" s="8"/>
      <x:c r="AD403" s="8"/>
      <x:c r="AE403" s="8"/>
      <x:c r="AF403" s="8"/>
      <x:c r="AG403" s="8"/>
      <x:c r="AH403" s="8"/>
      <x:c r="AI403" s="8"/>
      <x:c r="AJ403" s="8"/>
      <x:c r="AK403" s="8"/>
      <x:c r="AL403" s="8"/>
      <x:c r="AM403" s="8"/>
      <x:c r="AN403" s="8"/>
      <x:c r="AO403" s="8"/>
      <x:c r="AP403" s="8"/>
      <x:c r="AQ403" s="8"/>
      <x:c r="AR403" s="8"/>
      <x:c r="AS403" s="8"/>
      <x:c r="AT403" s="8"/>
      <x:c r="AU403" s="8"/>
      <x:c r="AV403" s="8"/>
      <x:c r="AW403" s="8"/>
      <x:c r="AX403" s="8"/>
      <x:c r="AY403" s="8"/>
      <x:c r="AZ403" s="8"/>
      <x:c r="BA403" s="8"/>
      <x:c r="BB403" s="8" t="n">
        <x:f>LET(m,MIN(IF(D403&gt;0,D403,1E+99),IF(F403&gt;0,F403,1E+99),IF(H403&gt;0,H403,1E+99),IF(J403&gt;0,J403,1E+99),IF(L403&gt;0,L403,1E+99),IF(N403&gt;0,N403,1E+99),IF(P403&gt;0,P403,1E+99),IF(R403&gt;0,R403,1E+99),IF(T403&gt;0,T403,1E+99),IF(V403&gt;0,V403,1E+99),IF(X403&gt;0,X403,1E+99),IF(Z403&gt;0,Z403,1E+99),IF(AB403&gt;0,AB403,1E+99),IF(AD403&gt;0,AD403,1E+99),IF(AF403&gt;0,AF403,1E+99),IF(AH403&gt;0,AH403,1E+99),IF(AJ403&gt;0,AJ403,1E+99),IF(AL403&gt;0,AL403,1E+99),IF(AN403&gt;0,AN403,1E+99),IF(AP403&gt;0,AP403,1E+99),IF(AR403&gt;0,AR403,1E+99),IF(AT403&gt;0,AT403,1E+99),IF(AV403&gt;0,AV403,1E+99),IF(AX403&gt;0,AX403,1E+99),IF(AZ403&gt;0,AZ403,1E+99)),IF(m=1E+99,"",m))</x:f>
        <x:v>0.692</x:v>
      </x:c>
      <x:c r="BC403" s="12" t="str">
        <x:f>IF(BB403="","",INDEX({"v1.4.20","v1.4.20","v1.4.21","v1.4.21","v1.4.23","v1.4.23","v1.4.26","v1.4.26","v1.4.26.1","v1.4.26.1","v1.4.27","v1.4.27","v1.4.29","v1.4.29","v1.4.30","v1.4.30","v1.4.31","v1.4.31","v1.4.33","v1.4.33","v1.4.35","v1.4.35.2","v1.5","v1.5.1","v1.5.1"},MATCH(BB403,CHOOSE({1,2,3,4,5,6,7,8,9,10,11,12,13,14,15,16,17,18,19,20,21,22,23,24,25},D403,F403,H403,J403,L403,N403,P403,R403,T403,V403,X403,Z403,AB403,AD403,AF403,AH403,AJ403,AL403,AN403,AP403,AR403,AT403,AV403,AX403,AZ403),0)))</x:f>
        <x:v>v1.4.20</x:v>
      </x:c>
      <x:c r="BD403" s="14" t="n">
        <x:f>LET(m,MIN(IF(E403&gt;0,E403,1E+99),IF(G403&gt;0,G403,1E+99),IF(I403&gt;0,I403,1E+99),IF(K403&gt;0,K403,1E+99),IF(M403&gt;0,M403,1E+99),IF(O403&gt;0,O403,1E+99),IF(Q403&gt;0,Q403,1E+99),IF(S403&gt;0,S403,1E+99),IF(U403&gt;0,U403,1E+99),IF(W403&gt;0,W403,1E+99),IF(Y403&gt;0,Y403,1E+99),IF(AA403&gt;0,AA403,1E+99),IF(AC403&gt;0,AC403,1E+99),IF(AE403&gt;0,AE403,1E+99),IF(AG403&gt;0,AG403,1E+99),IF(AI403&gt;0,AI403,1E+99),IF(AK403&gt;0,AK403,1E+99),IF(AM403&gt;0,AM403,1E+99),IF(AO403&gt;0,AO403,1E+99),IF(AQ403&gt;0,AQ403,1E+99),IF(AS403&gt;0,AS403,1E+99),IF(AU403&gt;0,AU403,1E+99),IF(AW403&gt;0,AW403,1E+99),IF(AY403&gt;0,AY403,1E+99),IF(BA403&gt;0,BA403,1E+99)),IF(m=1E+99,"",m))</x:f>
        <x:v>21.07</x:v>
      </x:c>
      <x:c r="BE403" s="16" t="str">
        <x:f>IF(BD403="","",INDEX({"v1.4.20","v1.4.20","v1.4.21","v1.4.21","v1.4.23","v1.4.23","v1.4.26","v1.4.26","v1.4.26.1","v1.4.26.1","v1.4.27","v1.4.27","v1.4.29","v1.4.29","v1.4.30","v1.4.30","v1.4.31","v1.4.31","v1.4.33","v1.4.33","v1.4.35","v1.4.35.2","v1.5","v1.5.1","v1.5.1"},MATCH(BD403,CHOOSE({1,2,3,4,5,6,7,8,9,10,11,12,13,14,15,16,17,18,19,20,21,22,23,24,25},E403,G403,I403,K403,M403,O403,Q403,S403,U403,W403,Y403,AA403,AC403,AE403,AG403,AI403,AK403,AM403,AO403,AQ403,AS403,AU403,AW403,AY403,BA403),0)))</x:f>
        <x:v>v1.4.20</x:v>
      </x:c>
      <x:c r="BF403" s="10" t="n">
        <x:f>IFERROR((AX403-BB403)/BB403,"")</x:f>
        <x:v>-1</x:v>
      </x:c>
      <x:c r="BG403" s="10" t="n">
        <x:f>IFERROR((AY403-BD403)/BD403,"")</x:f>
        <x:v>-1</x:v>
      </x:c>
    </x:row>
    <x:row r="404">
      <x:c r="A404" t="str">
        <x:v>Raw Data</x:v>
      </x:c>
      <x:c r="B404" t="str">
        <x:v>Format Unlocked Care Plan Report</x:v>
      </x:c>
      <x:c r="C404" t="str">
        <x:v>Raw sheet renamed: Raw Data - Unlocked CP 04.26</x:v>
      </x:c>
      <x:c r="D404" s="8"/>
      <x:c r="E404" s="8"/>
      <x:c r="F404" s="8"/>
      <x:c r="G404" s="8"/>
      <x:c r="H404" s="8"/>
      <x:c r="I404" s="8"/>
      <x:c r="J404" s="8"/>
      <x:c r="K404" s="8"/>
      <x:c r="L404" s="8" t="n">
        <x:v>1.703</x:v>
      </x:c>
      <x:c r="M404" s="8" t="n">
        <x:v>16.178</x:v>
      </x:c>
      <x:c r="N404" s="8" t="n">
        <x:v>1.703</x:v>
      </x:c>
      <x:c r="O404" s="8" t="n">
        <x:v>16.178</x:v>
      </x:c>
      <x:c r="P404" s="8" t="n">
        <x:v>0.664</x:v>
      </x:c>
      <x:c r="Q404" s="8" t="n">
        <x:v>10.822</x:v>
      </x:c>
      <x:c r="R404" s="8" t="n">
        <x:v>0.664</x:v>
      </x:c>
      <x:c r="S404" s="8" t="n">
        <x:v>10.822</x:v>
      </x:c>
      <x:c r="T404" s="8" t="n">
        <x:v>0.596</x:v>
      </x:c>
      <x:c r="U404" s="8" t="n">
        <x:v>10.314</x:v>
      </x:c>
      <x:c r="V404" s="8" t="n">
        <x:v>0.596</x:v>
      </x:c>
      <x:c r="W404" s="8" t="n">
        <x:v>10.314</x:v>
      </x:c>
      <x:c r="X404" s="8" t="n">
        <x:v>1.51</x:v>
      </x:c>
      <x:c r="Y404" s="8" t="n">
        <x:v>16.052</x:v>
      </x:c>
      <x:c r="Z404" s="8" t="n">
        <x:v>1.51</x:v>
      </x:c>
      <x:c r="AA404" s="8" t="n">
        <x:v>16.052</x:v>
      </x:c>
      <x:c r="AB404" s="8" t="n">
        <x:v>1.084</x:v>
      </x:c>
      <x:c r="AC404" s="8" t="n">
        <x:v>28.74</x:v>
      </x:c>
      <x:c r="AD404" s="8" t="n">
        <x:v>1.084</x:v>
      </x:c>
      <x:c r="AE404" s="8" t="n">
        <x:v>28.74</x:v>
      </x:c>
      <x:c r="AF404" s="8" t="n">
        <x:v>0.718</x:v>
      </x:c>
      <x:c r="AG404" s="8" t="n">
        <x:v>11.243</x:v>
      </x:c>
      <x:c r="AH404" s="8" t="n">
        <x:v>0.718</x:v>
      </x:c>
      <x:c r="AI404" s="8" t="n">
        <x:v>11.243</x:v>
      </x:c>
      <x:c r="AJ404" s="8" t="n">
        <x:v>1.107</x:v>
      </x:c>
      <x:c r="AK404" s="8" t="n">
        <x:v>13.986</x:v>
      </x:c>
      <x:c r="AL404" s="8" t="n">
        <x:v>1.107</x:v>
      </x:c>
      <x:c r="AM404" s="8" t="n">
        <x:v>13.986</x:v>
      </x:c>
      <x:c r="AN404" s="8" t="n">
        <x:v>2.245</x:v>
      </x:c>
      <x:c r="AO404" s="8" t="n">
        <x:v>11.459</x:v>
      </x:c>
      <x:c r="AP404" s="8" t="n">
        <x:v>2.245</x:v>
      </x:c>
      <x:c r="AQ404" s="8" t="n">
        <x:v>11.459</x:v>
      </x:c>
      <x:c r="AR404" s="8"/>
      <x:c r="AS404" s="8"/>
      <x:c r="AT404" s="8" t="n">
        <x:v>0.648</x:v>
      </x:c>
      <x:c r="AU404" s="8" t="n">
        <x:v>10.526</x:v>
      </x:c>
      <x:c r="AV404" s="8" t="n">
        <x:v>0.976</x:v>
      </x:c>
      <x:c r="AW404" s="8" t="n">
        <x:v>12.944</x:v>
      </x:c>
      <x:c r="AX404" s="8" t="n">
        <x:v>1.006</x:v>
      </x:c>
      <x:c r="AY404" s="8" t="n">
        <x:v>10.639</x:v>
      </x:c>
      <x:c r="AZ404" s="8" t="n">
        <x:v>1.006</x:v>
      </x:c>
      <x:c r="BA404" s="8" t="n">
        <x:v>10.639</x:v>
      </x:c>
      <x:c r="BB404" s="8" t="n">
        <x:f>LET(m,MIN(IF(D404&gt;0,D404,1E+99),IF(F404&gt;0,F404,1E+99),IF(H404&gt;0,H404,1E+99),IF(J404&gt;0,J404,1E+99),IF(L404&gt;0,L404,1E+99),IF(N404&gt;0,N404,1E+99),IF(P404&gt;0,P404,1E+99),IF(R404&gt;0,R404,1E+99),IF(T404&gt;0,T404,1E+99),IF(V404&gt;0,V404,1E+99),IF(X404&gt;0,X404,1E+99),IF(Z404&gt;0,Z404,1E+99),IF(AB404&gt;0,AB404,1E+99),IF(AD404&gt;0,AD404,1E+99),IF(AF404&gt;0,AF404,1E+99),IF(AH404&gt;0,AH404,1E+99),IF(AJ404&gt;0,AJ404,1E+99),IF(AL404&gt;0,AL404,1E+99),IF(AN404&gt;0,AN404,1E+99),IF(AP404&gt;0,AP404,1E+99),IF(AR404&gt;0,AR404,1E+99),IF(AT404&gt;0,AT404,1E+99),IF(AV404&gt;0,AV404,1E+99),IF(AX404&gt;0,AX404,1E+99),IF(AZ404&gt;0,AZ404,1E+99)),IF(m=1E+99,"",m))</x:f>
        <x:v>0.596</x:v>
      </x:c>
      <x:c r="BC404" s="12" t="e">
        <x:f>IF(BB404="","",INDEX({"v1.4.20","v1.4.20","v1.4.21","v1.4.21","v1.4.23","v1.4.23","v1.4.26","v1.4.26","v1.4.26.1","v1.4.26.1","v1.4.27","v1.4.27","v1.4.29","v1.4.29","v1.4.30","v1.4.30","v1.4.31","v1.4.31","v1.4.33","v1.4.33","v1.4.35","v1.4.35.2","v1.5","v1.5.1","v1.5.1"},MATCH(BB404,CHOOSE({1,2,3,4,5,6,7,8,9,10,11,12,13,14,15,16,17,18,19,20,21,22,23,24,25},D404,F404,H404,J404,L404,N404,P404,R404,T404,V404,X404,Z404,AB404,AD404,AF404,AH404,AJ404,AL404,AN404,AP404,AR404,AT404,AV404,AX404,AZ404),0)))</x:f>
      </x:c>
      <x:c r="BD404" s="14" t="n">
        <x:f>LET(m,MIN(IF(E404&gt;0,E404,1E+99),IF(G404&gt;0,G404,1E+99),IF(I404&gt;0,I404,1E+99),IF(K404&gt;0,K404,1E+99),IF(M404&gt;0,M404,1E+99),IF(O404&gt;0,O404,1E+99),IF(Q404&gt;0,Q404,1E+99),IF(S404&gt;0,S404,1E+99),IF(U404&gt;0,U404,1E+99),IF(W404&gt;0,W404,1E+99),IF(Y404&gt;0,Y404,1E+99),IF(AA404&gt;0,AA404,1E+99),IF(AC404&gt;0,AC404,1E+99),IF(AE404&gt;0,AE404,1E+99),IF(AG404&gt;0,AG404,1E+99),IF(AI404&gt;0,AI404,1E+99),IF(AK404&gt;0,AK404,1E+99),IF(AM404&gt;0,AM404,1E+99),IF(AO404&gt;0,AO404,1E+99),IF(AQ404&gt;0,AQ404,1E+99),IF(AS404&gt;0,AS404,1E+99),IF(AU404&gt;0,AU404,1E+99),IF(AW404&gt;0,AW404,1E+99),IF(AY404&gt;0,AY404,1E+99),IF(BA404&gt;0,BA404,1E+99)),IF(m=1E+99,"",m))</x:f>
        <x:v>10.314</x:v>
      </x:c>
      <x:c r="BE404" s="16" t="e">
        <x:f>IF(BD404="","",INDEX({"v1.4.20","v1.4.20","v1.4.21","v1.4.21","v1.4.23","v1.4.23","v1.4.26","v1.4.26","v1.4.26.1","v1.4.26.1","v1.4.27","v1.4.27","v1.4.29","v1.4.29","v1.4.30","v1.4.30","v1.4.31","v1.4.31","v1.4.33","v1.4.33","v1.4.35","v1.4.35.2","v1.5","v1.5.1","v1.5.1"},MATCH(BD404,CHOOSE({1,2,3,4,5,6,7,8,9,10,11,12,13,14,15,16,17,18,19,20,21,22,23,24,25},E404,G404,I404,K404,M404,O404,Q404,S404,U404,W404,Y404,AA404,AC404,AE404,AG404,AI404,AK404,AM404,AO404,AQ404,AS404,AU404,AW404,AY404,BA404),0)))</x:f>
      </x:c>
      <x:c r="BF404" s="10" t="n">
        <x:f>IFERROR((AX404-BB404)/BB404,"")</x:f>
        <x:v>0.6879194630872484</x:v>
      </x:c>
      <x:c r="BG404" s="10" t="n">
        <x:f>IFERROR((AY404-BD404)/BD404,"")</x:f>
        <x:v>0.03151056815978275</x:v>
      </x:c>
    </x:row>
    <x:row r="405">
      <x:c r="A405" t="str">
        <x:v>Raw Data</x:v>
      </x:c>
      <x:c r="B405" t="str">
        <x:v>Format Unlocked Care Plan Report</x:v>
      </x:c>
      <x:c r="C405" t="str">
        <x:v>Raw data copied to archive: Raw Data - Unlocked CP 04.26</x:v>
      </x:c>
      <x:c r="D405" s="8"/>
      <x:c r="E405" s="8"/>
      <x:c r="F405" s="8"/>
      <x:c r="G405" s="8"/>
      <x:c r="H405" s="8"/>
      <x:c r="I405" s="8"/>
      <x:c r="J405" s="8"/>
      <x:c r="K405" s="8"/>
      <x:c r="L405" s="8" t="n">
        <x:v>4.926</x:v>
      </x:c>
      <x:c r="M405" s="8" t="n">
        <x:v>35.744</x:v>
      </x:c>
      <x:c r="N405" s="8" t="n">
        <x:v>4.926</x:v>
      </x:c>
      <x:c r="O405" s="8" t="n">
        <x:v>35.744</x:v>
      </x:c>
      <x:c r="P405" s="8"/>
      <x:c r="Q405" s="8"/>
      <x:c r="R405" s="8"/>
      <x:c r="S405" s="8"/>
      <x:c r="T405" s="8" t="n">
        <x:v>3.579</x:v>
      </x:c>
      <x:c r="U405" s="8" t="n">
        <x:v>22.581</x:v>
      </x:c>
      <x:c r="V405" s="8" t="n">
        <x:v>3.579</x:v>
      </x:c>
      <x:c r="W405" s="8" t="n">
        <x:v>22.581</x:v>
      </x:c>
      <x:c r="X405" s="8"/>
      <x:c r="Y405" s="8"/>
      <x:c r="Z405" s="8"/>
      <x:c r="AA405" s="8"/>
      <x:c r="AB405" s="8"/>
      <x:c r="AC405" s="8"/>
      <x:c r="AD405" s="8"/>
      <x:c r="AE405" s="8"/>
      <x:c r="AF405" s="8" t="n">
        <x:v>4.181</x:v>
      </x:c>
      <x:c r="AG405" s="8" t="n">
        <x:v>29.128</x:v>
      </x:c>
      <x:c r="AH405" s="8" t="n">
        <x:v>4.181</x:v>
      </x:c>
      <x:c r="AI405" s="8" t="n">
        <x:v>29.128</x:v>
      </x:c>
      <x:c r="AJ405" s="8" t="n">
        <x:v>6.047</x:v>
      </x:c>
      <x:c r="AK405" s="8" t="n">
        <x:v>34.184</x:v>
      </x:c>
      <x:c r="AL405" s="8" t="n">
        <x:v>6.047</x:v>
      </x:c>
      <x:c r="AM405" s="8" t="n">
        <x:v>34.184</x:v>
      </x:c>
      <x:c r="AN405" s="8" t="n">
        <x:v>3.789</x:v>
      </x:c>
      <x:c r="AO405" s="8" t="n">
        <x:v>25.717</x:v>
      </x:c>
      <x:c r="AP405" s="8" t="n">
        <x:v>3.789</x:v>
      </x:c>
      <x:c r="AQ405" s="8" t="n">
        <x:v>25.717</x:v>
      </x:c>
      <x:c r="AR405" s="8"/>
      <x:c r="AS405" s="8"/>
      <x:c r="AT405" s="8" t="n">
        <x:v>3.755</x:v>
      </x:c>
      <x:c r="AU405" s="8" t="n">
        <x:v>24.534</x:v>
      </x:c>
      <x:c r="AV405" s="8" t="n">
        <x:v>4.938</x:v>
      </x:c>
      <x:c r="AW405" s="8" t="n">
        <x:v>28.728</x:v>
      </x:c>
      <x:c r="AX405" s="8" t="n">
        <x:v>4.252</x:v>
      </x:c>
      <x:c r="AY405" s="8" t="n">
        <x:v>25.833</x:v>
      </x:c>
      <x:c r="AZ405" s="8" t="n">
        <x:v>4.252</x:v>
      </x:c>
      <x:c r="BA405" s="8" t="n">
        <x:v>25.833</x:v>
      </x:c>
      <x:c r="BB405" s="8" t="n">
        <x:f>LET(m,MIN(IF(D405&gt;0,D405,1E+99),IF(F405&gt;0,F405,1E+99),IF(H405&gt;0,H405,1E+99),IF(J405&gt;0,J405,1E+99),IF(L405&gt;0,L405,1E+99),IF(N405&gt;0,N405,1E+99),IF(P405&gt;0,P405,1E+99),IF(R405&gt;0,R405,1E+99),IF(T405&gt;0,T405,1E+99),IF(V405&gt;0,V405,1E+99),IF(X405&gt;0,X405,1E+99),IF(Z405&gt;0,Z405,1E+99),IF(AB405&gt;0,AB405,1E+99),IF(AD405&gt;0,AD405,1E+99),IF(AF405&gt;0,AF405,1E+99),IF(AH405&gt;0,AH405,1E+99),IF(AJ405&gt;0,AJ405,1E+99),IF(AL405&gt;0,AL405,1E+99),IF(AN405&gt;0,AN405,1E+99),IF(AP405&gt;0,AP405,1E+99),IF(AR405&gt;0,AR405,1E+99),IF(AT405&gt;0,AT405,1E+99),IF(AV405&gt;0,AV405,1E+99),IF(AX405&gt;0,AX405,1E+99),IF(AZ405&gt;0,AZ405,1E+99)),IF(m=1E+99,"",m))</x:f>
        <x:v>3.579</x:v>
      </x:c>
      <x:c r="BC405" s="12" t="e">
        <x:f>IF(BB405="","",INDEX({"v1.4.20","v1.4.20","v1.4.21","v1.4.21","v1.4.23","v1.4.23","v1.4.26","v1.4.26","v1.4.26.1","v1.4.26.1","v1.4.27","v1.4.27","v1.4.29","v1.4.29","v1.4.30","v1.4.30","v1.4.31","v1.4.31","v1.4.33","v1.4.33","v1.4.35","v1.4.35.2","v1.5","v1.5.1","v1.5.1"},MATCH(BB405,CHOOSE({1,2,3,4,5,6,7,8,9,10,11,12,13,14,15,16,17,18,19,20,21,22,23,24,25},D405,F405,H405,J405,L405,N405,P405,R405,T405,V405,X405,Z405,AB405,AD405,AF405,AH405,AJ405,AL405,AN405,AP405,AR405,AT405,AV405,AX405,AZ405),0)))</x:f>
      </x:c>
      <x:c r="BD405" s="14" t="n">
        <x:f>LET(m,MIN(IF(E405&gt;0,E405,1E+99),IF(G405&gt;0,G405,1E+99),IF(I405&gt;0,I405,1E+99),IF(K405&gt;0,K405,1E+99),IF(M405&gt;0,M405,1E+99),IF(O405&gt;0,O405,1E+99),IF(Q405&gt;0,Q405,1E+99),IF(S405&gt;0,S405,1E+99),IF(U405&gt;0,U405,1E+99),IF(W405&gt;0,W405,1E+99),IF(Y405&gt;0,Y405,1E+99),IF(AA405&gt;0,AA405,1E+99),IF(AC405&gt;0,AC405,1E+99),IF(AE405&gt;0,AE405,1E+99),IF(AG405&gt;0,AG405,1E+99),IF(AI405&gt;0,AI405,1E+99),IF(AK405&gt;0,AK405,1E+99),IF(AM405&gt;0,AM405,1E+99),IF(AO405&gt;0,AO405,1E+99),IF(AQ405&gt;0,AQ405,1E+99),IF(AS405&gt;0,AS405,1E+99),IF(AU405&gt;0,AU405,1E+99),IF(AW405&gt;0,AW405,1E+99),IF(AY405&gt;0,AY405,1E+99),IF(BA405&gt;0,BA405,1E+99)),IF(m=1E+99,"",m))</x:f>
        <x:v>22.581</x:v>
      </x:c>
      <x:c r="BE405" s="16" t="e">
        <x:f>IF(BD405="","",INDEX({"v1.4.20","v1.4.20","v1.4.21","v1.4.21","v1.4.23","v1.4.23","v1.4.26","v1.4.26","v1.4.26.1","v1.4.26.1","v1.4.27","v1.4.27","v1.4.29","v1.4.29","v1.4.30","v1.4.30","v1.4.31","v1.4.31","v1.4.33","v1.4.33","v1.4.35","v1.4.35.2","v1.5","v1.5.1","v1.5.1"},MATCH(BD405,CHOOSE({1,2,3,4,5,6,7,8,9,10,11,12,13,14,15,16,17,18,19,20,21,22,23,24,25},E405,G405,I405,K405,M405,O405,Q405,S405,U405,W405,Y405,AA405,AC405,AE405,AG405,AI405,AK405,AM405,AO405,AQ405,AS405,AU405,AW405,AY405,BA405),0)))</x:f>
      </x:c>
      <x:c r="BF405" s="10" t="n">
        <x:f>IFERROR((AX405-BB405)/BB405,"")</x:f>
        <x:v>0.1880413523330538</x:v>
      </x:c>
      <x:c r="BG405" s="10" t="n">
        <x:f>IFERROR((AY405-BD405)/BD405,"")</x:f>
        <x:v>0.14401487976617505</x:v>
      </x:c>
    </x:row>
    <x:row r="406">
      <x:c r="A406" t="str">
        <x:v>Unlocked Care Plan</x:v>
      </x:c>
      <x:c r="B406" t="str">
        <x:v>Format Unlocked Care Plan Report</x:v>
      </x:c>
      <x:c r="C406" t="str">
        <x:v>Apply alternating color rules: Template - Unlocked Care Plan</x:v>
      </x:c>
      <x:c r="D406" s="8" t="n">
        <x:v>2.028</x:v>
      </x:c>
      <x:c r="E406" s="8" t="n">
        <x:v>11.113</x:v>
      </x:c>
      <x:c r="F406" s="8" t="n">
        <x:v>2.028</x:v>
      </x:c>
      <x:c r="G406" s="8" t="n">
        <x:v>11.113</x:v>
      </x:c>
      <x:c r="H406" s="8" t="n">
        <x:v>4.48</x:v>
      </x:c>
      <x:c r="I406" s="8" t="n">
        <x:v>14.808</x:v>
      </x:c>
      <x:c r="J406" s="8" t="n">
        <x:v>4.48</x:v>
      </x:c>
      <x:c r="K406" s="8" t="n">
        <x:v>14.808</x:v>
      </x:c>
      <x:c r="L406" s="8"/>
      <x:c r="M406" s="8"/>
      <x:c r="N406" s="8"/>
      <x:c r="O406" s="8"/>
      <x:c r="P406" s="8"/>
      <x:c r="Q406" s="8"/>
      <x:c r="R406" s="8"/>
      <x:c r="S406" s="8"/>
      <x:c r="T406" s="8"/>
      <x:c r="U406" s="8"/>
      <x:c r="V406" s="8"/>
      <x:c r="W406" s="8"/>
      <x:c r="X406" s="8"/>
      <x:c r="Y406" s="8"/>
      <x:c r="Z406" s="8"/>
      <x:c r="AA406" s="8"/>
      <x:c r="AB406" s="8"/>
      <x:c r="AC406" s="8"/>
      <x:c r="AD406" s="8"/>
      <x:c r="AE406" s="8"/>
      <x:c r="AF406" s="8"/>
      <x:c r="AG406" s="8"/>
      <x:c r="AH406" s="8"/>
      <x:c r="AI406" s="8"/>
      <x:c r="AJ406" s="8"/>
      <x:c r="AK406" s="8"/>
      <x:c r="AL406" s="8"/>
      <x:c r="AM406" s="8"/>
      <x:c r="AN406" s="8"/>
      <x:c r="AO406" s="8"/>
      <x:c r="AP406" s="8"/>
      <x:c r="AQ406" s="8"/>
      <x:c r="AR406" s="8"/>
      <x:c r="AS406" s="8"/>
      <x:c r="AT406" s="8"/>
      <x:c r="AU406" s="8"/>
      <x:c r="AV406" s="8"/>
      <x:c r="AW406" s="8"/>
      <x:c r="AX406" s="8"/>
      <x:c r="AY406" s="8"/>
      <x:c r="AZ406" s="8"/>
      <x:c r="BA406" s="8"/>
      <x:c r="BB406" s="8" t="n">
        <x:f>LET(m,MIN(IF(D406&gt;0,D406,1E+99),IF(F406&gt;0,F406,1E+99),IF(H406&gt;0,H406,1E+99),IF(J406&gt;0,J406,1E+99),IF(L406&gt;0,L406,1E+99),IF(N406&gt;0,N406,1E+99),IF(P406&gt;0,P406,1E+99),IF(R406&gt;0,R406,1E+99),IF(T406&gt;0,T406,1E+99),IF(V406&gt;0,V406,1E+99),IF(X406&gt;0,X406,1E+99),IF(Z406&gt;0,Z406,1E+99),IF(AB406&gt;0,AB406,1E+99),IF(AD406&gt;0,AD406,1E+99),IF(AF406&gt;0,AF406,1E+99),IF(AH406&gt;0,AH406,1E+99),IF(AJ406&gt;0,AJ406,1E+99),IF(AL406&gt;0,AL406,1E+99),IF(AN406&gt;0,AN406,1E+99),IF(AP406&gt;0,AP406,1E+99),IF(AR406&gt;0,AR406,1E+99),IF(AT406&gt;0,AT406,1E+99),IF(AV406&gt;0,AV406,1E+99),IF(AX406&gt;0,AX406,1E+99),IF(AZ406&gt;0,AZ406,1E+99)),IF(m=1E+99,"",m))</x:f>
        <x:v>2.028</x:v>
      </x:c>
      <x:c r="BC406" s="12" t="str">
        <x:f>IF(BB406="","",INDEX({"v1.4.20","v1.4.20","v1.4.21","v1.4.21","v1.4.23","v1.4.23","v1.4.26","v1.4.26","v1.4.26.1","v1.4.26.1","v1.4.27","v1.4.27","v1.4.29","v1.4.29","v1.4.30","v1.4.30","v1.4.31","v1.4.31","v1.4.33","v1.4.33","v1.4.35","v1.4.35.2","v1.5","v1.5.1","v1.5.1"},MATCH(BB406,CHOOSE({1,2,3,4,5,6,7,8,9,10,11,12,13,14,15,16,17,18,19,20,21,22,23,24,25},D406,F406,H406,J406,L406,N406,P406,R406,T406,V406,X406,Z406,AB406,AD406,AF406,AH406,AJ406,AL406,AN406,AP406,AR406,AT406,AV406,AX406,AZ406),0)))</x:f>
        <x:v>v1.4.20</x:v>
      </x:c>
      <x:c r="BD406" s="14" t="n">
        <x:f>LET(m,MIN(IF(E406&gt;0,E406,1E+99),IF(G406&gt;0,G406,1E+99),IF(I406&gt;0,I406,1E+99),IF(K406&gt;0,K406,1E+99),IF(M406&gt;0,M406,1E+99),IF(O406&gt;0,O406,1E+99),IF(Q406&gt;0,Q406,1E+99),IF(S406&gt;0,S406,1E+99),IF(U406&gt;0,U406,1E+99),IF(W406&gt;0,W406,1E+99),IF(Y406&gt;0,Y406,1E+99),IF(AA406&gt;0,AA406,1E+99),IF(AC406&gt;0,AC406,1E+99),IF(AE406&gt;0,AE406,1E+99),IF(AG406&gt;0,AG406,1E+99),IF(AI406&gt;0,AI406,1E+99),IF(AK406&gt;0,AK406,1E+99),IF(AM406&gt;0,AM406,1E+99),IF(AO406&gt;0,AO406,1E+99),IF(AQ406&gt;0,AQ406,1E+99),IF(AS406&gt;0,AS406,1E+99),IF(AU406&gt;0,AU406,1E+99),IF(AW406&gt;0,AW406,1E+99),IF(AY406&gt;0,AY406,1E+99),IF(BA406&gt;0,BA406,1E+99)),IF(m=1E+99,"",m))</x:f>
        <x:v>11.113</x:v>
      </x:c>
      <x:c r="BE406" s="16" t="str">
        <x:f>IF(BD406="","",INDEX({"v1.4.20","v1.4.20","v1.4.21","v1.4.21","v1.4.23","v1.4.23","v1.4.26","v1.4.26","v1.4.26.1","v1.4.26.1","v1.4.27","v1.4.27","v1.4.29","v1.4.29","v1.4.30","v1.4.30","v1.4.31","v1.4.31","v1.4.33","v1.4.33","v1.4.35","v1.4.35.2","v1.5","v1.5.1","v1.5.1"},MATCH(BD406,CHOOSE({1,2,3,4,5,6,7,8,9,10,11,12,13,14,15,16,17,18,19,20,21,22,23,24,25},E406,G406,I406,K406,M406,O406,Q406,S406,U406,W406,Y406,AA406,AC406,AE406,AG406,AI406,AK406,AM406,AO406,AQ406,AS406,AU406,AW406,AY406,BA406),0)))</x:f>
        <x:v>v1.4.20</x:v>
      </x:c>
      <x:c r="BF406" s="10" t="n">
        <x:f>IFERROR((AX406-BB406)/BB406,"")</x:f>
        <x:v>-1</x:v>
      </x:c>
      <x:c r="BG406" s="10" t="n">
        <x:f>IFERROR((AY406-BD406)/BD406,"")</x:f>
        <x:v>-1</x:v>
      </x:c>
    </x:row>
    <x:row r="407">
      <x:c r="A407" t="str">
        <x:v>Unlocked Care Plan</x:v>
      </x:c>
      <x:c r="B407" t="str">
        <x:v>Format Unlocked Care Plan Report</x:v>
      </x:c>
      <x:c r="C407" t="str">
        <x:v>Apply column widths: Template - Unlocked Care Plan</x:v>
      </x:c>
      <x:c r="D407" s="8" t="n">
        <x:v>0.65</x:v>
      </x:c>
      <x:c r="E407" s="8" t="n">
        <x:v>11.764</x:v>
      </x:c>
      <x:c r="F407" s="8" t="n">
        <x:v>0.65</x:v>
      </x:c>
      <x:c r="G407" s="8" t="n">
        <x:v>11.764</x:v>
      </x:c>
      <x:c r="H407" s="8" t="n">
        <x:v>0.672</x:v>
      </x:c>
      <x:c r="I407" s="8" t="n">
        <x:v>15.482</x:v>
      </x:c>
      <x:c r="J407" s="8" t="n">
        <x:v>0.672</x:v>
      </x:c>
      <x:c r="K407" s="8" t="n">
        <x:v>15.482</x:v>
      </x:c>
      <x:c r="L407" s="8"/>
      <x:c r="M407" s="8"/>
      <x:c r="N407" s="8"/>
      <x:c r="O407" s="8"/>
      <x:c r="P407" s="8"/>
      <x:c r="Q407" s="8"/>
      <x:c r="R407" s="8"/>
      <x:c r="S407" s="8"/>
      <x:c r="T407" s="8"/>
      <x:c r="U407" s="8"/>
      <x:c r="V407" s="8"/>
      <x:c r="W407" s="8"/>
      <x:c r="X407" s="8"/>
      <x:c r="Y407" s="8"/>
      <x:c r="Z407" s="8"/>
      <x:c r="AA407" s="8"/>
      <x:c r="AB407" s="8"/>
      <x:c r="AC407" s="8"/>
      <x:c r="AD407" s="8"/>
      <x:c r="AE407" s="8"/>
      <x:c r="AF407" s="8"/>
      <x:c r="AG407" s="8"/>
      <x:c r="AH407" s="8"/>
      <x:c r="AI407" s="8"/>
      <x:c r="AJ407" s="8"/>
      <x:c r="AK407" s="8"/>
      <x:c r="AL407" s="8"/>
      <x:c r="AM407" s="8"/>
      <x:c r="AN407" s="8"/>
      <x:c r="AO407" s="8"/>
      <x:c r="AP407" s="8"/>
      <x:c r="AQ407" s="8"/>
      <x:c r="AR407" s="8"/>
      <x:c r="AS407" s="8"/>
      <x:c r="AT407" s="8"/>
      <x:c r="AU407" s="8"/>
      <x:c r="AV407" s="8"/>
      <x:c r="AW407" s="8"/>
      <x:c r="AX407" s="8"/>
      <x:c r="AY407" s="8"/>
      <x:c r="AZ407" s="8"/>
      <x:c r="BA407" s="8"/>
      <x:c r="BB407" s="8" t="n">
        <x:f>LET(m,MIN(IF(D407&gt;0,D407,1E+99),IF(F407&gt;0,F407,1E+99),IF(H407&gt;0,H407,1E+99),IF(J407&gt;0,J407,1E+99),IF(L407&gt;0,L407,1E+99),IF(N407&gt;0,N407,1E+99),IF(P407&gt;0,P407,1E+99),IF(R407&gt;0,R407,1E+99),IF(T407&gt;0,T407,1E+99),IF(V407&gt;0,V407,1E+99),IF(X407&gt;0,X407,1E+99),IF(Z407&gt;0,Z407,1E+99),IF(AB407&gt;0,AB407,1E+99),IF(AD407&gt;0,AD407,1E+99),IF(AF407&gt;0,AF407,1E+99),IF(AH407&gt;0,AH407,1E+99),IF(AJ407&gt;0,AJ407,1E+99),IF(AL407&gt;0,AL407,1E+99),IF(AN407&gt;0,AN407,1E+99),IF(AP407&gt;0,AP407,1E+99),IF(AR407&gt;0,AR407,1E+99),IF(AT407&gt;0,AT407,1E+99),IF(AV407&gt;0,AV407,1E+99),IF(AX407&gt;0,AX407,1E+99),IF(AZ407&gt;0,AZ407,1E+99)),IF(m=1E+99,"",m))</x:f>
        <x:v>0.65</x:v>
      </x:c>
      <x:c r="BC407" s="12" t="str">
        <x:f>IF(BB407="","",INDEX({"v1.4.20","v1.4.20","v1.4.21","v1.4.21","v1.4.23","v1.4.23","v1.4.26","v1.4.26","v1.4.26.1","v1.4.26.1","v1.4.27","v1.4.27","v1.4.29","v1.4.29","v1.4.30","v1.4.30","v1.4.31","v1.4.31","v1.4.33","v1.4.33","v1.4.35","v1.4.35.2","v1.5","v1.5.1","v1.5.1"},MATCH(BB407,CHOOSE({1,2,3,4,5,6,7,8,9,10,11,12,13,14,15,16,17,18,19,20,21,22,23,24,25},D407,F407,H407,J407,L407,N407,P407,R407,T407,V407,X407,Z407,AB407,AD407,AF407,AH407,AJ407,AL407,AN407,AP407,AR407,AT407,AV407,AX407,AZ407),0)))</x:f>
        <x:v>v1.4.20</x:v>
      </x:c>
      <x:c r="BD407" s="14" t="n">
        <x:f>LET(m,MIN(IF(E407&gt;0,E407,1E+99),IF(G407&gt;0,G407,1E+99),IF(I407&gt;0,I407,1E+99),IF(K407&gt;0,K407,1E+99),IF(M407&gt;0,M407,1E+99),IF(O407&gt;0,O407,1E+99),IF(Q407&gt;0,Q407,1E+99),IF(S407&gt;0,S407,1E+99),IF(U407&gt;0,U407,1E+99),IF(W407&gt;0,W407,1E+99),IF(Y407&gt;0,Y407,1E+99),IF(AA407&gt;0,AA407,1E+99),IF(AC407&gt;0,AC407,1E+99),IF(AE407&gt;0,AE407,1E+99),IF(AG407&gt;0,AG407,1E+99),IF(AI407&gt;0,AI407,1E+99),IF(AK407&gt;0,AK407,1E+99),IF(AM407&gt;0,AM407,1E+99),IF(AO407&gt;0,AO407,1E+99),IF(AQ407&gt;0,AQ407,1E+99),IF(AS407&gt;0,AS407,1E+99),IF(AU407&gt;0,AU407,1E+99),IF(AW407&gt;0,AW407,1E+99),IF(AY407&gt;0,AY407,1E+99),IF(BA407&gt;0,BA407,1E+99)),IF(m=1E+99,"",m))</x:f>
        <x:v>11.764</x:v>
      </x:c>
      <x:c r="BE407" s="16" t="str">
        <x:f>IF(BD407="","",INDEX({"v1.4.20","v1.4.20","v1.4.21","v1.4.21","v1.4.23","v1.4.23","v1.4.26","v1.4.26","v1.4.26.1","v1.4.26.1","v1.4.27","v1.4.27","v1.4.29","v1.4.29","v1.4.30","v1.4.30","v1.4.31","v1.4.31","v1.4.33","v1.4.33","v1.4.35","v1.4.35.2","v1.5","v1.5.1","v1.5.1"},MATCH(BD407,CHOOSE({1,2,3,4,5,6,7,8,9,10,11,12,13,14,15,16,17,18,19,20,21,22,23,24,25},E407,G407,I407,K407,M407,O407,Q407,S407,U407,W407,Y407,AA407,AC407,AE407,AG407,AI407,AK407,AM407,AO407,AQ407,AS407,AU407,AW407,AY407,BA407),0)))</x:f>
        <x:v>v1.4.20</x:v>
      </x:c>
      <x:c r="BF407" s="10" t="n">
        <x:f>IFERROR((AX407-BB407)/BB407,"")</x:f>
        <x:v>-1</x:v>
      </x:c>
      <x:c r="BG407" s="10" t="n">
        <x:f>IFERROR((AY407-BD407)/BD407,"")</x:f>
        <x:v>-1</x:v>
      </x:c>
    </x:row>
    <x:row r="408">
      <x:c r="A408" t="str">
        <x:v>Unlocked Care Plan</x:v>
      </x:c>
      <x:c r="B408" t="str">
        <x:v>Format Unlocked Care Plan Report</x:v>
      </x:c>
      <x:c r="C408" t="str">
        <x:v>Apply data row base style: Template - Unlocked Care Plan</x:v>
      </x:c>
      <x:c r="D408" s="8" t="n">
        <x:v>0.001</x:v>
      </x:c>
      <x:c r="E408" s="8" t="n">
        <x:v>11.114</x:v>
      </x:c>
      <x:c r="F408" s="8" t="n">
        <x:v>0.001</x:v>
      </x:c>
      <x:c r="G408" s="8" t="n">
        <x:v>11.114</x:v>
      </x:c>
      <x:c r="H408" s="8" t="n">
        <x:v>0.002</x:v>
      </x:c>
      <x:c r="I408" s="8" t="n">
        <x:v>14.81</x:v>
      </x:c>
      <x:c r="J408" s="8" t="n">
        <x:v>0.002</x:v>
      </x:c>
      <x:c r="K408" s="8" t="n">
        <x:v>14.81</x:v>
      </x:c>
      <x:c r="L408" s="8"/>
      <x:c r="M408" s="8"/>
      <x:c r="N408" s="8"/>
      <x:c r="O408" s="8"/>
      <x:c r="P408" s="8"/>
      <x:c r="Q408" s="8"/>
      <x:c r="R408" s="8"/>
      <x:c r="S408" s="8"/>
      <x:c r="T408" s="8"/>
      <x:c r="U408" s="8"/>
      <x:c r="V408" s="8"/>
      <x:c r="W408" s="8"/>
      <x:c r="X408" s="8"/>
      <x:c r="Y408" s="8"/>
      <x:c r="Z408" s="8"/>
      <x:c r="AA408" s="8"/>
      <x:c r="AB408" s="8"/>
      <x:c r="AC408" s="8"/>
      <x:c r="AD408" s="8"/>
      <x:c r="AE408" s="8"/>
      <x:c r="AF408" s="8"/>
      <x:c r="AG408" s="8"/>
      <x:c r="AH408" s="8"/>
      <x:c r="AI408" s="8"/>
      <x:c r="AJ408" s="8"/>
      <x:c r="AK408" s="8"/>
      <x:c r="AL408" s="8"/>
      <x:c r="AM408" s="8"/>
      <x:c r="AN408" s="8"/>
      <x:c r="AO408" s="8"/>
      <x:c r="AP408" s="8"/>
      <x:c r="AQ408" s="8"/>
      <x:c r="AR408" s="8"/>
      <x:c r="AS408" s="8"/>
      <x:c r="AT408" s="8"/>
      <x:c r="AU408" s="8"/>
      <x:c r="AV408" s="8"/>
      <x:c r="AW408" s="8"/>
      <x:c r="AX408" s="8"/>
      <x:c r="AY408" s="8"/>
      <x:c r="AZ408" s="8"/>
      <x:c r="BA408" s="8"/>
      <x:c r="BB408" s="8" t="n">
        <x:f>LET(m,MIN(IF(D408&gt;0,D408,1E+99),IF(F408&gt;0,F408,1E+99),IF(H408&gt;0,H408,1E+99),IF(J408&gt;0,J408,1E+99),IF(L408&gt;0,L408,1E+99),IF(N408&gt;0,N408,1E+99),IF(P408&gt;0,P408,1E+99),IF(R408&gt;0,R408,1E+99),IF(T408&gt;0,T408,1E+99),IF(V408&gt;0,V408,1E+99),IF(X408&gt;0,X408,1E+99),IF(Z408&gt;0,Z408,1E+99),IF(AB408&gt;0,AB408,1E+99),IF(AD408&gt;0,AD408,1E+99),IF(AF408&gt;0,AF408,1E+99),IF(AH408&gt;0,AH408,1E+99),IF(AJ408&gt;0,AJ408,1E+99),IF(AL408&gt;0,AL408,1E+99),IF(AN408&gt;0,AN408,1E+99),IF(AP408&gt;0,AP408,1E+99),IF(AR408&gt;0,AR408,1E+99),IF(AT408&gt;0,AT408,1E+99),IF(AV408&gt;0,AV408,1E+99),IF(AX408&gt;0,AX408,1E+99),IF(AZ408&gt;0,AZ408,1E+99)),IF(m=1E+99,"",m))</x:f>
        <x:v>0.001</x:v>
      </x:c>
      <x:c r="BC408" s="12" t="str">
        <x:f>IF(BB408="","",INDEX({"v1.4.20","v1.4.20","v1.4.21","v1.4.21","v1.4.23","v1.4.23","v1.4.26","v1.4.26","v1.4.26.1","v1.4.26.1","v1.4.27","v1.4.27","v1.4.29","v1.4.29","v1.4.30","v1.4.30","v1.4.31","v1.4.31","v1.4.33","v1.4.33","v1.4.35","v1.4.35.2","v1.5","v1.5.1","v1.5.1"},MATCH(BB408,CHOOSE({1,2,3,4,5,6,7,8,9,10,11,12,13,14,15,16,17,18,19,20,21,22,23,24,25},D408,F408,H408,J408,L408,N408,P408,R408,T408,V408,X408,Z408,AB408,AD408,AF408,AH408,AJ408,AL408,AN408,AP408,AR408,AT408,AV408,AX408,AZ408),0)))</x:f>
        <x:v>v1.4.20</x:v>
      </x:c>
      <x:c r="BD408" s="14" t="n">
        <x:f>LET(m,MIN(IF(E408&gt;0,E408,1E+99),IF(G408&gt;0,G408,1E+99),IF(I408&gt;0,I408,1E+99),IF(K408&gt;0,K408,1E+99),IF(M408&gt;0,M408,1E+99),IF(O408&gt;0,O408,1E+99),IF(Q408&gt;0,Q408,1E+99),IF(S408&gt;0,S408,1E+99),IF(U408&gt;0,U408,1E+99),IF(W408&gt;0,W408,1E+99),IF(Y408&gt;0,Y408,1E+99),IF(AA408&gt;0,AA408,1E+99),IF(AC408&gt;0,AC408,1E+99),IF(AE408&gt;0,AE408,1E+99),IF(AG408&gt;0,AG408,1E+99),IF(AI408&gt;0,AI408,1E+99),IF(AK408&gt;0,AK408,1E+99),IF(AM408&gt;0,AM408,1E+99),IF(AO408&gt;0,AO408,1E+99),IF(AQ408&gt;0,AQ408,1E+99),IF(AS408&gt;0,AS408,1E+99),IF(AU408&gt;0,AU408,1E+99),IF(AW408&gt;0,AW408,1E+99),IF(AY408&gt;0,AY408,1E+99),IF(BA408&gt;0,BA408,1E+99)),IF(m=1E+99,"",m))</x:f>
        <x:v>11.114</x:v>
      </x:c>
      <x:c r="BE408" s="16" t="str">
        <x:f>IF(BD408="","",INDEX({"v1.4.20","v1.4.20","v1.4.21","v1.4.21","v1.4.23","v1.4.23","v1.4.26","v1.4.26","v1.4.26.1","v1.4.26.1","v1.4.27","v1.4.27","v1.4.29","v1.4.29","v1.4.30","v1.4.30","v1.4.31","v1.4.31","v1.4.33","v1.4.33","v1.4.35","v1.4.35.2","v1.5","v1.5.1","v1.5.1"},MATCH(BD408,CHOOSE({1,2,3,4,5,6,7,8,9,10,11,12,13,14,15,16,17,18,19,20,21,22,23,24,25},E408,G408,I408,K408,M408,O408,Q408,S408,U408,W408,Y408,AA408,AC408,AE408,AG408,AI408,AK408,AM408,AO408,AQ408,AS408,AU408,AW408,AY408,BA408),0)))</x:f>
        <x:v>v1.4.20</x:v>
      </x:c>
      <x:c r="BF408" s="10" t="n">
        <x:f>IFERROR((AX408-BB408)/BB408,"")</x:f>
        <x:v>-1</x:v>
      </x:c>
      <x:c r="BG408" s="10" t="n">
        <x:f>IFERROR((AY408-BD408)/BD408,"")</x:f>
        <x:v>-1</x:v>
      </x:c>
    </x:row>
    <x:row r="409">
      <x:c r="A409" t="str">
        <x:v>Unlocked Care Plan</x:v>
      </x:c>
      <x:c r="B409" t="str">
        <x:v>Format Unlocked Care Plan Report</x:v>
      </x:c>
      <x:c r="C409" t="str">
        <x:v>Apply date/number formats: Template - Unlocked Care Plan</x:v>
      </x:c>
      <x:c r="D409" s="8" t="n">
        <x:v>0.013</x:v>
      </x:c>
      <x:c r="E409" s="8" t="n">
        <x:v>11.777</x:v>
      </x:c>
      <x:c r="F409" s="8" t="n">
        <x:v>0.013</x:v>
      </x:c>
      <x:c r="G409" s="8" t="n">
        <x:v>11.777</x:v>
      </x:c>
      <x:c r="H409" s="8" t="n">
        <x:v>0.017</x:v>
      </x:c>
      <x:c r="I409" s="8" t="n">
        <x:v>15.499</x:v>
      </x:c>
      <x:c r="J409" s="8" t="n">
        <x:v>0.017</x:v>
      </x:c>
      <x:c r="K409" s="8" t="n">
        <x:v>15.499</x:v>
      </x:c>
      <x:c r="L409" s="8"/>
      <x:c r="M409" s="8"/>
      <x:c r="N409" s="8"/>
      <x:c r="O409" s="8"/>
      <x:c r="P409" s="8"/>
      <x:c r="Q409" s="8"/>
      <x:c r="R409" s="8"/>
      <x:c r="S409" s="8"/>
      <x:c r="T409" s="8"/>
      <x:c r="U409" s="8"/>
      <x:c r="V409" s="8"/>
      <x:c r="W409" s="8"/>
      <x:c r="X409" s="8"/>
      <x:c r="Y409" s="8"/>
      <x:c r="Z409" s="8"/>
      <x:c r="AA409" s="8"/>
      <x:c r="AB409" s="8"/>
      <x:c r="AC409" s="8"/>
      <x:c r="AD409" s="8"/>
      <x:c r="AE409" s="8"/>
      <x:c r="AF409" s="8"/>
      <x:c r="AG409" s="8"/>
      <x:c r="AH409" s="8"/>
      <x:c r="AI409" s="8"/>
      <x:c r="AJ409" s="8"/>
      <x:c r="AK409" s="8"/>
      <x:c r="AL409" s="8"/>
      <x:c r="AM409" s="8"/>
      <x:c r="AN409" s="8"/>
      <x:c r="AO409" s="8"/>
      <x:c r="AP409" s="8"/>
      <x:c r="AQ409" s="8"/>
      <x:c r="AR409" s="8"/>
      <x:c r="AS409" s="8"/>
      <x:c r="AT409" s="8"/>
      <x:c r="AU409" s="8"/>
      <x:c r="AV409" s="8"/>
      <x:c r="AW409" s="8"/>
      <x:c r="AX409" s="8"/>
      <x:c r="AY409" s="8"/>
      <x:c r="AZ409" s="8"/>
      <x:c r="BA409" s="8"/>
      <x:c r="BB409" s="8" t="n">
        <x:f>LET(m,MIN(IF(D409&gt;0,D409,1E+99),IF(F409&gt;0,F409,1E+99),IF(H409&gt;0,H409,1E+99),IF(J409&gt;0,J409,1E+99),IF(L409&gt;0,L409,1E+99),IF(N409&gt;0,N409,1E+99),IF(P409&gt;0,P409,1E+99),IF(R409&gt;0,R409,1E+99),IF(T409&gt;0,T409,1E+99),IF(V409&gt;0,V409,1E+99),IF(X409&gt;0,X409,1E+99),IF(Z409&gt;0,Z409,1E+99),IF(AB409&gt;0,AB409,1E+99),IF(AD409&gt;0,AD409,1E+99),IF(AF409&gt;0,AF409,1E+99),IF(AH409&gt;0,AH409,1E+99),IF(AJ409&gt;0,AJ409,1E+99),IF(AL409&gt;0,AL409,1E+99),IF(AN409&gt;0,AN409,1E+99),IF(AP409&gt;0,AP409,1E+99),IF(AR409&gt;0,AR409,1E+99),IF(AT409&gt;0,AT409,1E+99),IF(AV409&gt;0,AV409,1E+99),IF(AX409&gt;0,AX409,1E+99),IF(AZ409&gt;0,AZ409,1E+99)),IF(m=1E+99,"",m))</x:f>
        <x:v>0.013</x:v>
      </x:c>
      <x:c r="BC409" s="12" t="str">
        <x:f>IF(BB409="","",INDEX({"v1.4.20","v1.4.20","v1.4.21","v1.4.21","v1.4.23","v1.4.23","v1.4.26","v1.4.26","v1.4.26.1","v1.4.26.1","v1.4.27","v1.4.27","v1.4.29","v1.4.29","v1.4.30","v1.4.30","v1.4.31","v1.4.31","v1.4.33","v1.4.33","v1.4.35","v1.4.35.2","v1.5","v1.5.1","v1.5.1"},MATCH(BB409,CHOOSE({1,2,3,4,5,6,7,8,9,10,11,12,13,14,15,16,17,18,19,20,21,22,23,24,25},D409,F409,H409,J409,L409,N409,P409,R409,T409,V409,X409,Z409,AB409,AD409,AF409,AH409,AJ409,AL409,AN409,AP409,AR409,AT409,AV409,AX409,AZ409),0)))</x:f>
        <x:v>v1.4.20</x:v>
      </x:c>
      <x:c r="BD409" s="14" t="n">
        <x:f>LET(m,MIN(IF(E409&gt;0,E409,1E+99),IF(G409&gt;0,G409,1E+99),IF(I409&gt;0,I409,1E+99),IF(K409&gt;0,K409,1E+99),IF(M409&gt;0,M409,1E+99),IF(O409&gt;0,O409,1E+99),IF(Q409&gt;0,Q409,1E+99),IF(S409&gt;0,S409,1E+99),IF(U409&gt;0,U409,1E+99),IF(W409&gt;0,W409,1E+99),IF(Y409&gt;0,Y409,1E+99),IF(AA409&gt;0,AA409,1E+99),IF(AC409&gt;0,AC409,1E+99),IF(AE409&gt;0,AE409,1E+99),IF(AG409&gt;0,AG409,1E+99),IF(AI409&gt;0,AI409,1E+99),IF(AK409&gt;0,AK409,1E+99),IF(AM409&gt;0,AM409,1E+99),IF(AO409&gt;0,AO409,1E+99),IF(AQ409&gt;0,AQ409,1E+99),IF(AS409&gt;0,AS409,1E+99),IF(AU409&gt;0,AU409,1E+99),IF(AW409&gt;0,AW409,1E+99),IF(AY409&gt;0,AY409,1E+99),IF(BA409&gt;0,BA409,1E+99)),IF(m=1E+99,"",m))</x:f>
        <x:v>11.777</x:v>
      </x:c>
      <x:c r="BE409" s="16" t="str">
        <x:f>IF(BD409="","",INDEX({"v1.4.20","v1.4.20","v1.4.21","v1.4.21","v1.4.23","v1.4.23","v1.4.26","v1.4.26","v1.4.26.1","v1.4.26.1","v1.4.27","v1.4.27","v1.4.29","v1.4.29","v1.4.30","v1.4.30","v1.4.31","v1.4.31","v1.4.33","v1.4.33","v1.4.35","v1.4.35.2","v1.5","v1.5.1","v1.5.1"},MATCH(BD409,CHOOSE({1,2,3,4,5,6,7,8,9,10,11,12,13,14,15,16,17,18,19,20,21,22,23,24,25},E409,G409,I409,K409,M409,O409,Q409,S409,U409,W409,Y409,AA409,AC409,AE409,AG409,AI409,AK409,AM409,AO409,AQ409,AS409,AU409,AW409,AY409,BA409),0)))</x:f>
        <x:v>v1.4.20</x:v>
      </x:c>
      <x:c r="BF409" s="10" t="n">
        <x:f>IFERROR((AX409-BB409)/BB409,"")</x:f>
        <x:v>-1</x:v>
      </x:c>
      <x:c r="BG409" s="10" t="n">
        <x:f>IFERROR((AY409-BD409)/BD409,"")</x:f>
        <x:v>-1</x:v>
      </x:c>
    </x:row>
    <x:row r="410">
      <x:c r="A410" t="str">
        <x:v>Unlocked Care Plan</x:v>
      </x:c>
      <x:c r="B410" t="str">
        <x:v>Format Unlocked Care Plan Report</x:v>
      </x:c>
      <x:c r="C410" t="str">
        <x:v>Apply header row: Template - Unlocked Care Plan</x:v>
      </x:c>
      <x:c r="D410" s="8" t="n">
        <x:v>0.02</x:v>
      </x:c>
      <x:c r="E410" s="8" t="n">
        <x:v>9.085</x:v>
      </x:c>
      <x:c r="F410" s="8" t="n">
        <x:v>0.02</x:v>
      </x:c>
      <x:c r="G410" s="8" t="n">
        <x:v>9.085</x:v>
      </x:c>
      <x:c r="H410" s="8" t="n">
        <x:v>0.046</x:v>
      </x:c>
      <x:c r="I410" s="8" t="n">
        <x:v>10.328</x:v>
      </x:c>
      <x:c r="J410" s="8" t="n">
        <x:v>0.046</x:v>
      </x:c>
      <x:c r="K410" s="8" t="n">
        <x:v>10.328</x:v>
      </x:c>
      <x:c r="L410" s="8"/>
      <x:c r="M410" s="8"/>
      <x:c r="N410" s="8"/>
      <x:c r="O410" s="8"/>
      <x:c r="P410" s="8"/>
      <x:c r="Q410" s="8"/>
      <x:c r="R410" s="8"/>
      <x:c r="S410" s="8"/>
      <x:c r="T410" s="8"/>
      <x:c r="U410" s="8"/>
      <x:c r="V410" s="8"/>
      <x:c r="W410" s="8"/>
      <x:c r="X410" s="8"/>
      <x:c r="Y410" s="8"/>
      <x:c r="Z410" s="8"/>
      <x:c r="AA410" s="8"/>
      <x:c r="AB410" s="8"/>
      <x:c r="AC410" s="8"/>
      <x:c r="AD410" s="8"/>
      <x:c r="AE410" s="8"/>
      <x:c r="AF410" s="8"/>
      <x:c r="AG410" s="8"/>
      <x:c r="AH410" s="8"/>
      <x:c r="AI410" s="8"/>
      <x:c r="AJ410" s="8"/>
      <x:c r="AK410" s="8"/>
      <x:c r="AL410" s="8"/>
      <x:c r="AM410" s="8"/>
      <x:c r="AN410" s="8"/>
      <x:c r="AO410" s="8"/>
      <x:c r="AP410" s="8"/>
      <x:c r="AQ410" s="8"/>
      <x:c r="AR410" s="8"/>
      <x:c r="AS410" s="8"/>
      <x:c r="AT410" s="8"/>
      <x:c r="AU410" s="8"/>
      <x:c r="AV410" s="8"/>
      <x:c r="AW410" s="8"/>
      <x:c r="AX410" s="8"/>
      <x:c r="AY410" s="8"/>
      <x:c r="AZ410" s="8"/>
      <x:c r="BA410" s="8"/>
      <x:c r="BB410" s="8" t="n">
        <x:f>LET(m,MIN(IF(D410&gt;0,D410,1E+99),IF(F410&gt;0,F410,1E+99),IF(H410&gt;0,H410,1E+99),IF(J410&gt;0,J410,1E+99),IF(L410&gt;0,L410,1E+99),IF(N410&gt;0,N410,1E+99),IF(P410&gt;0,P410,1E+99),IF(R410&gt;0,R410,1E+99),IF(T410&gt;0,T410,1E+99),IF(V410&gt;0,V410,1E+99),IF(X410&gt;0,X410,1E+99),IF(Z410&gt;0,Z410,1E+99),IF(AB410&gt;0,AB410,1E+99),IF(AD410&gt;0,AD410,1E+99),IF(AF410&gt;0,AF410,1E+99),IF(AH410&gt;0,AH410,1E+99),IF(AJ410&gt;0,AJ410,1E+99),IF(AL410&gt;0,AL410,1E+99),IF(AN410&gt;0,AN410,1E+99),IF(AP410&gt;0,AP410,1E+99),IF(AR410&gt;0,AR410,1E+99),IF(AT410&gt;0,AT410,1E+99),IF(AV410&gt;0,AV410,1E+99),IF(AX410&gt;0,AX410,1E+99),IF(AZ410&gt;0,AZ410,1E+99)),IF(m=1E+99,"",m))</x:f>
        <x:v>0.02</x:v>
      </x:c>
      <x:c r="BC410" s="12" t="str">
        <x:f>IF(BB410="","",INDEX({"v1.4.20","v1.4.20","v1.4.21","v1.4.21","v1.4.23","v1.4.23","v1.4.26","v1.4.26","v1.4.26.1","v1.4.26.1","v1.4.27","v1.4.27","v1.4.29","v1.4.29","v1.4.30","v1.4.30","v1.4.31","v1.4.31","v1.4.33","v1.4.33","v1.4.35","v1.4.35.2","v1.5","v1.5.1","v1.5.1"},MATCH(BB410,CHOOSE({1,2,3,4,5,6,7,8,9,10,11,12,13,14,15,16,17,18,19,20,21,22,23,24,25},D410,F410,H410,J410,L410,N410,P410,R410,T410,V410,X410,Z410,AB410,AD410,AF410,AH410,AJ410,AL410,AN410,AP410,AR410,AT410,AV410,AX410,AZ410),0)))</x:f>
        <x:v>v1.4.20</x:v>
      </x:c>
      <x:c r="BD410" s="14" t="n">
        <x:f>LET(m,MIN(IF(E410&gt;0,E410,1E+99),IF(G410&gt;0,G410,1E+99),IF(I410&gt;0,I410,1E+99),IF(K410&gt;0,K410,1E+99),IF(M410&gt;0,M410,1E+99),IF(O410&gt;0,O410,1E+99),IF(Q410&gt;0,Q410,1E+99),IF(S410&gt;0,S410,1E+99),IF(U410&gt;0,U410,1E+99),IF(W410&gt;0,W410,1E+99),IF(Y410&gt;0,Y410,1E+99),IF(AA410&gt;0,AA410,1E+99),IF(AC410&gt;0,AC410,1E+99),IF(AE410&gt;0,AE410,1E+99),IF(AG410&gt;0,AG410,1E+99),IF(AI410&gt;0,AI410,1E+99),IF(AK410&gt;0,AK410,1E+99),IF(AM410&gt;0,AM410,1E+99),IF(AO410&gt;0,AO410,1E+99),IF(AQ410&gt;0,AQ410,1E+99),IF(AS410&gt;0,AS410,1E+99),IF(AU410&gt;0,AU410,1E+99),IF(AW410&gt;0,AW410,1E+99),IF(AY410&gt;0,AY410,1E+99),IF(BA410&gt;0,BA410,1E+99)),IF(m=1E+99,"",m))</x:f>
        <x:v>9.085</x:v>
      </x:c>
      <x:c r="BE410" s="16" t="str">
        <x:f>IF(BD410="","",INDEX({"v1.4.20","v1.4.20","v1.4.21","v1.4.21","v1.4.23","v1.4.23","v1.4.26","v1.4.26","v1.4.26.1","v1.4.26.1","v1.4.27","v1.4.27","v1.4.29","v1.4.29","v1.4.30","v1.4.30","v1.4.31","v1.4.31","v1.4.33","v1.4.33","v1.4.35","v1.4.35.2","v1.5","v1.5.1","v1.5.1"},MATCH(BD410,CHOOSE({1,2,3,4,5,6,7,8,9,10,11,12,13,14,15,16,17,18,19,20,21,22,23,24,25},E410,G410,I410,K410,M410,O410,Q410,S410,U410,W410,Y410,AA410,AC410,AE410,AG410,AI410,AK410,AM410,AO410,AQ410,AS410,AU410,AW410,AY410,BA410),0)))</x:f>
        <x:v>v1.4.20</x:v>
      </x:c>
      <x:c r="BF410" s="10" t="n">
        <x:f>IFERROR((AX410-BB410)/BB410,"")</x:f>
        <x:v>-1</x:v>
      </x:c>
      <x:c r="BG410" s="10" t="n">
        <x:f>IFERROR((AY410-BD410)/BD410,"")</x:f>
        <x:v>-1</x:v>
      </x:c>
    </x:row>
    <x:row r="411">
      <x:c r="A411" t="str">
        <x:v>Unlocked Care Plan</x:v>
      </x:c>
      <x:c r="B411" t="str">
        <x:v>Format Unlocked Care Plan Report</x:v>
      </x:c>
      <x:c r="C411" t="str">
        <x:v>Apply hidden/show column settings: Template - Unlocked Care Plan</x:v>
      </x:c>
      <x:c r="D411" s="8" t="n">
        <x:v>0.002</x:v>
      </x:c>
      <x:c r="E411" s="8" t="n">
        <x:v>11.779</x:v>
      </x:c>
      <x:c r="F411" s="8" t="n">
        <x:v>0.002</x:v>
      </x:c>
      <x:c r="G411" s="8" t="n">
        <x:v>11.779</x:v>
      </x:c>
      <x:c r="H411" s="8" t="n">
        <x:v>0.003</x:v>
      </x:c>
      <x:c r="I411" s="8" t="n">
        <x:v>15.502</x:v>
      </x:c>
      <x:c r="J411" s="8" t="n">
        <x:v>0.003</x:v>
      </x:c>
      <x:c r="K411" s="8" t="n">
        <x:v>15.502</x:v>
      </x:c>
      <x:c r="L411" s="8"/>
      <x:c r="M411" s="8"/>
      <x:c r="N411" s="8"/>
      <x:c r="O411" s="8"/>
      <x:c r="P411" s="8"/>
      <x:c r="Q411" s="8"/>
      <x:c r="R411" s="8"/>
      <x:c r="S411" s="8"/>
      <x:c r="T411" s="8"/>
      <x:c r="U411" s="8"/>
      <x:c r="V411" s="8"/>
      <x:c r="W411" s="8"/>
      <x:c r="X411" s="8"/>
      <x:c r="Y411" s="8"/>
      <x:c r="Z411" s="8"/>
      <x:c r="AA411" s="8"/>
      <x:c r="AB411" s="8"/>
      <x:c r="AC411" s="8"/>
      <x:c r="AD411" s="8"/>
      <x:c r="AE411" s="8"/>
      <x:c r="AF411" s="8"/>
      <x:c r="AG411" s="8"/>
      <x:c r="AH411" s="8"/>
      <x:c r="AI411" s="8"/>
      <x:c r="AJ411" s="8"/>
      <x:c r="AK411" s="8"/>
      <x:c r="AL411" s="8"/>
      <x:c r="AM411" s="8"/>
      <x:c r="AN411" s="8"/>
      <x:c r="AO411" s="8"/>
      <x:c r="AP411" s="8"/>
      <x:c r="AQ411" s="8"/>
      <x:c r="AR411" s="8"/>
      <x:c r="AS411" s="8"/>
      <x:c r="AT411" s="8"/>
      <x:c r="AU411" s="8"/>
      <x:c r="AV411" s="8"/>
      <x:c r="AW411" s="8"/>
      <x:c r="AX411" s="8"/>
      <x:c r="AY411" s="8"/>
      <x:c r="AZ411" s="8"/>
      <x:c r="BA411" s="8"/>
      <x:c r="BB411" s="8" t="n">
        <x:f>LET(m,MIN(IF(D411&gt;0,D411,1E+99),IF(F411&gt;0,F411,1E+99),IF(H411&gt;0,H411,1E+99),IF(J411&gt;0,J411,1E+99),IF(L411&gt;0,L411,1E+99),IF(N411&gt;0,N411,1E+99),IF(P411&gt;0,P411,1E+99),IF(R411&gt;0,R411,1E+99),IF(T411&gt;0,T411,1E+99),IF(V411&gt;0,V411,1E+99),IF(X411&gt;0,X411,1E+99),IF(Z411&gt;0,Z411,1E+99),IF(AB411&gt;0,AB411,1E+99),IF(AD411&gt;0,AD411,1E+99),IF(AF411&gt;0,AF411,1E+99),IF(AH411&gt;0,AH411,1E+99),IF(AJ411&gt;0,AJ411,1E+99),IF(AL411&gt;0,AL411,1E+99),IF(AN411&gt;0,AN411,1E+99),IF(AP411&gt;0,AP411,1E+99),IF(AR411&gt;0,AR411,1E+99),IF(AT411&gt;0,AT411,1E+99),IF(AV411&gt;0,AV411,1E+99),IF(AX411&gt;0,AX411,1E+99),IF(AZ411&gt;0,AZ411,1E+99)),IF(m=1E+99,"",m))</x:f>
        <x:v>0.002</x:v>
      </x:c>
      <x:c r="BC411" s="12" t="str">
        <x:f>IF(BB411="","",INDEX({"v1.4.20","v1.4.20","v1.4.21","v1.4.21","v1.4.23","v1.4.23","v1.4.26","v1.4.26","v1.4.26.1","v1.4.26.1","v1.4.27","v1.4.27","v1.4.29","v1.4.29","v1.4.30","v1.4.30","v1.4.31","v1.4.31","v1.4.33","v1.4.33","v1.4.35","v1.4.35.2","v1.5","v1.5.1","v1.5.1"},MATCH(BB411,CHOOSE({1,2,3,4,5,6,7,8,9,10,11,12,13,14,15,16,17,18,19,20,21,22,23,24,25},D411,F411,H411,J411,L411,N411,P411,R411,T411,V411,X411,Z411,AB411,AD411,AF411,AH411,AJ411,AL411,AN411,AP411,AR411,AT411,AV411,AX411,AZ411),0)))</x:f>
        <x:v>v1.4.20</x:v>
      </x:c>
      <x:c r="BD411" s="14" t="n">
        <x:f>LET(m,MIN(IF(E411&gt;0,E411,1E+99),IF(G411&gt;0,G411,1E+99),IF(I411&gt;0,I411,1E+99),IF(K411&gt;0,K411,1E+99),IF(M411&gt;0,M411,1E+99),IF(O411&gt;0,O411,1E+99),IF(Q411&gt;0,Q411,1E+99),IF(S411&gt;0,S411,1E+99),IF(U411&gt;0,U411,1E+99),IF(W411&gt;0,W411,1E+99),IF(Y411&gt;0,Y411,1E+99),IF(AA411&gt;0,AA411,1E+99),IF(AC411&gt;0,AC411,1E+99),IF(AE411&gt;0,AE411,1E+99),IF(AG411&gt;0,AG411,1E+99),IF(AI411&gt;0,AI411,1E+99),IF(AK411&gt;0,AK411,1E+99),IF(AM411&gt;0,AM411,1E+99),IF(AO411&gt;0,AO411,1E+99),IF(AQ411&gt;0,AQ411,1E+99),IF(AS411&gt;0,AS411,1E+99),IF(AU411&gt;0,AU411,1E+99),IF(AW411&gt;0,AW411,1E+99),IF(AY411&gt;0,AY411,1E+99),IF(BA411&gt;0,BA411,1E+99)),IF(m=1E+99,"",m))</x:f>
        <x:v>11.779</x:v>
      </x:c>
      <x:c r="BE411" s="16" t="str">
        <x:f>IF(BD411="","",INDEX({"v1.4.20","v1.4.20","v1.4.21","v1.4.21","v1.4.23","v1.4.23","v1.4.26","v1.4.26","v1.4.26.1","v1.4.26.1","v1.4.27","v1.4.27","v1.4.29","v1.4.29","v1.4.30","v1.4.30","v1.4.31","v1.4.31","v1.4.33","v1.4.33","v1.4.35","v1.4.35.2","v1.5","v1.5.1","v1.5.1"},MATCH(BD411,CHOOSE({1,2,3,4,5,6,7,8,9,10,11,12,13,14,15,16,17,18,19,20,21,22,23,24,25},E411,G411,I411,K411,M411,O411,Q411,S411,U411,W411,Y411,AA411,AC411,AE411,AG411,AI411,AK411,AM411,AO411,AQ411,AS411,AU411,AW411,AY411,BA411),0)))</x:f>
        <x:v>v1.4.20</x:v>
      </x:c>
      <x:c r="BF411" s="10" t="n">
        <x:f>IFERROR((AX411-BB411)/BB411,"")</x:f>
        <x:v>-1</x:v>
      </x:c>
      <x:c r="BG411" s="10" t="n">
        <x:f>IFERROR((AY411-BD411)/BD411,"")</x:f>
        <x:v>-1</x:v>
      </x:c>
    </x:row>
    <x:row r="412">
      <x:c r="A412" t="str">
        <x:v>Unlocked Care Plan</x:v>
      </x:c>
      <x:c r="B412" t="str">
        <x:v>Format Unlocked Care Plan Report</x:v>
      </x:c>
      <x:c r="C412" t="str">
        <x:v>Apply row heights: Template - Unlocked Care Plan</x:v>
      </x:c>
      <x:c r="D412" s="8" t="n">
        <x:v>0.008</x:v>
      </x:c>
      <x:c r="E412" s="8" t="n">
        <x:v>14.292</x:v>
      </x:c>
      <x:c r="F412" s="8" t="n">
        <x:v>0.008</x:v>
      </x:c>
      <x:c r="G412" s="8" t="n">
        <x:v>14.292</x:v>
      </x:c>
      <x:c r="H412" s="8" t="n">
        <x:v>0.013</x:v>
      </x:c>
      <x:c r="I412" s="8" t="n">
        <x:v>18.755</x:v>
      </x:c>
      <x:c r="J412" s="8" t="n">
        <x:v>0.013</x:v>
      </x:c>
      <x:c r="K412" s="8" t="n">
        <x:v>18.755</x:v>
      </x:c>
      <x:c r="L412" s="8"/>
      <x:c r="M412" s="8"/>
      <x:c r="N412" s="8"/>
      <x:c r="O412" s="8"/>
      <x:c r="P412" s="8"/>
      <x:c r="Q412" s="8"/>
      <x:c r="R412" s="8"/>
      <x:c r="S412" s="8"/>
      <x:c r="T412" s="8"/>
      <x:c r="U412" s="8"/>
      <x:c r="V412" s="8"/>
      <x:c r="W412" s="8"/>
      <x:c r="X412" s="8"/>
      <x:c r="Y412" s="8"/>
      <x:c r="Z412" s="8"/>
      <x:c r="AA412" s="8"/>
      <x:c r="AB412" s="8"/>
      <x:c r="AC412" s="8"/>
      <x:c r="AD412" s="8"/>
      <x:c r="AE412" s="8"/>
      <x:c r="AF412" s="8"/>
      <x:c r="AG412" s="8"/>
      <x:c r="AH412" s="8"/>
      <x:c r="AI412" s="8"/>
      <x:c r="AJ412" s="8"/>
      <x:c r="AK412" s="8"/>
      <x:c r="AL412" s="8"/>
      <x:c r="AM412" s="8"/>
      <x:c r="AN412" s="8"/>
      <x:c r="AO412" s="8"/>
      <x:c r="AP412" s="8"/>
      <x:c r="AQ412" s="8"/>
      <x:c r="AR412" s="8"/>
      <x:c r="AS412" s="8"/>
      <x:c r="AT412" s="8"/>
      <x:c r="AU412" s="8"/>
      <x:c r="AV412" s="8"/>
      <x:c r="AW412" s="8"/>
      <x:c r="AX412" s="8"/>
      <x:c r="AY412" s="8"/>
      <x:c r="AZ412" s="8"/>
      <x:c r="BA412" s="8"/>
      <x:c r="BB412" s="8" t="n">
        <x:f>LET(m,MIN(IF(D412&gt;0,D412,1E+99),IF(F412&gt;0,F412,1E+99),IF(H412&gt;0,H412,1E+99),IF(J412&gt;0,J412,1E+99),IF(L412&gt;0,L412,1E+99),IF(N412&gt;0,N412,1E+99),IF(P412&gt;0,P412,1E+99),IF(R412&gt;0,R412,1E+99),IF(T412&gt;0,T412,1E+99),IF(V412&gt;0,V412,1E+99),IF(X412&gt;0,X412,1E+99),IF(Z412&gt;0,Z412,1E+99),IF(AB412&gt;0,AB412,1E+99),IF(AD412&gt;0,AD412,1E+99),IF(AF412&gt;0,AF412,1E+99),IF(AH412&gt;0,AH412,1E+99),IF(AJ412&gt;0,AJ412,1E+99),IF(AL412&gt;0,AL412,1E+99),IF(AN412&gt;0,AN412,1E+99),IF(AP412&gt;0,AP412,1E+99),IF(AR412&gt;0,AR412,1E+99),IF(AT412&gt;0,AT412,1E+99),IF(AV412&gt;0,AV412,1E+99),IF(AX412&gt;0,AX412,1E+99),IF(AZ412&gt;0,AZ412,1E+99)),IF(m=1E+99,"",m))</x:f>
        <x:v>0.008</x:v>
      </x:c>
      <x:c r="BC412" s="12" t="str">
        <x:f>IF(BB412="","",INDEX({"v1.4.20","v1.4.20","v1.4.21","v1.4.21","v1.4.23","v1.4.23","v1.4.26","v1.4.26","v1.4.26.1","v1.4.26.1","v1.4.27","v1.4.27","v1.4.29","v1.4.29","v1.4.30","v1.4.30","v1.4.31","v1.4.31","v1.4.33","v1.4.33","v1.4.35","v1.4.35.2","v1.5","v1.5.1","v1.5.1"},MATCH(BB412,CHOOSE({1,2,3,4,5,6,7,8,9,10,11,12,13,14,15,16,17,18,19,20,21,22,23,24,25},D412,F412,H412,J412,L412,N412,P412,R412,T412,V412,X412,Z412,AB412,AD412,AF412,AH412,AJ412,AL412,AN412,AP412,AR412,AT412,AV412,AX412,AZ412),0)))</x:f>
        <x:v>v1.4.20</x:v>
      </x:c>
      <x:c r="BD412" s="14" t="n">
        <x:f>LET(m,MIN(IF(E412&gt;0,E412,1E+99),IF(G412&gt;0,G412,1E+99),IF(I412&gt;0,I412,1E+99),IF(K412&gt;0,K412,1E+99),IF(M412&gt;0,M412,1E+99),IF(O412&gt;0,O412,1E+99),IF(Q412&gt;0,Q412,1E+99),IF(S412&gt;0,S412,1E+99),IF(U412&gt;0,U412,1E+99),IF(W412&gt;0,W412,1E+99),IF(Y412&gt;0,Y412,1E+99),IF(AA412&gt;0,AA412,1E+99),IF(AC412&gt;0,AC412,1E+99),IF(AE412&gt;0,AE412,1E+99),IF(AG412&gt;0,AG412,1E+99),IF(AI412&gt;0,AI412,1E+99),IF(AK412&gt;0,AK412,1E+99),IF(AM412&gt;0,AM412,1E+99),IF(AO412&gt;0,AO412,1E+99),IF(AQ412&gt;0,AQ412,1E+99),IF(AS412&gt;0,AS412,1E+99),IF(AU412&gt;0,AU412,1E+99),IF(AW412&gt;0,AW412,1E+99),IF(AY412&gt;0,AY412,1E+99),IF(BA412&gt;0,BA412,1E+99)),IF(m=1E+99,"",m))</x:f>
        <x:v>14.292</x:v>
      </x:c>
      <x:c r="BE412" s="16" t="str">
        <x:f>IF(BD412="","",INDEX({"v1.4.20","v1.4.20","v1.4.21","v1.4.21","v1.4.23","v1.4.23","v1.4.26","v1.4.26","v1.4.26.1","v1.4.26.1","v1.4.27","v1.4.27","v1.4.29","v1.4.29","v1.4.30","v1.4.30","v1.4.31","v1.4.31","v1.4.33","v1.4.33","v1.4.35","v1.4.35.2","v1.5","v1.5.1","v1.5.1"},MATCH(BD412,CHOOSE({1,2,3,4,5,6,7,8,9,10,11,12,13,14,15,16,17,18,19,20,21,22,23,24,25},E412,G412,I412,K412,M412,O412,Q412,S412,U412,W412,Y412,AA412,AC412,AE412,AG412,AI412,AK412,AM412,AO412,AQ412,AS412,AU412,AW412,AY412,BA412),0)))</x:f>
        <x:v>v1.4.20</x:v>
      </x:c>
      <x:c r="BF412" s="10" t="n">
        <x:f>IFERROR((AX412-BB412)/BB412,"")</x:f>
        <x:v>-1</x:v>
      </x:c>
      <x:c r="BG412" s="10" t="n">
        <x:f>IFERROR((AY412-BD412)/BD412,"")</x:f>
        <x:v>-1</x:v>
      </x:c>
    </x:row>
    <x:row r="413">
      <x:c r="A413" t="str">
        <x:v>Unlocked Care Plan</x:v>
      </x:c>
      <x:c r="B413" t="str">
        <x:v>Format Unlocked Care Plan Report</x:v>
      </x:c>
      <x:c r="C413" t="str">
        <x:v>Apply title rows: Template - Unlocked Care Plan</x:v>
      </x:c>
      <x:c r="D413" s="8" t="n">
        <x:v>0.737</x:v>
      </x:c>
      <x:c r="E413" s="8" t="n">
        <x:v>9.065</x:v>
      </x:c>
      <x:c r="F413" s="8" t="n">
        <x:v>0.737</x:v>
      </x:c>
      <x:c r="G413" s="8" t="n">
        <x:v>9.065</x:v>
      </x:c>
      <x:c r="H413" s="8" t="n">
        <x:v>1.065</x:v>
      </x:c>
      <x:c r="I413" s="8" t="n">
        <x:v>10.282</x:v>
      </x:c>
      <x:c r="J413" s="8" t="n">
        <x:v>1.065</x:v>
      </x:c>
      <x:c r="K413" s="8" t="n">
        <x:v>10.282</x:v>
      </x:c>
      <x:c r="L413" s="8"/>
      <x:c r="M413" s="8"/>
      <x:c r="N413" s="8"/>
      <x:c r="O413" s="8"/>
      <x:c r="P413" s="8"/>
      <x:c r="Q413" s="8"/>
      <x:c r="R413" s="8"/>
      <x:c r="S413" s="8"/>
      <x:c r="T413" s="8"/>
      <x:c r="U413" s="8"/>
      <x:c r="V413" s="8"/>
      <x:c r="W413" s="8"/>
      <x:c r="X413" s="8"/>
      <x:c r="Y413" s="8"/>
      <x:c r="Z413" s="8"/>
      <x:c r="AA413" s="8"/>
      <x:c r="AB413" s="8"/>
      <x:c r="AC413" s="8"/>
      <x:c r="AD413" s="8"/>
      <x:c r="AE413" s="8"/>
      <x:c r="AF413" s="8"/>
      <x:c r="AG413" s="8"/>
      <x:c r="AH413" s="8"/>
      <x:c r="AI413" s="8"/>
      <x:c r="AJ413" s="8"/>
      <x:c r="AK413" s="8"/>
      <x:c r="AL413" s="8"/>
      <x:c r="AM413" s="8"/>
      <x:c r="AN413" s="8"/>
      <x:c r="AO413" s="8"/>
      <x:c r="AP413" s="8"/>
      <x:c r="AQ413" s="8"/>
      <x:c r="AR413" s="8"/>
      <x:c r="AS413" s="8"/>
      <x:c r="AT413" s="8"/>
      <x:c r="AU413" s="8"/>
      <x:c r="AV413" s="8"/>
      <x:c r="AW413" s="8"/>
      <x:c r="AX413" s="8"/>
      <x:c r="AY413" s="8"/>
      <x:c r="AZ413" s="8"/>
      <x:c r="BA413" s="8"/>
      <x:c r="BB413" s="8" t="n">
        <x:f>LET(m,MIN(IF(D413&gt;0,D413,1E+99),IF(F413&gt;0,F413,1E+99),IF(H413&gt;0,H413,1E+99),IF(J413&gt;0,J413,1E+99),IF(L413&gt;0,L413,1E+99),IF(N413&gt;0,N413,1E+99),IF(P413&gt;0,P413,1E+99),IF(R413&gt;0,R413,1E+99),IF(T413&gt;0,T413,1E+99),IF(V413&gt;0,V413,1E+99),IF(X413&gt;0,X413,1E+99),IF(Z413&gt;0,Z413,1E+99),IF(AB413&gt;0,AB413,1E+99),IF(AD413&gt;0,AD413,1E+99),IF(AF413&gt;0,AF413,1E+99),IF(AH413&gt;0,AH413,1E+99),IF(AJ413&gt;0,AJ413,1E+99),IF(AL413&gt;0,AL413,1E+99),IF(AN413&gt;0,AN413,1E+99),IF(AP413&gt;0,AP413,1E+99),IF(AR413&gt;0,AR413,1E+99),IF(AT413&gt;0,AT413,1E+99),IF(AV413&gt;0,AV413,1E+99),IF(AX413&gt;0,AX413,1E+99),IF(AZ413&gt;0,AZ413,1E+99)),IF(m=1E+99,"",m))</x:f>
        <x:v>0.737</x:v>
      </x:c>
      <x:c r="BC413" s="12" t="str">
        <x:f>IF(BB413="","",INDEX({"v1.4.20","v1.4.20","v1.4.21","v1.4.21","v1.4.23","v1.4.23","v1.4.26","v1.4.26","v1.4.26.1","v1.4.26.1","v1.4.27","v1.4.27","v1.4.29","v1.4.29","v1.4.30","v1.4.30","v1.4.31","v1.4.31","v1.4.33","v1.4.33","v1.4.35","v1.4.35.2","v1.5","v1.5.1","v1.5.1"},MATCH(BB413,CHOOSE({1,2,3,4,5,6,7,8,9,10,11,12,13,14,15,16,17,18,19,20,21,22,23,24,25},D413,F413,H413,J413,L413,N413,P413,R413,T413,V413,X413,Z413,AB413,AD413,AF413,AH413,AJ413,AL413,AN413,AP413,AR413,AT413,AV413,AX413,AZ413),0)))</x:f>
        <x:v>v1.4.20</x:v>
      </x:c>
      <x:c r="BD413" s="14" t="n">
        <x:f>LET(m,MIN(IF(E413&gt;0,E413,1E+99),IF(G413&gt;0,G413,1E+99),IF(I413&gt;0,I413,1E+99),IF(K413&gt;0,K413,1E+99),IF(M413&gt;0,M413,1E+99),IF(O413&gt;0,O413,1E+99),IF(Q413&gt;0,Q413,1E+99),IF(S413&gt;0,S413,1E+99),IF(U413&gt;0,U413,1E+99),IF(W413&gt;0,W413,1E+99),IF(Y413&gt;0,Y413,1E+99),IF(AA413&gt;0,AA413,1E+99),IF(AC413&gt;0,AC413,1E+99),IF(AE413&gt;0,AE413,1E+99),IF(AG413&gt;0,AG413,1E+99),IF(AI413&gt;0,AI413,1E+99),IF(AK413&gt;0,AK413,1E+99),IF(AM413&gt;0,AM413,1E+99),IF(AO413&gt;0,AO413,1E+99),IF(AQ413&gt;0,AQ413,1E+99),IF(AS413&gt;0,AS413,1E+99),IF(AU413&gt;0,AU413,1E+99),IF(AW413&gt;0,AW413,1E+99),IF(AY413&gt;0,AY413,1E+99),IF(BA413&gt;0,BA413,1E+99)),IF(m=1E+99,"",m))</x:f>
        <x:v>9.065</x:v>
      </x:c>
      <x:c r="BE413" s="16" t="str">
        <x:f>IF(BD413="","",INDEX({"v1.4.20","v1.4.20","v1.4.21","v1.4.21","v1.4.23","v1.4.23","v1.4.26","v1.4.26","v1.4.26.1","v1.4.26.1","v1.4.27","v1.4.27","v1.4.29","v1.4.29","v1.4.30","v1.4.30","v1.4.31","v1.4.31","v1.4.33","v1.4.33","v1.4.35","v1.4.35.2","v1.5","v1.5.1","v1.5.1"},MATCH(BD413,CHOOSE({1,2,3,4,5,6,7,8,9,10,11,12,13,14,15,16,17,18,19,20,21,22,23,24,25},E413,G413,I413,K413,M413,O413,Q413,S413,U413,W413,Y413,AA413,AC413,AE413,AG413,AI413,AK413,AM413,AO413,AQ413,AS413,AU413,AW413,AY413,BA413),0)))</x:f>
        <x:v>v1.4.20</x:v>
      </x:c>
      <x:c r="BF413" s="10" t="n">
        <x:f>IFERROR((AX413-BB413)/BB413,"")</x:f>
        <x:v>-1</x:v>
      </x:c>
      <x:c r="BG413" s="10" t="n">
        <x:f>IFERROR((AY413-BD413)/BD413,"")</x:f>
        <x:v>-1</x:v>
      </x:c>
    </x:row>
    <x:row r="414">
      <x:c r="A414" t="str">
        <x:v>Unlocked Care Plan</x:v>
      </x:c>
      <x:c r="B414" t="str">
        <x:v>Format Unlocked Care Plan Report</x:v>
      </x:c>
      <x:c r="C414" t="str">
        <x:v>Create filter: Template - Unlocked Care Plan</x:v>
      </x:c>
      <x:c r="D414" s="8" t="n">
        <x:v>1.751</x:v>
      </x:c>
      <x:c r="E414" s="8" t="n">
        <x:v>14.284</x:v>
      </x:c>
      <x:c r="F414" s="8" t="n">
        <x:v>1.751</x:v>
      </x:c>
      <x:c r="G414" s="8" t="n">
        <x:v>14.284</x:v>
      </x:c>
      <x:c r="H414" s="8" t="n">
        <x:v>2.329</x:v>
      </x:c>
      <x:c r="I414" s="8" t="n">
        <x:v>18.742</x:v>
      </x:c>
      <x:c r="J414" s="8" t="n">
        <x:v>2.329</x:v>
      </x:c>
      <x:c r="K414" s="8" t="n">
        <x:v>18.742</x:v>
      </x:c>
      <x:c r="L414" s="8"/>
      <x:c r="M414" s="8"/>
      <x:c r="N414" s="8"/>
      <x:c r="O414" s="8"/>
      <x:c r="P414" s="8"/>
      <x:c r="Q414" s="8"/>
      <x:c r="R414" s="8"/>
      <x:c r="S414" s="8"/>
      <x:c r="T414" s="8"/>
      <x:c r="U414" s="8"/>
      <x:c r="V414" s="8"/>
      <x:c r="W414" s="8"/>
      <x:c r="X414" s="8"/>
      <x:c r="Y414" s="8"/>
      <x:c r="Z414" s="8"/>
      <x:c r="AA414" s="8"/>
      <x:c r="AB414" s="8"/>
      <x:c r="AC414" s="8"/>
      <x:c r="AD414" s="8"/>
      <x:c r="AE414" s="8"/>
      <x:c r="AF414" s="8"/>
      <x:c r="AG414" s="8"/>
      <x:c r="AH414" s="8"/>
      <x:c r="AI414" s="8"/>
      <x:c r="AJ414" s="8"/>
      <x:c r="AK414" s="8"/>
      <x:c r="AL414" s="8"/>
      <x:c r="AM414" s="8"/>
      <x:c r="AN414" s="8"/>
      <x:c r="AO414" s="8"/>
      <x:c r="AP414" s="8"/>
      <x:c r="AQ414" s="8"/>
      <x:c r="AR414" s="8"/>
      <x:c r="AS414" s="8"/>
      <x:c r="AT414" s="8"/>
      <x:c r="AU414" s="8"/>
      <x:c r="AV414" s="8"/>
      <x:c r="AW414" s="8"/>
      <x:c r="AX414" s="8"/>
      <x:c r="AY414" s="8"/>
      <x:c r="AZ414" s="8"/>
      <x:c r="BA414" s="8"/>
      <x:c r="BB414" s="8" t="n">
        <x:f>LET(m,MIN(IF(D414&gt;0,D414,1E+99),IF(F414&gt;0,F414,1E+99),IF(H414&gt;0,H414,1E+99),IF(J414&gt;0,J414,1E+99),IF(L414&gt;0,L414,1E+99),IF(N414&gt;0,N414,1E+99),IF(P414&gt;0,P414,1E+99),IF(R414&gt;0,R414,1E+99),IF(T414&gt;0,T414,1E+99),IF(V414&gt;0,V414,1E+99),IF(X414&gt;0,X414,1E+99),IF(Z414&gt;0,Z414,1E+99),IF(AB414&gt;0,AB414,1E+99),IF(AD414&gt;0,AD414,1E+99),IF(AF414&gt;0,AF414,1E+99),IF(AH414&gt;0,AH414,1E+99),IF(AJ414&gt;0,AJ414,1E+99),IF(AL414&gt;0,AL414,1E+99),IF(AN414&gt;0,AN414,1E+99),IF(AP414&gt;0,AP414,1E+99),IF(AR414&gt;0,AR414,1E+99),IF(AT414&gt;0,AT414,1E+99),IF(AV414&gt;0,AV414,1E+99),IF(AX414&gt;0,AX414,1E+99),IF(AZ414&gt;0,AZ414,1E+99)),IF(m=1E+99,"",m))</x:f>
        <x:v>1.751</x:v>
      </x:c>
      <x:c r="BC414" s="12" t="str">
        <x:f>IF(BB414="","",INDEX({"v1.4.20","v1.4.20","v1.4.21","v1.4.21","v1.4.23","v1.4.23","v1.4.26","v1.4.26","v1.4.26.1","v1.4.26.1","v1.4.27","v1.4.27","v1.4.29","v1.4.29","v1.4.30","v1.4.30","v1.4.31","v1.4.31","v1.4.33","v1.4.33","v1.4.35","v1.4.35.2","v1.5","v1.5.1","v1.5.1"},MATCH(BB414,CHOOSE({1,2,3,4,5,6,7,8,9,10,11,12,13,14,15,16,17,18,19,20,21,22,23,24,25},D414,F414,H414,J414,L414,N414,P414,R414,T414,V414,X414,Z414,AB414,AD414,AF414,AH414,AJ414,AL414,AN414,AP414,AR414,AT414,AV414,AX414,AZ414),0)))</x:f>
        <x:v>v1.4.20</x:v>
      </x:c>
      <x:c r="BD414" s="14" t="n">
        <x:f>LET(m,MIN(IF(E414&gt;0,E414,1E+99),IF(G414&gt;0,G414,1E+99),IF(I414&gt;0,I414,1E+99),IF(K414&gt;0,K414,1E+99),IF(M414&gt;0,M414,1E+99),IF(O414&gt;0,O414,1E+99),IF(Q414&gt;0,Q414,1E+99),IF(S414&gt;0,S414,1E+99),IF(U414&gt;0,U414,1E+99),IF(W414&gt;0,W414,1E+99),IF(Y414&gt;0,Y414,1E+99),IF(AA414&gt;0,AA414,1E+99),IF(AC414&gt;0,AC414,1E+99),IF(AE414&gt;0,AE414,1E+99),IF(AG414&gt;0,AG414,1E+99),IF(AI414&gt;0,AI414,1E+99),IF(AK414&gt;0,AK414,1E+99),IF(AM414&gt;0,AM414,1E+99),IF(AO414&gt;0,AO414,1E+99),IF(AQ414&gt;0,AQ414,1E+99),IF(AS414&gt;0,AS414,1E+99),IF(AU414&gt;0,AU414,1E+99),IF(AW414&gt;0,AW414,1E+99),IF(AY414&gt;0,AY414,1E+99),IF(BA414&gt;0,BA414,1E+99)),IF(m=1E+99,"",m))</x:f>
        <x:v>14.284</x:v>
      </x:c>
      <x:c r="BE414" s="16" t="str">
        <x:f>IF(BD414="","",INDEX({"v1.4.20","v1.4.20","v1.4.21","v1.4.21","v1.4.23","v1.4.23","v1.4.26","v1.4.26","v1.4.26.1","v1.4.26.1","v1.4.27","v1.4.27","v1.4.29","v1.4.29","v1.4.30","v1.4.30","v1.4.31","v1.4.31","v1.4.33","v1.4.33","v1.4.35","v1.4.35.2","v1.5","v1.5.1","v1.5.1"},MATCH(BD414,CHOOSE({1,2,3,4,5,6,7,8,9,10,11,12,13,14,15,16,17,18,19,20,21,22,23,24,25},E414,G414,I414,K414,M414,O414,Q414,S414,U414,W414,Y414,AA414,AC414,AE414,AG414,AI414,AK414,AM414,AO414,AQ414,AS414,AU414,AW414,AY414,BA414),0)))</x:f>
        <x:v>v1.4.20</x:v>
      </x:c>
      <x:c r="BF414" s="10" t="n">
        <x:f>IFERROR((AX414-BB414)/BB414,"")</x:f>
        <x:v>-1</x:v>
      </x:c>
      <x:c r="BG414" s="10" t="n">
        <x:f>IFERROR((AY414-BD414)/BD414,"")</x:f>
        <x:v>-1</x:v>
      </x:c>
    </x:row>
    <x:row r="415">
      <x:c r="A415" t="str">
        <x:v>Unlocked Care Plan</x:v>
      </x:c>
      <x:c r="B415" t="str">
        <x:v>Format Unlocked Care Plan Report</x:v>
      </x:c>
      <x:c r="C415" t="str">
        <x:v>Ensure frozen columns: Template - Unlocked Care Plan</x:v>
      </x:c>
      <x:c r="D415" s="8" t="n">
        <x:v>0.777</x:v>
      </x:c>
      <x:c r="E415" s="8" t="n">
        <x:v>17.063</x:v>
      </x:c>
      <x:c r="F415" s="8" t="n">
        <x:v>0.777</x:v>
      </x:c>
      <x:c r="G415" s="8" t="n">
        <x:v>17.063</x:v>
      </x:c>
      <x:c r="H415" s="8" t="n">
        <x:v>0.679</x:v>
      </x:c>
      <x:c r="I415" s="8" t="n">
        <x:v>21.064</x:v>
      </x:c>
      <x:c r="J415" s="8" t="n">
        <x:v>0.679</x:v>
      </x:c>
      <x:c r="K415" s="8" t="n">
        <x:v>21.064</x:v>
      </x:c>
      <x:c r="L415" s="8"/>
      <x:c r="M415" s="8"/>
      <x:c r="N415" s="8"/>
      <x:c r="O415" s="8"/>
      <x:c r="P415" s="8"/>
      <x:c r="Q415" s="8"/>
      <x:c r="R415" s="8"/>
      <x:c r="S415" s="8"/>
      <x:c r="T415" s="8"/>
      <x:c r="U415" s="8"/>
      <x:c r="V415" s="8"/>
      <x:c r="W415" s="8"/>
      <x:c r="X415" s="8"/>
      <x:c r="Y415" s="8"/>
      <x:c r="Z415" s="8"/>
      <x:c r="AA415" s="8"/>
      <x:c r="AB415" s="8"/>
      <x:c r="AC415" s="8"/>
      <x:c r="AD415" s="8"/>
      <x:c r="AE415" s="8"/>
      <x:c r="AF415" s="8"/>
      <x:c r="AG415" s="8"/>
      <x:c r="AH415" s="8"/>
      <x:c r="AI415" s="8"/>
      <x:c r="AJ415" s="8"/>
      <x:c r="AK415" s="8"/>
      <x:c r="AL415" s="8"/>
      <x:c r="AM415" s="8"/>
      <x:c r="AN415" s="8"/>
      <x:c r="AO415" s="8"/>
      <x:c r="AP415" s="8"/>
      <x:c r="AQ415" s="8"/>
      <x:c r="AR415" s="8"/>
      <x:c r="AS415" s="8"/>
      <x:c r="AT415" s="8"/>
      <x:c r="AU415" s="8"/>
      <x:c r="AV415" s="8"/>
      <x:c r="AW415" s="8"/>
      <x:c r="AX415" s="8"/>
      <x:c r="AY415" s="8"/>
      <x:c r="AZ415" s="8"/>
      <x:c r="BA415" s="8"/>
      <x:c r="BB415" s="8" t="n">
        <x:f>LET(m,MIN(IF(D415&gt;0,D415,1E+99),IF(F415&gt;0,F415,1E+99),IF(H415&gt;0,H415,1E+99),IF(J415&gt;0,J415,1E+99),IF(L415&gt;0,L415,1E+99),IF(N415&gt;0,N415,1E+99),IF(P415&gt;0,P415,1E+99),IF(R415&gt;0,R415,1E+99),IF(T415&gt;0,T415,1E+99),IF(V415&gt;0,V415,1E+99),IF(X415&gt;0,X415,1E+99),IF(Z415&gt;0,Z415,1E+99),IF(AB415&gt;0,AB415,1E+99),IF(AD415&gt;0,AD415,1E+99),IF(AF415&gt;0,AF415,1E+99),IF(AH415&gt;0,AH415,1E+99),IF(AJ415&gt;0,AJ415,1E+99),IF(AL415&gt;0,AL415,1E+99),IF(AN415&gt;0,AN415,1E+99),IF(AP415&gt;0,AP415,1E+99),IF(AR415&gt;0,AR415,1E+99),IF(AT415&gt;0,AT415,1E+99),IF(AV415&gt;0,AV415,1E+99),IF(AX415&gt;0,AX415,1E+99),IF(AZ415&gt;0,AZ415,1E+99)),IF(m=1E+99,"",m))</x:f>
        <x:v>0.679</x:v>
      </x:c>
      <x:c r="BC415" s="12" t="e">
        <x:f>IF(BB415="","",INDEX({"v1.4.20","v1.4.20","v1.4.21","v1.4.21","v1.4.23","v1.4.23","v1.4.26","v1.4.26","v1.4.26.1","v1.4.26.1","v1.4.27","v1.4.27","v1.4.29","v1.4.29","v1.4.30","v1.4.30","v1.4.31","v1.4.31","v1.4.33","v1.4.33","v1.4.35","v1.4.35.2","v1.5","v1.5.1","v1.5.1"},MATCH(BB415,CHOOSE({1,2,3,4,5,6,7,8,9,10,11,12,13,14,15,16,17,18,19,20,21,22,23,24,25},D415,F415,H415,J415,L415,N415,P415,R415,T415,V415,X415,Z415,AB415,AD415,AF415,AH415,AJ415,AL415,AN415,AP415,AR415,AT415,AV415,AX415,AZ415),0)))</x:f>
      </x:c>
      <x:c r="BD415" s="14" t="n">
        <x:f>LET(m,MIN(IF(E415&gt;0,E415,1E+99),IF(G415&gt;0,G415,1E+99),IF(I415&gt;0,I415,1E+99),IF(K415&gt;0,K415,1E+99),IF(M415&gt;0,M415,1E+99),IF(O415&gt;0,O415,1E+99),IF(Q415&gt;0,Q415,1E+99),IF(S415&gt;0,S415,1E+99),IF(U415&gt;0,U415,1E+99),IF(W415&gt;0,W415,1E+99),IF(Y415&gt;0,Y415,1E+99),IF(AA415&gt;0,AA415,1E+99),IF(AC415&gt;0,AC415,1E+99),IF(AE415&gt;0,AE415,1E+99),IF(AG415&gt;0,AG415,1E+99),IF(AI415&gt;0,AI415,1E+99),IF(AK415&gt;0,AK415,1E+99),IF(AM415&gt;0,AM415,1E+99),IF(AO415&gt;0,AO415,1E+99),IF(AQ415&gt;0,AQ415,1E+99),IF(AS415&gt;0,AS415,1E+99),IF(AU415&gt;0,AU415,1E+99),IF(AW415&gt;0,AW415,1E+99),IF(AY415&gt;0,AY415,1E+99),IF(BA415&gt;0,BA415,1E+99)),IF(m=1E+99,"",m))</x:f>
        <x:v>17.063</x:v>
      </x:c>
      <x:c r="BE415" s="16" t="str">
        <x:f>IF(BD415="","",INDEX({"v1.4.20","v1.4.20","v1.4.21","v1.4.21","v1.4.23","v1.4.23","v1.4.26","v1.4.26","v1.4.26.1","v1.4.26.1","v1.4.27","v1.4.27","v1.4.29","v1.4.29","v1.4.30","v1.4.30","v1.4.31","v1.4.31","v1.4.33","v1.4.33","v1.4.35","v1.4.35.2","v1.5","v1.5.1","v1.5.1"},MATCH(BD415,CHOOSE({1,2,3,4,5,6,7,8,9,10,11,12,13,14,15,16,17,18,19,20,21,22,23,24,25},E415,G415,I415,K415,M415,O415,Q415,S415,U415,W415,Y415,AA415,AC415,AE415,AG415,AI415,AK415,AM415,AO415,AQ415,AS415,AU415,AW415,AY415,BA415),0)))</x:f>
        <x:v>v1.4.20</x:v>
      </x:c>
      <x:c r="BF415" s="10" t="n">
        <x:f>IFERROR((AX415-BB415)/BB415,"")</x:f>
        <x:v>-1</x:v>
      </x:c>
      <x:c r="BG415" s="10" t="n">
        <x:f>IFERROR((AY415-BD415)/BD415,"")</x:f>
        <x:v>-1</x:v>
      </x:c>
    </x:row>
    <x:row r="416">
      <x:c r="A416" t="str">
        <x:v>Unlocked Care Plan</x:v>
      </x:c>
      <x:c r="B416" t="str">
        <x:v>Format Unlocked Care Plan Report</x:v>
      </x:c>
      <x:c r="C416" t="str">
        <x:v>Ensure frozen rows: Template - Unlocked Care Plan</x:v>
      </x:c>
      <x:c r="D416" s="8" t="n">
        <x:v>1.994</x:v>
      </x:c>
      <x:c r="E416" s="8" t="n">
        <x:v>16.286</x:v>
      </x:c>
      <x:c r="F416" s="8" t="n">
        <x:v>1.994</x:v>
      </x:c>
      <x:c r="G416" s="8" t="n">
        <x:v>16.286</x:v>
      </x:c>
      <x:c r="H416" s="8" t="n">
        <x:v>1.63</x:v>
      </x:c>
      <x:c r="I416" s="8" t="n">
        <x:v>20.385</x:v>
      </x:c>
      <x:c r="J416" s="8" t="n">
        <x:v>1.63</x:v>
      </x:c>
      <x:c r="K416" s="8" t="n">
        <x:v>20.385</x:v>
      </x:c>
      <x:c r="L416" s="8"/>
      <x:c r="M416" s="8"/>
      <x:c r="N416" s="8"/>
      <x:c r="O416" s="8"/>
      <x:c r="P416" s="8"/>
      <x:c r="Q416" s="8"/>
      <x:c r="R416" s="8"/>
      <x:c r="S416" s="8"/>
      <x:c r="T416" s="8"/>
      <x:c r="U416" s="8"/>
      <x:c r="V416" s="8"/>
      <x:c r="W416" s="8"/>
      <x:c r="X416" s="8"/>
      <x:c r="Y416" s="8"/>
      <x:c r="Z416" s="8"/>
      <x:c r="AA416" s="8"/>
      <x:c r="AB416" s="8"/>
      <x:c r="AC416" s="8"/>
      <x:c r="AD416" s="8"/>
      <x:c r="AE416" s="8"/>
      <x:c r="AF416" s="8"/>
      <x:c r="AG416" s="8"/>
      <x:c r="AH416" s="8"/>
      <x:c r="AI416" s="8"/>
      <x:c r="AJ416" s="8"/>
      <x:c r="AK416" s="8"/>
      <x:c r="AL416" s="8"/>
      <x:c r="AM416" s="8"/>
      <x:c r="AN416" s="8"/>
      <x:c r="AO416" s="8"/>
      <x:c r="AP416" s="8"/>
      <x:c r="AQ416" s="8"/>
      <x:c r="AR416" s="8"/>
      <x:c r="AS416" s="8"/>
      <x:c r="AT416" s="8"/>
      <x:c r="AU416" s="8"/>
      <x:c r="AV416" s="8"/>
      <x:c r="AW416" s="8"/>
      <x:c r="AX416" s="8"/>
      <x:c r="AY416" s="8"/>
      <x:c r="AZ416" s="8"/>
      <x:c r="BA416" s="8"/>
      <x:c r="BB416" s="8" t="n">
        <x:f>LET(m,MIN(IF(D416&gt;0,D416,1E+99),IF(F416&gt;0,F416,1E+99),IF(H416&gt;0,H416,1E+99),IF(J416&gt;0,J416,1E+99),IF(L416&gt;0,L416,1E+99),IF(N416&gt;0,N416,1E+99),IF(P416&gt;0,P416,1E+99),IF(R416&gt;0,R416,1E+99),IF(T416&gt;0,T416,1E+99),IF(V416&gt;0,V416,1E+99),IF(X416&gt;0,X416,1E+99),IF(Z416&gt;0,Z416,1E+99),IF(AB416&gt;0,AB416,1E+99),IF(AD416&gt;0,AD416,1E+99),IF(AF416&gt;0,AF416,1E+99),IF(AH416&gt;0,AH416,1E+99),IF(AJ416&gt;0,AJ416,1E+99),IF(AL416&gt;0,AL416,1E+99),IF(AN416&gt;0,AN416,1E+99),IF(AP416&gt;0,AP416,1E+99),IF(AR416&gt;0,AR416,1E+99),IF(AT416&gt;0,AT416,1E+99),IF(AV416&gt;0,AV416,1E+99),IF(AX416&gt;0,AX416,1E+99),IF(AZ416&gt;0,AZ416,1E+99)),IF(m=1E+99,"",m))</x:f>
        <x:v>1.63</x:v>
      </x:c>
      <x:c r="BC416" s="12" t="e">
        <x:f>IF(BB416="","",INDEX({"v1.4.20","v1.4.20","v1.4.21","v1.4.21","v1.4.23","v1.4.23","v1.4.26","v1.4.26","v1.4.26.1","v1.4.26.1","v1.4.27","v1.4.27","v1.4.29","v1.4.29","v1.4.30","v1.4.30","v1.4.31","v1.4.31","v1.4.33","v1.4.33","v1.4.35","v1.4.35.2","v1.5","v1.5.1","v1.5.1"},MATCH(BB416,CHOOSE({1,2,3,4,5,6,7,8,9,10,11,12,13,14,15,16,17,18,19,20,21,22,23,24,25},D416,F416,H416,J416,L416,N416,P416,R416,T416,V416,X416,Z416,AB416,AD416,AF416,AH416,AJ416,AL416,AN416,AP416,AR416,AT416,AV416,AX416,AZ416),0)))</x:f>
      </x:c>
      <x:c r="BD416" s="14" t="n">
        <x:f>LET(m,MIN(IF(E416&gt;0,E416,1E+99),IF(G416&gt;0,G416,1E+99),IF(I416&gt;0,I416,1E+99),IF(K416&gt;0,K416,1E+99),IF(M416&gt;0,M416,1E+99),IF(O416&gt;0,O416,1E+99),IF(Q416&gt;0,Q416,1E+99),IF(S416&gt;0,S416,1E+99),IF(U416&gt;0,U416,1E+99),IF(W416&gt;0,W416,1E+99),IF(Y416&gt;0,Y416,1E+99),IF(AA416&gt;0,AA416,1E+99),IF(AC416&gt;0,AC416,1E+99),IF(AE416&gt;0,AE416,1E+99),IF(AG416&gt;0,AG416,1E+99),IF(AI416&gt;0,AI416,1E+99),IF(AK416&gt;0,AK416,1E+99),IF(AM416&gt;0,AM416,1E+99),IF(AO416&gt;0,AO416,1E+99),IF(AQ416&gt;0,AQ416,1E+99),IF(AS416&gt;0,AS416,1E+99),IF(AU416&gt;0,AU416,1E+99),IF(AW416&gt;0,AW416,1E+99),IF(AY416&gt;0,AY416,1E+99),IF(BA416&gt;0,BA416,1E+99)),IF(m=1E+99,"",m))</x:f>
        <x:v>16.286</x:v>
      </x:c>
      <x:c r="BE416" s="16" t="str">
        <x:f>IF(BD416="","",INDEX({"v1.4.20","v1.4.20","v1.4.21","v1.4.21","v1.4.23","v1.4.23","v1.4.26","v1.4.26","v1.4.26.1","v1.4.26.1","v1.4.27","v1.4.27","v1.4.29","v1.4.29","v1.4.30","v1.4.30","v1.4.31","v1.4.31","v1.4.33","v1.4.33","v1.4.35","v1.4.35.2","v1.5","v1.5.1","v1.5.1"},MATCH(BD416,CHOOSE({1,2,3,4,5,6,7,8,9,10,11,12,13,14,15,16,17,18,19,20,21,22,23,24,25},E416,G416,I416,K416,M416,O416,Q416,S416,U416,W416,Y416,AA416,AC416,AE416,AG416,AI416,AK416,AM416,AO416,AQ416,AS416,AU416,AW416,AY416,BA416),0)))</x:f>
        <x:v>v1.4.20</x:v>
      </x:c>
      <x:c r="BF416" s="10" t="n">
        <x:f>IFERROR((AX416-BB416)/BB416,"")</x:f>
        <x:v>-1</x:v>
      </x:c>
      <x:c r="BG416" s="10" t="n">
        <x:f>IFERROR((AY416-BD416)/BD416,"")</x:f>
        <x:v>-1</x:v>
      </x:c>
    </x:row>
    <x:row r="417">
      <x:c r="A417" t="str">
        <x:v>Unlocked Care Plan</x:v>
      </x:c>
      <x:c r="B417" t="str">
        <x:v>Format Unlocked Care Plan Report</x:v>
      </x:c>
      <x:c r="C417" t="str">
        <x:v>Ensure tab color: Template - Unlocked Care Plan</x:v>
      </x:c>
      <x:c r="D417" s="8" t="n">
        <x:v>0.806</x:v>
      </x:c>
      <x:c r="E417" s="8" t="n">
        <x:v>17.869</x:v>
      </x:c>
      <x:c r="F417" s="8" t="n">
        <x:v>0.806</x:v>
      </x:c>
      <x:c r="G417" s="8" t="n">
        <x:v>17.869</x:v>
      </x:c>
      <x:c r="H417" s="8" t="n">
        <x:v>0.791</x:v>
      </x:c>
      <x:c r="I417" s="8" t="n">
        <x:v>21.855</x:v>
      </x:c>
      <x:c r="J417" s="8" t="n">
        <x:v>0.791</x:v>
      </x:c>
      <x:c r="K417" s="8" t="n">
        <x:v>21.855</x:v>
      </x:c>
      <x:c r="L417" s="8"/>
      <x:c r="M417" s="8"/>
      <x:c r="N417" s="8"/>
      <x:c r="O417" s="8"/>
      <x:c r="P417" s="8"/>
      <x:c r="Q417" s="8"/>
      <x:c r="R417" s="8"/>
      <x:c r="S417" s="8"/>
      <x:c r="T417" s="8"/>
      <x:c r="U417" s="8"/>
      <x:c r="V417" s="8"/>
      <x:c r="W417" s="8"/>
      <x:c r="X417" s="8"/>
      <x:c r="Y417" s="8"/>
      <x:c r="Z417" s="8"/>
      <x:c r="AA417" s="8"/>
      <x:c r="AB417" s="8"/>
      <x:c r="AC417" s="8"/>
      <x:c r="AD417" s="8"/>
      <x:c r="AE417" s="8"/>
      <x:c r="AF417" s="8"/>
      <x:c r="AG417" s="8"/>
      <x:c r="AH417" s="8"/>
      <x:c r="AI417" s="8"/>
      <x:c r="AJ417" s="8"/>
      <x:c r="AK417" s="8"/>
      <x:c r="AL417" s="8"/>
      <x:c r="AM417" s="8"/>
      <x:c r="AN417" s="8"/>
      <x:c r="AO417" s="8"/>
      <x:c r="AP417" s="8"/>
      <x:c r="AQ417" s="8"/>
      <x:c r="AR417" s="8"/>
      <x:c r="AS417" s="8"/>
      <x:c r="AT417" s="8"/>
      <x:c r="AU417" s="8"/>
      <x:c r="AV417" s="8"/>
      <x:c r="AW417" s="8"/>
      <x:c r="AX417" s="8"/>
      <x:c r="AY417" s="8"/>
      <x:c r="AZ417" s="8"/>
      <x:c r="BA417" s="8"/>
      <x:c r="BB417" s="8" t="n">
        <x:f>LET(m,MIN(IF(D417&gt;0,D417,1E+99),IF(F417&gt;0,F417,1E+99),IF(H417&gt;0,H417,1E+99),IF(J417&gt;0,J417,1E+99),IF(L417&gt;0,L417,1E+99),IF(N417&gt;0,N417,1E+99),IF(P417&gt;0,P417,1E+99),IF(R417&gt;0,R417,1E+99),IF(T417&gt;0,T417,1E+99),IF(V417&gt;0,V417,1E+99),IF(X417&gt;0,X417,1E+99),IF(Z417&gt;0,Z417,1E+99),IF(AB417&gt;0,AB417,1E+99),IF(AD417&gt;0,AD417,1E+99),IF(AF417&gt;0,AF417,1E+99),IF(AH417&gt;0,AH417,1E+99),IF(AJ417&gt;0,AJ417,1E+99),IF(AL417&gt;0,AL417,1E+99),IF(AN417&gt;0,AN417,1E+99),IF(AP417&gt;0,AP417,1E+99),IF(AR417&gt;0,AR417,1E+99),IF(AT417&gt;0,AT417,1E+99),IF(AV417&gt;0,AV417,1E+99),IF(AX417&gt;0,AX417,1E+99),IF(AZ417&gt;0,AZ417,1E+99)),IF(m=1E+99,"",m))</x:f>
        <x:v>0.791</x:v>
      </x:c>
      <x:c r="BC417" s="12" t="e">
        <x:f>IF(BB417="","",INDEX({"v1.4.20","v1.4.20","v1.4.21","v1.4.21","v1.4.23","v1.4.23","v1.4.26","v1.4.26","v1.4.26.1","v1.4.26.1","v1.4.27","v1.4.27","v1.4.29","v1.4.29","v1.4.30","v1.4.30","v1.4.31","v1.4.31","v1.4.33","v1.4.33","v1.4.35","v1.4.35.2","v1.5","v1.5.1","v1.5.1"},MATCH(BB417,CHOOSE({1,2,3,4,5,6,7,8,9,10,11,12,13,14,15,16,17,18,19,20,21,22,23,24,25},D417,F417,H417,J417,L417,N417,P417,R417,T417,V417,X417,Z417,AB417,AD417,AF417,AH417,AJ417,AL417,AN417,AP417,AR417,AT417,AV417,AX417,AZ417),0)))</x:f>
      </x:c>
      <x:c r="BD417" s="14" t="n">
        <x:f>LET(m,MIN(IF(E417&gt;0,E417,1E+99),IF(G417&gt;0,G417,1E+99),IF(I417&gt;0,I417,1E+99),IF(K417&gt;0,K417,1E+99),IF(M417&gt;0,M417,1E+99),IF(O417&gt;0,O417,1E+99),IF(Q417&gt;0,Q417,1E+99),IF(S417&gt;0,S417,1E+99),IF(U417&gt;0,U417,1E+99),IF(W417&gt;0,W417,1E+99),IF(Y417&gt;0,Y417,1E+99),IF(AA417&gt;0,AA417,1E+99),IF(AC417&gt;0,AC417,1E+99),IF(AE417&gt;0,AE417,1E+99),IF(AG417&gt;0,AG417,1E+99),IF(AI417&gt;0,AI417,1E+99),IF(AK417&gt;0,AK417,1E+99),IF(AM417&gt;0,AM417,1E+99),IF(AO417&gt;0,AO417,1E+99),IF(AQ417&gt;0,AQ417,1E+99),IF(AS417&gt;0,AS417,1E+99),IF(AU417&gt;0,AU417,1E+99),IF(AW417&gt;0,AW417,1E+99),IF(AY417&gt;0,AY417,1E+99),IF(BA417&gt;0,BA417,1E+99)),IF(m=1E+99,"",m))</x:f>
        <x:v>17.869</x:v>
      </x:c>
      <x:c r="BE417" s="16" t="str">
        <x:f>IF(BD417="","",INDEX({"v1.4.20","v1.4.20","v1.4.21","v1.4.21","v1.4.23","v1.4.23","v1.4.26","v1.4.26","v1.4.26.1","v1.4.26.1","v1.4.27","v1.4.27","v1.4.29","v1.4.29","v1.4.30","v1.4.30","v1.4.31","v1.4.31","v1.4.33","v1.4.33","v1.4.35","v1.4.35.2","v1.5","v1.5.1","v1.5.1"},MATCH(BD417,CHOOSE({1,2,3,4,5,6,7,8,9,10,11,12,13,14,15,16,17,18,19,20,21,22,23,24,25},E417,G417,I417,K417,M417,O417,Q417,S417,U417,W417,Y417,AA417,AC417,AE417,AG417,AI417,AK417,AM417,AO417,AQ417,AS417,AU417,AW417,AY417,BA417),0)))</x:f>
        <x:v>v1.4.20</x:v>
      </x:c>
      <x:c r="BF417" s="10" t="n">
        <x:f>IFERROR((AX417-BB417)/BB417,"")</x:f>
        <x:v>-1</x:v>
      </x:c>
      <x:c r="BG417" s="10" t="n">
        <x:f>IFERROR((AY417-BD417)/BD417,"")</x:f>
        <x:v>-1</x:v>
      </x:c>
    </x:row>
    <x:row r="418">
      <x:c r="A418" t="str">
        <x:v>Unlocked Care Plan</x:v>
      </x:c>
      <x:c r="B418" t="str">
        <x:v>Format Unlocked Care Plan Report</x:v>
      </x:c>
      <x:c r="C418" t="str">
        <x:v>No existing filter to remove: Template - Unlocked Care Plan</x:v>
      </x:c>
      <x:c r="D418" s="8" t="n">
        <x:v>0.754</x:v>
      </x:c>
      <x:c r="E418" s="8" t="n">
        <x:v>12.533</x:v>
      </x:c>
      <x:c r="F418" s="8" t="n">
        <x:v>0.754</x:v>
      </x:c>
      <x:c r="G418" s="8" t="n">
        <x:v>12.533</x:v>
      </x:c>
      <x:c r="H418" s="8" t="n">
        <x:v>0.911</x:v>
      </x:c>
      <x:c r="I418" s="8" t="n">
        <x:v>16.413</x:v>
      </x:c>
      <x:c r="J418" s="8" t="n">
        <x:v>0.911</x:v>
      </x:c>
      <x:c r="K418" s="8" t="n">
        <x:v>16.413</x:v>
      </x:c>
      <x:c r="L418" s="8"/>
      <x:c r="M418" s="8"/>
      <x:c r="N418" s="8"/>
      <x:c r="O418" s="8"/>
      <x:c r="P418" s="8"/>
      <x:c r="Q418" s="8"/>
      <x:c r="R418" s="8"/>
      <x:c r="S418" s="8"/>
      <x:c r="T418" s="8"/>
      <x:c r="U418" s="8"/>
      <x:c r="V418" s="8"/>
      <x:c r="W418" s="8"/>
      <x:c r="X418" s="8"/>
      <x:c r="Y418" s="8"/>
      <x:c r="Z418" s="8"/>
      <x:c r="AA418" s="8"/>
      <x:c r="AB418" s="8"/>
      <x:c r="AC418" s="8"/>
      <x:c r="AD418" s="8"/>
      <x:c r="AE418" s="8"/>
      <x:c r="AF418" s="8"/>
      <x:c r="AG418" s="8"/>
      <x:c r="AH418" s="8"/>
      <x:c r="AI418" s="8"/>
      <x:c r="AJ418" s="8"/>
      <x:c r="AK418" s="8"/>
      <x:c r="AL418" s="8"/>
      <x:c r="AM418" s="8"/>
      <x:c r="AN418" s="8"/>
      <x:c r="AO418" s="8"/>
      <x:c r="AP418" s="8"/>
      <x:c r="AQ418" s="8"/>
      <x:c r="AR418" s="8"/>
      <x:c r="AS418" s="8"/>
      <x:c r="AT418" s="8"/>
      <x:c r="AU418" s="8"/>
      <x:c r="AV418" s="8"/>
      <x:c r="AW418" s="8"/>
      <x:c r="AX418" s="8"/>
      <x:c r="AY418" s="8"/>
      <x:c r="AZ418" s="8"/>
      <x:c r="BA418" s="8"/>
      <x:c r="BB418" s="8" t="n">
        <x:f>LET(m,MIN(IF(D418&gt;0,D418,1E+99),IF(F418&gt;0,F418,1E+99),IF(H418&gt;0,H418,1E+99),IF(J418&gt;0,J418,1E+99),IF(L418&gt;0,L418,1E+99),IF(N418&gt;0,N418,1E+99),IF(P418&gt;0,P418,1E+99),IF(R418&gt;0,R418,1E+99),IF(T418&gt;0,T418,1E+99),IF(V418&gt;0,V418,1E+99),IF(X418&gt;0,X418,1E+99),IF(Z418&gt;0,Z418,1E+99),IF(AB418&gt;0,AB418,1E+99),IF(AD418&gt;0,AD418,1E+99),IF(AF418&gt;0,AF418,1E+99),IF(AH418&gt;0,AH418,1E+99),IF(AJ418&gt;0,AJ418,1E+99),IF(AL418&gt;0,AL418,1E+99),IF(AN418&gt;0,AN418,1E+99),IF(AP418&gt;0,AP418,1E+99),IF(AR418&gt;0,AR418,1E+99),IF(AT418&gt;0,AT418,1E+99),IF(AV418&gt;0,AV418,1E+99),IF(AX418&gt;0,AX418,1E+99),IF(AZ418&gt;0,AZ418,1E+99)),IF(m=1E+99,"",m))</x:f>
        <x:v>0.754</x:v>
      </x:c>
      <x:c r="BC418" s="12" t="str">
        <x:f>IF(BB418="","",INDEX({"v1.4.20","v1.4.20","v1.4.21","v1.4.21","v1.4.23","v1.4.23","v1.4.26","v1.4.26","v1.4.26.1","v1.4.26.1","v1.4.27","v1.4.27","v1.4.29","v1.4.29","v1.4.30","v1.4.30","v1.4.31","v1.4.31","v1.4.33","v1.4.33","v1.4.35","v1.4.35.2","v1.5","v1.5.1","v1.5.1"},MATCH(BB418,CHOOSE({1,2,3,4,5,6,7,8,9,10,11,12,13,14,15,16,17,18,19,20,21,22,23,24,25},D418,F418,H418,J418,L418,N418,P418,R418,T418,V418,X418,Z418,AB418,AD418,AF418,AH418,AJ418,AL418,AN418,AP418,AR418,AT418,AV418,AX418,AZ418),0)))</x:f>
        <x:v>v1.4.20</x:v>
      </x:c>
      <x:c r="BD418" s="14" t="n">
        <x:f>LET(m,MIN(IF(E418&gt;0,E418,1E+99),IF(G418&gt;0,G418,1E+99),IF(I418&gt;0,I418,1E+99),IF(K418&gt;0,K418,1E+99),IF(M418&gt;0,M418,1E+99),IF(O418&gt;0,O418,1E+99),IF(Q418&gt;0,Q418,1E+99),IF(S418&gt;0,S418,1E+99),IF(U418&gt;0,U418,1E+99),IF(W418&gt;0,W418,1E+99),IF(Y418&gt;0,Y418,1E+99),IF(AA418&gt;0,AA418,1E+99),IF(AC418&gt;0,AC418,1E+99),IF(AE418&gt;0,AE418,1E+99),IF(AG418&gt;0,AG418,1E+99),IF(AI418&gt;0,AI418,1E+99),IF(AK418&gt;0,AK418,1E+99),IF(AM418&gt;0,AM418,1E+99),IF(AO418&gt;0,AO418,1E+99),IF(AQ418&gt;0,AQ418,1E+99),IF(AS418&gt;0,AS418,1E+99),IF(AU418&gt;0,AU418,1E+99),IF(AW418&gt;0,AW418,1E+99),IF(AY418&gt;0,AY418,1E+99),IF(BA418&gt;0,BA418,1E+99)),IF(m=1E+99,"",m))</x:f>
        <x:v>12.533</x:v>
      </x:c>
      <x:c r="BE418" s="16" t="str">
        <x:f>IF(BD418="","",INDEX({"v1.4.20","v1.4.20","v1.4.21","v1.4.21","v1.4.23","v1.4.23","v1.4.26","v1.4.26","v1.4.26.1","v1.4.26.1","v1.4.27","v1.4.27","v1.4.29","v1.4.29","v1.4.30","v1.4.30","v1.4.31","v1.4.31","v1.4.33","v1.4.33","v1.4.35","v1.4.35.2","v1.5","v1.5.1","v1.5.1"},MATCH(BD418,CHOOSE({1,2,3,4,5,6,7,8,9,10,11,12,13,14,15,16,17,18,19,20,21,22,23,24,25},E418,G418,I418,K418,M418,O418,Q418,S418,U418,W418,Y418,AA418,AC418,AE418,AG418,AI418,AK418,AM418,AO418,AQ418,AS418,AU418,AW418,AY418,BA418),0)))</x:f>
        <x:v>v1.4.20</x:v>
      </x:c>
      <x:c r="BF418" s="10" t="n">
        <x:f>IFERROR((AX418-BB418)/BB418,"")</x:f>
        <x:v>-1</x:v>
      </x:c>
      <x:c r="BG418" s="10" t="n">
        <x:f>IFERROR((AY418-BD418)/BD418,"")</x:f>
        <x:v>-1</x:v>
      </x:c>
    </x:row>
    <x:row r="419">
      <x:c r="A419" t="str">
        <x:v>Raw Data</x:v>
      </x:c>
      <x:c r="B419" t="str">
        <x:v>Format Raw Data</x:v>
      </x:c>
      <x:c r="C419" t="str">
        <x:v>Ensure Raw Data title/header row structure</x:v>
      </x:c>
      <x:c r="D419" s="8" t="n">
        <x:v>7.483</x:v>
      </x:c>
      <x:c r="E419" s="8" t="n">
        <x:v>7.483</x:v>
      </x:c>
      <x:c r="F419" s="8" t="n">
        <x:v>7.483</x:v>
      </x:c>
      <x:c r="G419" s="8" t="n">
        <x:v>7.483</x:v>
      </x:c>
      <x:c r="H419" s="8" t="n">
        <x:v>7.747</x:v>
      </x:c>
      <x:c r="I419" s="8" t="n">
        <x:v>7.747</x:v>
      </x:c>
      <x:c r="J419" s="8" t="n">
        <x:v>7.747</x:v>
      </x:c>
      <x:c r="K419" s="8" t="n">
        <x:v>7.747</x:v>
      </x:c>
      <x:c r="L419" s="8" t="n">
        <x:v>7.847</x:v>
      </x:c>
      <x:c r="M419" s="8" t="n">
        <x:v>7.847</x:v>
      </x:c>
      <x:c r="N419" s="8" t="n">
        <x:v>7.847</x:v>
      </x:c>
      <x:c r="O419" s="8" t="n">
        <x:v>7.847</x:v>
      </x:c>
      <x:c r="P419" s="8" t="n">
        <x:v>7.56</x:v>
      </x:c>
      <x:c r="Q419" s="8" t="n">
        <x:v>7.56</x:v>
      </x:c>
      <x:c r="R419" s="8" t="n">
        <x:v>7.56</x:v>
      </x:c>
      <x:c r="S419" s="8" t="n">
        <x:v>7.56</x:v>
      </x:c>
      <x:c r="T419" s="8" t="n">
        <x:v>7.118</x:v>
      </x:c>
      <x:c r="U419" s="8" t="n">
        <x:v>7.118</x:v>
      </x:c>
      <x:c r="V419" s="8" t="n">
        <x:v>7.118</x:v>
      </x:c>
      <x:c r="W419" s="8" t="n">
        <x:v>7.118</x:v>
      </x:c>
      <x:c r="X419" s="8" t="n">
        <x:v>6.515</x:v>
      </x:c>
      <x:c r="Y419" s="8" t="n">
        <x:v>6.515</x:v>
      </x:c>
      <x:c r="Z419" s="8" t="n">
        <x:v>6.515</x:v>
      </x:c>
      <x:c r="AA419" s="8" t="n">
        <x:v>6.515</x:v>
      </x:c>
      <x:c r="AB419" s="8" t="n">
        <x:v>8.249</x:v>
      </x:c>
      <x:c r="AC419" s="8" t="n">
        <x:v>8.249</x:v>
      </x:c>
      <x:c r="AD419" s="8" t="n">
        <x:v>8.249</x:v>
      </x:c>
      <x:c r="AE419" s="8" t="n">
        <x:v>8.249</x:v>
      </x:c>
      <x:c r="AF419" s="8" t="n">
        <x:v>4.739</x:v>
      </x:c>
      <x:c r="AG419" s="8" t="n">
        <x:v>4.739</x:v>
      </x:c>
      <x:c r="AH419" s="8" t="n">
        <x:v>4.739</x:v>
      </x:c>
      <x:c r="AI419" s="8" t="n">
        <x:v>4.739</x:v>
      </x:c>
      <x:c r="AJ419" s="8" t="n">
        <x:v>6.399</x:v>
      </x:c>
      <x:c r="AK419" s="8" t="n">
        <x:v>6.399</x:v>
      </x:c>
      <x:c r="AL419" s="8" t="n">
        <x:v>6.399</x:v>
      </x:c>
      <x:c r="AM419" s="8" t="n">
        <x:v>6.399</x:v>
      </x:c>
      <x:c r="AN419" s="8" t="n">
        <x:v>6.654</x:v>
      </x:c>
      <x:c r="AO419" s="8" t="n">
        <x:v>6.654</x:v>
      </x:c>
      <x:c r="AP419" s="8" t="n">
        <x:v>6.654</x:v>
      </x:c>
      <x:c r="AQ419" s="8" t="n">
        <x:v>6.654</x:v>
      </x:c>
      <x:c r="AR419" s="8"/>
      <x:c r="AS419" s="8"/>
      <x:c r="AT419" s="8" t="n">
        <x:v>4.533</x:v>
      </x:c>
      <x:c r="AU419" s="8" t="n">
        <x:v>4.533</x:v>
      </x:c>
      <x:c r="AV419" s="8" t="n">
        <x:v>6.406</x:v>
      </x:c>
      <x:c r="AW419" s="8" t="n">
        <x:v>6.406</x:v>
      </x:c>
      <x:c r="AX419" s="8" t="n">
        <x:v>8.106</x:v>
      </x:c>
      <x:c r="AY419" s="8" t="n">
        <x:v>8.106</x:v>
      </x:c>
      <x:c r="AZ419" s="8" t="n">
        <x:v>8.106</x:v>
      </x:c>
      <x:c r="BA419" s="8" t="n">
        <x:v>8.106</x:v>
      </x:c>
      <x:c r="BB419" s="8" t="n">
        <x:f>LET(m,MIN(IF(D419&gt;0,D419,1E+99),IF(F419&gt;0,F419,1E+99),IF(H419&gt;0,H419,1E+99),IF(J419&gt;0,J419,1E+99),IF(L419&gt;0,L419,1E+99),IF(N419&gt;0,N419,1E+99),IF(P419&gt;0,P419,1E+99),IF(R419&gt;0,R419,1E+99),IF(T419&gt;0,T419,1E+99),IF(V419&gt;0,V419,1E+99),IF(X419&gt;0,X419,1E+99),IF(Z419&gt;0,Z419,1E+99),IF(AB419&gt;0,AB419,1E+99),IF(AD419&gt;0,AD419,1E+99),IF(AF419&gt;0,AF419,1E+99),IF(AH419&gt;0,AH419,1E+99),IF(AJ419&gt;0,AJ419,1E+99),IF(AL419&gt;0,AL419,1E+99),IF(AN419&gt;0,AN419,1E+99),IF(AP419&gt;0,AP419,1E+99),IF(AR419&gt;0,AR419,1E+99),IF(AT419&gt;0,AT419,1E+99),IF(AV419&gt;0,AV419,1E+99),IF(AX419&gt;0,AX419,1E+99),IF(AZ419&gt;0,AZ419,1E+99)),IF(m=1E+99,"",m))</x:f>
        <x:v>4.533</x:v>
      </x:c>
      <x:c r="BC419" s="12" t="e">
        <x:f>IF(BB419="","",INDEX({"v1.4.20","v1.4.20","v1.4.21","v1.4.21","v1.4.23","v1.4.23","v1.4.26","v1.4.26","v1.4.26.1","v1.4.26.1","v1.4.27","v1.4.27","v1.4.29","v1.4.29","v1.4.30","v1.4.30","v1.4.31","v1.4.31","v1.4.33","v1.4.33","v1.4.35","v1.4.35.2","v1.5","v1.5.1","v1.5.1"},MATCH(BB419,CHOOSE({1,2,3,4,5,6,7,8,9,10,11,12,13,14,15,16,17,18,19,20,21,22,23,24,25},D419,F419,H419,J419,L419,N419,P419,R419,T419,V419,X419,Z419,AB419,AD419,AF419,AH419,AJ419,AL419,AN419,AP419,AR419,AT419,AV419,AX419,AZ419),0)))</x:f>
      </x:c>
      <x:c r="BD419" s="14" t="n">
        <x:f>LET(m,MIN(IF(E419&gt;0,E419,1E+99),IF(G419&gt;0,G419,1E+99),IF(I419&gt;0,I419,1E+99),IF(K419&gt;0,K419,1E+99),IF(M419&gt;0,M419,1E+99),IF(O419&gt;0,O419,1E+99),IF(Q419&gt;0,Q419,1E+99),IF(S419&gt;0,S419,1E+99),IF(U419&gt;0,U419,1E+99),IF(W419&gt;0,W419,1E+99),IF(Y419&gt;0,Y419,1E+99),IF(AA419&gt;0,AA419,1E+99),IF(AC419&gt;0,AC419,1E+99),IF(AE419&gt;0,AE419,1E+99),IF(AG419&gt;0,AG419,1E+99),IF(AI419&gt;0,AI419,1E+99),IF(AK419&gt;0,AK419,1E+99),IF(AM419&gt;0,AM419,1E+99),IF(AO419&gt;0,AO419,1E+99),IF(AQ419&gt;0,AQ419,1E+99),IF(AS419&gt;0,AS419,1E+99),IF(AU419&gt;0,AU419,1E+99),IF(AW419&gt;0,AW419,1E+99),IF(AY419&gt;0,AY419,1E+99),IF(BA419&gt;0,BA419,1E+99)),IF(m=1E+99,"",m))</x:f>
        <x:v>4.533</x:v>
      </x:c>
      <x:c r="BE419" s="16" t="e">
        <x:f>IF(BD419="","",INDEX({"v1.4.20","v1.4.20","v1.4.21","v1.4.21","v1.4.23","v1.4.23","v1.4.26","v1.4.26","v1.4.26.1","v1.4.26.1","v1.4.27","v1.4.27","v1.4.29","v1.4.29","v1.4.30","v1.4.30","v1.4.31","v1.4.31","v1.4.33","v1.4.33","v1.4.35","v1.4.35.2","v1.5","v1.5.1","v1.5.1"},MATCH(BD419,CHOOSE({1,2,3,4,5,6,7,8,9,10,11,12,13,14,15,16,17,18,19,20,21,22,23,24,25},E419,G419,I419,K419,M419,O419,Q419,S419,U419,W419,Y419,AA419,AC419,AE419,AG419,AI419,AK419,AM419,AO419,AQ419,AS419,AU419,AW419,AY419,BA419),0)))</x:f>
      </x:c>
      <x:c r="BF419" s="10" t="n">
        <x:f>IFERROR((AX419-BB419)/BB419,"")</x:f>
        <x:v>0.788219722038385</x:v>
      </x:c>
      <x:c r="BG419" s="10" t="n">
        <x:f>IFERROR((AY419-BD419)/BD419,"")</x:f>
        <x:v>0.788219722038385</x:v>
      </x:c>
    </x:row>
    <x:row r="420">
      <x:c r="A420" t="str">
        <x:v>Raw Data</x:v>
      </x:c>
      <x:c r="B420" t="str">
        <x:v>Format Raw Data</x:v>
      </x:c>
      <x:c r="C420" t="str">
        <x:v>Ensure Raw Data approved sync columns exist</x:v>
      </x:c>
      <x:c r="D420" s="8" t="n">
        <x:v>1.677</x:v>
      </x:c>
      <x:c r="E420" s="8" t="n">
        <x:v>9.16</x:v>
      </x:c>
      <x:c r="F420" s="8" t="n">
        <x:v>1.677</x:v>
      </x:c>
      <x:c r="G420" s="8" t="n">
        <x:v>9.16</x:v>
      </x:c>
      <x:c r="H420" s="8" t="n">
        <x:v>2.38</x:v>
      </x:c>
      <x:c r="I420" s="8" t="n">
        <x:v>10.127</x:v>
      </x:c>
      <x:c r="J420" s="8" t="n">
        <x:v>2.38</x:v>
      </x:c>
      <x:c r="K420" s="8" t="n">
        <x:v>10.127</x:v>
      </x:c>
      <x:c r="L420" s="8" t="n">
        <x:v>4.726</x:v>
      </x:c>
      <x:c r="M420" s="8" t="n">
        <x:v>12.573</x:v>
      </x:c>
      <x:c r="N420" s="8" t="n">
        <x:v>4.726</x:v>
      </x:c>
      <x:c r="O420" s="8" t="n">
        <x:v>12.573</x:v>
      </x:c>
      <x:c r="P420" s="8" t="n">
        <x:v>1.109</x:v>
      </x:c>
      <x:c r="Q420" s="8" t="n">
        <x:v>8.669</x:v>
      </x:c>
      <x:c r="R420" s="8" t="n">
        <x:v>1.109</x:v>
      </x:c>
      <x:c r="S420" s="8" t="n">
        <x:v>8.669</x:v>
      </x:c>
      <x:c r="T420" s="8" t="n">
        <x:v>1.02</x:v>
      </x:c>
      <x:c r="U420" s="8" t="n">
        <x:v>8.138</x:v>
      </x:c>
      <x:c r="V420" s="8" t="n">
        <x:v>1.02</x:v>
      </x:c>
      <x:c r="W420" s="8" t="n">
        <x:v>8.138</x:v>
      </x:c>
      <x:c r="X420" s="8" t="n">
        <x:v>1.35</x:v>
      </x:c>
      <x:c r="Y420" s="8" t="n">
        <x:v>7.865</x:v>
      </x:c>
      <x:c r="Z420" s="8" t="n">
        <x:v>1.35</x:v>
      </x:c>
      <x:c r="AA420" s="8" t="n">
        <x:v>7.865</x:v>
      </x:c>
      <x:c r="AB420" s="8" t="n">
        <x:v>1.266</x:v>
      </x:c>
      <x:c r="AC420" s="8" t="n">
        <x:v>9.515</x:v>
      </x:c>
      <x:c r="AD420" s="8" t="n">
        <x:v>1.266</x:v>
      </x:c>
      <x:c r="AE420" s="8" t="n">
        <x:v>9.515</x:v>
      </x:c>
      <x:c r="AF420" s="8" t="n">
        <x:v>0.917</x:v>
      </x:c>
      <x:c r="AG420" s="8" t="n">
        <x:v>5.656</x:v>
      </x:c>
      <x:c r="AH420" s="8" t="n">
        <x:v>0.917</x:v>
      </x:c>
      <x:c r="AI420" s="8" t="n">
        <x:v>5.656</x:v>
      </x:c>
      <x:c r="AJ420" s="8" t="n">
        <x:v>1.733</x:v>
      </x:c>
      <x:c r="AK420" s="8" t="n">
        <x:v>8.132</x:v>
      </x:c>
      <x:c r="AL420" s="8" t="n">
        <x:v>1.733</x:v>
      </x:c>
      <x:c r="AM420" s="8" t="n">
        <x:v>8.132</x:v>
      </x:c>
      <x:c r="AN420" s="8" t="n">
        <x:v>1.174</x:v>
      </x:c>
      <x:c r="AO420" s="8" t="n">
        <x:v>7.828</x:v>
      </x:c>
      <x:c r="AP420" s="8" t="n">
        <x:v>1.174</x:v>
      </x:c>
      <x:c r="AQ420" s="8" t="n">
        <x:v>7.828</x:v>
      </x:c>
      <x:c r="AR420" s="8"/>
      <x:c r="AS420" s="8"/>
      <x:c r="AT420" s="8" t="n">
        <x:v>1.781</x:v>
      </x:c>
      <x:c r="AU420" s="8" t="n">
        <x:v>6.314</x:v>
      </x:c>
      <x:c r="AV420" s="8" t="n">
        <x:v>1.113</x:v>
      </x:c>
      <x:c r="AW420" s="8" t="n">
        <x:v>7.519</x:v>
      </x:c>
      <x:c r="AX420" s="8" t="n">
        <x:v>1.009</x:v>
      </x:c>
      <x:c r="AY420" s="8" t="n">
        <x:v>9.115</x:v>
      </x:c>
      <x:c r="AZ420" s="8" t="n">
        <x:v>1.009</x:v>
      </x:c>
      <x:c r="BA420" s="8" t="n">
        <x:v>9.115</x:v>
      </x:c>
      <x:c r="BB420" s="8" t="n">
        <x:f>LET(m,MIN(IF(D420&gt;0,D420,1E+99),IF(F420&gt;0,F420,1E+99),IF(H420&gt;0,H420,1E+99),IF(J420&gt;0,J420,1E+99),IF(L420&gt;0,L420,1E+99),IF(N420&gt;0,N420,1E+99),IF(P420&gt;0,P420,1E+99),IF(R420&gt;0,R420,1E+99),IF(T420&gt;0,T420,1E+99),IF(V420&gt;0,V420,1E+99),IF(X420&gt;0,X420,1E+99),IF(Z420&gt;0,Z420,1E+99),IF(AB420&gt;0,AB420,1E+99),IF(AD420&gt;0,AD420,1E+99),IF(AF420&gt;0,AF420,1E+99),IF(AH420&gt;0,AH420,1E+99),IF(AJ420&gt;0,AJ420,1E+99),IF(AL420&gt;0,AL420,1E+99),IF(AN420&gt;0,AN420,1E+99),IF(AP420&gt;0,AP420,1E+99),IF(AR420&gt;0,AR420,1E+99),IF(AT420&gt;0,AT420,1E+99),IF(AV420&gt;0,AV420,1E+99),IF(AX420&gt;0,AX420,1E+99),IF(AZ420&gt;0,AZ420,1E+99)),IF(m=1E+99,"",m))</x:f>
        <x:v>0.917</x:v>
      </x:c>
      <x:c r="BC420" s="12" t="e">
        <x:f>IF(BB420="","",INDEX({"v1.4.20","v1.4.20","v1.4.21","v1.4.21","v1.4.23","v1.4.23","v1.4.26","v1.4.26","v1.4.26.1","v1.4.26.1","v1.4.27","v1.4.27","v1.4.29","v1.4.29","v1.4.30","v1.4.30","v1.4.31","v1.4.31","v1.4.33","v1.4.33","v1.4.35","v1.4.35.2","v1.5","v1.5.1","v1.5.1"},MATCH(BB420,CHOOSE({1,2,3,4,5,6,7,8,9,10,11,12,13,14,15,16,17,18,19,20,21,22,23,24,25},D420,F420,H420,J420,L420,N420,P420,R420,T420,V420,X420,Z420,AB420,AD420,AF420,AH420,AJ420,AL420,AN420,AP420,AR420,AT420,AV420,AX420,AZ420),0)))</x:f>
      </x:c>
      <x:c r="BD420" s="14" t="n">
        <x:f>LET(m,MIN(IF(E420&gt;0,E420,1E+99),IF(G420&gt;0,G420,1E+99),IF(I420&gt;0,I420,1E+99),IF(K420&gt;0,K420,1E+99),IF(M420&gt;0,M420,1E+99),IF(O420&gt;0,O420,1E+99),IF(Q420&gt;0,Q420,1E+99),IF(S420&gt;0,S420,1E+99),IF(U420&gt;0,U420,1E+99),IF(W420&gt;0,W420,1E+99),IF(Y420&gt;0,Y420,1E+99),IF(AA420&gt;0,AA420,1E+99),IF(AC420&gt;0,AC420,1E+99),IF(AE420&gt;0,AE420,1E+99),IF(AG420&gt;0,AG420,1E+99),IF(AI420&gt;0,AI420,1E+99),IF(AK420&gt;0,AK420,1E+99),IF(AM420&gt;0,AM420,1E+99),IF(AO420&gt;0,AO420,1E+99),IF(AQ420&gt;0,AQ420,1E+99),IF(AS420&gt;0,AS420,1E+99),IF(AU420&gt;0,AU420,1E+99),IF(AW420&gt;0,AW420,1E+99),IF(AY420&gt;0,AY420,1E+99),IF(BA420&gt;0,BA420,1E+99)),IF(m=1E+99,"",m))</x:f>
        <x:v>5.656</x:v>
      </x:c>
      <x:c r="BE420" s="16" t="e">
        <x:f>IF(BD420="","",INDEX({"v1.4.20","v1.4.20","v1.4.21","v1.4.21","v1.4.23","v1.4.23","v1.4.26","v1.4.26","v1.4.26.1","v1.4.26.1","v1.4.27","v1.4.27","v1.4.29","v1.4.29","v1.4.30","v1.4.30","v1.4.31","v1.4.31","v1.4.33","v1.4.33","v1.4.35","v1.4.35.2","v1.5","v1.5.1","v1.5.1"},MATCH(BD420,CHOOSE({1,2,3,4,5,6,7,8,9,10,11,12,13,14,15,16,17,18,19,20,21,22,23,24,25},E420,G420,I420,K420,M420,O420,Q420,S420,U420,W420,Y420,AA420,AC420,AE420,AG420,AI420,AK420,AM420,AO420,AQ420,AS420,AU420,AW420,AY420,BA420),0)))</x:f>
      </x:c>
      <x:c r="BF420" s="10" t="n">
        <x:f>IFERROR((AX420-BB420)/BB420,"")</x:f>
        <x:v>0.10032715376226811</x:v>
      </x:c>
      <x:c r="BG420" s="10" t="n">
        <x:f>IFERROR((AY420-BD420)/BD420,"")</x:f>
        <x:v>0.6115629420084867</x:v>
      </x:c>
    </x:row>
    <x:row r="421">
      <x:c r="A421" t="str">
        <x:v>Raw Data</x:v>
      </x:c>
      <x:c r="B421" t="str">
        <x:v>Format Raw Data</x:v>
      </x:c>
      <x:c r="C421" t="str">
        <x:v>Apply Raw Data dashboard template formatting</x:v>
      </x:c>
      <x:c r="D421" s="8" t="n">
        <x:v>3.613</x:v>
      </x:c>
      <x:c r="E421" s="8" t="n">
        <x:v>39.512</x:v>
      </x:c>
      <x:c r="F421" s="8" t="n">
        <x:v>3.613</x:v>
      </x:c>
      <x:c r="G421" s="8" t="n">
        <x:v>39.512</x:v>
      </x:c>
      <x:c r="H421" s="8" t="n">
        <x:v>3.286</x:v>
      </x:c>
      <x:c r="I421" s="8" t="n">
        <x:v>42.197</x:v>
      </x:c>
      <x:c r="J421" s="8" t="n">
        <x:v>3.286</x:v>
      </x:c>
      <x:c r="K421" s="8" t="n">
        <x:v>42.197</x:v>
      </x:c>
      <x:c r="L421" s="8" t="n">
        <x:v>4.448</x:v>
      </x:c>
      <x:c r="M421" s="8" t="n">
        <x:v>58.099</x:v>
      </x:c>
      <x:c r="N421" s="8" t="n">
        <x:v>4.448</x:v>
      </x:c>
      <x:c r="O421" s="8" t="n">
        <x:v>58.099</x:v>
      </x:c>
      <x:c r="P421" s="8"/>
      <x:c r="Q421" s="8"/>
      <x:c r="R421" s="8"/>
      <x:c r="S421" s="8"/>
      <x:c r="T421" s="8" t="n">
        <x:v>0.937</x:v>
      </x:c>
      <x:c r="U421" s="8" t="n">
        <x:v>9.075</x:v>
      </x:c>
      <x:c r="V421" s="8" t="n">
        <x:v>0.937</x:v>
      </x:c>
      <x:c r="W421" s="8" t="n">
        <x:v>9.075</x:v>
      </x:c>
      <x:c r="X421" s="8"/>
      <x:c r="Y421" s="8"/>
      <x:c r="Z421" s="8"/>
      <x:c r="AA421" s="8"/>
      <x:c r="AB421" s="8"/>
      <x:c r="AC421" s="8"/>
      <x:c r="AD421" s="8"/>
      <x:c r="AE421" s="8"/>
      <x:c r="AF421" s="8" t="n">
        <x:v>0.902</x:v>
      </x:c>
      <x:c r="AG421" s="8" t="n">
        <x:v>6.558</x:v>
      </x:c>
      <x:c r="AH421" s="8" t="n">
        <x:v>0.902</x:v>
      </x:c>
      <x:c r="AI421" s="8" t="n">
        <x:v>6.558</x:v>
      </x:c>
      <x:c r="AJ421" s="8" t="n">
        <x:v>1.018</x:v>
      </x:c>
      <x:c r="AK421" s="8" t="n">
        <x:v>9.15</x:v>
      </x:c>
      <x:c r="AL421" s="8" t="n">
        <x:v>1.018</x:v>
      </x:c>
      <x:c r="AM421" s="8" t="n">
        <x:v>9.15</x:v>
      </x:c>
      <x:c r="AN421" s="8" t="n">
        <x:v>0.92</x:v>
      </x:c>
      <x:c r="AO421" s="8" t="n">
        <x:v>8.748</x:v>
      </x:c>
      <x:c r="AP421" s="8" t="n">
        <x:v>0.92</x:v>
      </x:c>
      <x:c r="AQ421" s="8" t="n">
        <x:v>8.748</x:v>
      </x:c>
      <x:c r="AR421" s="8"/>
      <x:c r="AS421" s="8"/>
      <x:c r="AT421" s="8" t="n">
        <x:v>0.751</x:v>
      </x:c>
      <x:c r="AU421" s="8" t="n">
        <x:v>7.065</x:v>
      </x:c>
      <x:c r="AV421" s="8" t="n">
        <x:v>1.05</x:v>
      </x:c>
      <x:c r="AW421" s="8" t="n">
        <x:v>8.569</x:v>
      </x:c>
      <x:c r="AX421" s="8" t="n">
        <x:v>0.839</x:v>
      </x:c>
      <x:c r="AY421" s="8" t="n">
        <x:v>9.954</x:v>
      </x:c>
      <x:c r="AZ421" s="8" t="n">
        <x:v>0.839</x:v>
      </x:c>
      <x:c r="BA421" s="8" t="n">
        <x:v>9.954</x:v>
      </x:c>
      <x:c r="BB421" s="8" t="n">
        <x:f>LET(m,MIN(IF(D421&gt;0,D421,1E+99),IF(F421&gt;0,F421,1E+99),IF(H421&gt;0,H421,1E+99),IF(J421&gt;0,J421,1E+99),IF(L421&gt;0,L421,1E+99),IF(N421&gt;0,N421,1E+99),IF(P421&gt;0,P421,1E+99),IF(R421&gt;0,R421,1E+99),IF(T421&gt;0,T421,1E+99),IF(V421&gt;0,V421,1E+99),IF(X421&gt;0,X421,1E+99),IF(Z421&gt;0,Z421,1E+99),IF(AB421&gt;0,AB421,1E+99),IF(AD421&gt;0,AD421,1E+99),IF(AF421&gt;0,AF421,1E+99),IF(AH421&gt;0,AH421,1E+99),IF(AJ421&gt;0,AJ421,1E+99),IF(AL421&gt;0,AL421,1E+99),IF(AN421&gt;0,AN421,1E+99),IF(AP421&gt;0,AP421,1E+99),IF(AR421&gt;0,AR421,1E+99),IF(AT421&gt;0,AT421,1E+99),IF(AV421&gt;0,AV421,1E+99),IF(AX421&gt;0,AX421,1E+99),IF(AZ421&gt;0,AZ421,1E+99)),IF(m=1E+99,"",m))</x:f>
        <x:v>0.751</x:v>
      </x:c>
      <x:c r="BC421" s="12" t="e">
        <x:f>IF(BB421="","",INDEX({"v1.4.20","v1.4.20","v1.4.21","v1.4.21","v1.4.23","v1.4.23","v1.4.26","v1.4.26","v1.4.26.1","v1.4.26.1","v1.4.27","v1.4.27","v1.4.29","v1.4.29","v1.4.30","v1.4.30","v1.4.31","v1.4.31","v1.4.33","v1.4.33","v1.4.35","v1.4.35.2","v1.5","v1.5.1","v1.5.1"},MATCH(BB421,CHOOSE({1,2,3,4,5,6,7,8,9,10,11,12,13,14,15,16,17,18,19,20,21,22,23,24,25},D421,F421,H421,J421,L421,N421,P421,R421,T421,V421,X421,Z421,AB421,AD421,AF421,AH421,AJ421,AL421,AN421,AP421,AR421,AT421,AV421,AX421,AZ421),0)))</x:f>
      </x:c>
      <x:c r="BD421" s="14" t="n">
        <x:f>LET(m,MIN(IF(E421&gt;0,E421,1E+99),IF(G421&gt;0,G421,1E+99),IF(I421&gt;0,I421,1E+99),IF(K421&gt;0,K421,1E+99),IF(M421&gt;0,M421,1E+99),IF(O421&gt;0,O421,1E+99),IF(Q421&gt;0,Q421,1E+99),IF(S421&gt;0,S421,1E+99),IF(U421&gt;0,U421,1E+99),IF(W421&gt;0,W421,1E+99),IF(Y421&gt;0,Y421,1E+99),IF(AA421&gt;0,AA421,1E+99),IF(AC421&gt;0,AC421,1E+99),IF(AE421&gt;0,AE421,1E+99),IF(AG421&gt;0,AG421,1E+99),IF(AI421&gt;0,AI421,1E+99),IF(AK421&gt;0,AK421,1E+99),IF(AM421&gt;0,AM421,1E+99),IF(AO421&gt;0,AO421,1E+99),IF(AQ421&gt;0,AQ421,1E+99),IF(AS421&gt;0,AS421,1E+99),IF(AU421&gt;0,AU421,1E+99),IF(AW421&gt;0,AW421,1E+99),IF(AY421&gt;0,AY421,1E+99),IF(BA421&gt;0,BA421,1E+99)),IF(m=1E+99,"",m))</x:f>
        <x:v>6.558</x:v>
      </x:c>
      <x:c r="BE421" s="16" t="e">
        <x:f>IF(BD421="","",INDEX({"v1.4.20","v1.4.20","v1.4.21","v1.4.21","v1.4.23","v1.4.23","v1.4.26","v1.4.26","v1.4.26.1","v1.4.26.1","v1.4.27","v1.4.27","v1.4.29","v1.4.29","v1.4.30","v1.4.30","v1.4.31","v1.4.31","v1.4.33","v1.4.33","v1.4.35","v1.4.35.2","v1.5","v1.5.1","v1.5.1"},MATCH(BD421,CHOOSE({1,2,3,4,5,6,7,8,9,10,11,12,13,14,15,16,17,18,19,20,21,22,23,24,25},E421,G421,I421,K421,M421,O421,Q421,S421,U421,W421,Y421,AA421,AC421,AE421,AG421,AI421,AK421,AM421,AO421,AQ421,AS421,AU421,AW421,AY421,BA421),0)))</x:f>
      </x:c>
      <x:c r="BF421" s="10" t="n">
        <x:f>IFERROR((AX421-BB421)/BB421,"")</x:f>
        <x:v>0.11717709720372832</x:v>
      </x:c>
      <x:c r="BG421" s="10" t="n">
        <x:f>IFERROR((AY421-BD421)/BD421,"")</x:f>
        <x:v>0.5178408051235134</x:v>
      </x:c>
    </x:row>
    <x:row r="422">
      <x:c r="A422" t="str">
        <x:v>Raw Data</x:v>
      </x:c>
      <x:c r="B422" t="str">
        <x:v>Format Raw Data</x:v>
      </x:c>
      <x:c r="C422" t="str">
        <x:v>Set Raw Data title</x:v>
      </x:c>
      <x:c r="D422" s="8" t="n">
        <x:v>0.004</x:v>
      </x:c>
      <x:c r="E422" s="8" t="n">
        <x:v>39.516</x:v>
      </x:c>
      <x:c r="F422" s="8" t="n">
        <x:v>0.004</x:v>
      </x:c>
      <x:c r="G422" s="8" t="n">
        <x:v>39.516</x:v>
      </x:c>
      <x:c r="H422" s="8" t="n">
        <x:v>0.006</x:v>
      </x:c>
      <x:c r="I422" s="8" t="n">
        <x:v>42.203</x:v>
      </x:c>
      <x:c r="J422" s="8" t="n">
        <x:v>0.006</x:v>
      </x:c>
      <x:c r="K422" s="8" t="n">
        <x:v>42.203</x:v>
      </x:c>
      <x:c r="L422" s="8" t="n">
        <x:v>0.005</x:v>
      </x:c>
      <x:c r="M422" s="8" t="n">
        <x:v>58.104</x:v>
      </x:c>
      <x:c r="N422" s="8" t="n">
        <x:v>0.005</x:v>
      </x:c>
      <x:c r="O422" s="8" t="n">
        <x:v>58.104</x:v>
      </x:c>
      <x:c r="P422" s="8"/>
      <x:c r="Q422" s="8"/>
      <x:c r="R422" s="8"/>
      <x:c r="S422" s="8"/>
      <x:c r="T422" s="8" t="n">
        <x:v>0.004</x:v>
      </x:c>
      <x:c r="U422" s="8" t="n">
        <x:v>9.079</x:v>
      </x:c>
      <x:c r="V422" s="8" t="n">
        <x:v>0.004</x:v>
      </x:c>
      <x:c r="W422" s="8" t="n">
        <x:v>9.079</x:v>
      </x:c>
      <x:c r="X422" s="8"/>
      <x:c r="Y422" s="8"/>
      <x:c r="Z422" s="8"/>
      <x:c r="AA422" s="8"/>
      <x:c r="AB422" s="8"/>
      <x:c r="AC422" s="8"/>
      <x:c r="AD422" s="8"/>
      <x:c r="AE422" s="8"/>
      <x:c r="AF422" s="8" t="n">
        <x:v>0.009</x:v>
      </x:c>
      <x:c r="AG422" s="8" t="n">
        <x:v>6.567</x:v>
      </x:c>
      <x:c r="AH422" s="8" t="n">
        <x:v>0.009</x:v>
      </x:c>
      <x:c r="AI422" s="8" t="n">
        <x:v>6.567</x:v>
      </x:c>
      <x:c r="AJ422" s="8" t="n">
        <x:v>0.004</x:v>
      </x:c>
      <x:c r="AK422" s="8" t="n">
        <x:v>9.154</x:v>
      </x:c>
      <x:c r="AL422" s="8" t="n">
        <x:v>0.004</x:v>
      </x:c>
      <x:c r="AM422" s="8" t="n">
        <x:v>9.154</x:v>
      </x:c>
      <x:c r="AN422" s="8" t="n">
        <x:v>0.005</x:v>
      </x:c>
      <x:c r="AO422" s="8" t="n">
        <x:v>8.753</x:v>
      </x:c>
      <x:c r="AP422" s="8" t="n">
        <x:v>0.005</x:v>
      </x:c>
      <x:c r="AQ422" s="8" t="n">
        <x:v>8.753</x:v>
      </x:c>
      <x:c r="AR422" s="8"/>
      <x:c r="AS422" s="8"/>
      <x:c r="AT422" s="8" t="n">
        <x:v>0.004</x:v>
      </x:c>
      <x:c r="AU422" s="8" t="n">
        <x:v>7.069</x:v>
      </x:c>
      <x:c r="AV422" s="8" t="n">
        <x:v>0.006</x:v>
      </x:c>
      <x:c r="AW422" s="8" t="n">
        <x:v>8.575</x:v>
      </x:c>
      <x:c r="AX422" s="8" t="n">
        <x:v>0.006</x:v>
      </x:c>
      <x:c r="AY422" s="8" t="n">
        <x:v>9.96</x:v>
      </x:c>
      <x:c r="AZ422" s="8" t="n">
        <x:v>0.006</x:v>
      </x:c>
      <x:c r="BA422" s="8" t="n">
        <x:v>9.96</x:v>
      </x:c>
      <x:c r="BB422" s="8" t="n">
        <x:f>LET(m,MIN(IF(D422&gt;0,D422,1E+99),IF(F422&gt;0,F422,1E+99),IF(H422&gt;0,H422,1E+99),IF(J422&gt;0,J422,1E+99),IF(L422&gt;0,L422,1E+99),IF(N422&gt;0,N422,1E+99),IF(P422&gt;0,P422,1E+99),IF(R422&gt;0,R422,1E+99),IF(T422&gt;0,T422,1E+99),IF(V422&gt;0,V422,1E+99),IF(X422&gt;0,X422,1E+99),IF(Z422&gt;0,Z422,1E+99),IF(AB422&gt;0,AB422,1E+99),IF(AD422&gt;0,AD422,1E+99),IF(AF422&gt;0,AF422,1E+99),IF(AH422&gt;0,AH422,1E+99),IF(AJ422&gt;0,AJ422,1E+99),IF(AL422&gt;0,AL422,1E+99),IF(AN422&gt;0,AN422,1E+99),IF(AP422&gt;0,AP422,1E+99),IF(AR422&gt;0,AR422,1E+99),IF(AT422&gt;0,AT422,1E+99),IF(AV422&gt;0,AV422,1E+99),IF(AX422&gt;0,AX422,1E+99),IF(AZ422&gt;0,AZ422,1E+99)),IF(m=1E+99,"",m))</x:f>
        <x:v>0.004</x:v>
      </x:c>
      <x:c r="BC422" s="12" t="str">
        <x:f>IF(BB422="","",INDEX({"v1.4.20","v1.4.20","v1.4.21","v1.4.21","v1.4.23","v1.4.23","v1.4.26","v1.4.26","v1.4.26.1","v1.4.26.1","v1.4.27","v1.4.27","v1.4.29","v1.4.29","v1.4.30","v1.4.30","v1.4.31","v1.4.31","v1.4.33","v1.4.33","v1.4.35","v1.4.35.2","v1.5","v1.5.1","v1.5.1"},MATCH(BB422,CHOOSE({1,2,3,4,5,6,7,8,9,10,11,12,13,14,15,16,17,18,19,20,21,22,23,24,25},D422,F422,H422,J422,L422,N422,P422,R422,T422,V422,X422,Z422,AB422,AD422,AF422,AH422,AJ422,AL422,AN422,AP422,AR422,AT422,AV422,AX422,AZ422),0)))</x:f>
        <x:v>v1.4.20</x:v>
      </x:c>
      <x:c r="BD422" s="14" t="n">
        <x:f>LET(m,MIN(IF(E422&gt;0,E422,1E+99),IF(G422&gt;0,G422,1E+99),IF(I422&gt;0,I422,1E+99),IF(K422&gt;0,K422,1E+99),IF(M422&gt;0,M422,1E+99),IF(O422&gt;0,O422,1E+99),IF(Q422&gt;0,Q422,1E+99),IF(S422&gt;0,S422,1E+99),IF(U422&gt;0,U422,1E+99),IF(W422&gt;0,W422,1E+99),IF(Y422&gt;0,Y422,1E+99),IF(AA422&gt;0,AA422,1E+99),IF(AC422&gt;0,AC422,1E+99),IF(AE422&gt;0,AE422,1E+99),IF(AG422&gt;0,AG422,1E+99),IF(AI422&gt;0,AI422,1E+99),IF(AK422&gt;0,AK422,1E+99),IF(AM422&gt;0,AM422,1E+99),IF(AO422&gt;0,AO422,1E+99),IF(AQ422&gt;0,AQ422,1E+99),IF(AS422&gt;0,AS422,1E+99),IF(AU422&gt;0,AU422,1E+99),IF(AW422&gt;0,AW422,1E+99),IF(AY422&gt;0,AY422,1E+99),IF(BA422&gt;0,BA422,1E+99)),IF(m=1E+99,"",m))</x:f>
        <x:v>6.567</x:v>
      </x:c>
      <x:c r="BE422" s="16" t="e">
        <x:f>IF(BD422="","",INDEX({"v1.4.20","v1.4.20","v1.4.21","v1.4.21","v1.4.23","v1.4.23","v1.4.26","v1.4.26","v1.4.26.1","v1.4.26.1","v1.4.27","v1.4.27","v1.4.29","v1.4.29","v1.4.30","v1.4.30","v1.4.31","v1.4.31","v1.4.33","v1.4.33","v1.4.35","v1.4.35.2","v1.5","v1.5.1","v1.5.1"},MATCH(BD422,CHOOSE({1,2,3,4,5,6,7,8,9,10,11,12,13,14,15,16,17,18,19,20,21,22,23,24,25},E422,G422,I422,K422,M422,O422,Q422,S422,U422,W422,Y422,AA422,AC422,AE422,AG422,AI422,AK422,AM422,AO422,AQ422,AS422,AU422,AW422,AY422,BA422),0)))</x:f>
      </x:c>
      <x:c r="BF422" s="10" t="n">
        <x:f>IFERROR((AX422-BB422)/BB422,"")</x:f>
        <x:v>0.5</x:v>
      </x:c>
      <x:c r="BG422" s="10" t="n">
        <x:f>IFERROR((AY422-BD422)/BD422,"")</x:f>
        <x:v>0.516674280493376</x:v>
      </x:c>
    </x:row>
    <x:row r="423">
      <x:c r="A423" t="str">
        <x:v>Raw Data</x:v>
      </x:c>
      <x:c r="B423" t="str">
        <x:v>Format Raw Data</x:v>
      </x:c>
      <x:c r="C423" t="str">
        <x:v>Preserve Raw Data current headers - no column removal</x:v>
      </x:c>
      <x:c r="D423" s="8" t="n">
        <x:v>0.001</x:v>
      </x:c>
      <x:c r="E423" s="8" t="n">
        <x:v>39.517</x:v>
      </x:c>
      <x:c r="F423" s="8" t="n">
        <x:v>0.001</x:v>
      </x:c>
      <x:c r="G423" s="8" t="n">
        <x:v>39.517</x:v>
      </x:c>
      <x:c r="H423" s="8" t="n">
        <x:v>0.001</x:v>
      </x:c>
      <x:c r="I423" s="8" t="n">
        <x:v>42.204</x:v>
      </x:c>
      <x:c r="J423" s="8" t="n">
        <x:v>0.001</x:v>
      </x:c>
      <x:c r="K423" s="8" t="n">
        <x:v>42.204</x:v>
      </x:c>
      <x:c r="L423" s="8" t="n">
        <x:v>0.002</x:v>
      </x:c>
      <x:c r="M423" s="8" t="n">
        <x:v>58.106</x:v>
      </x:c>
      <x:c r="N423" s="8" t="n">
        <x:v>0.002</x:v>
      </x:c>
      <x:c r="O423" s="8" t="n">
        <x:v>58.106</x:v>
      </x:c>
      <x:c r="P423" s="8"/>
      <x:c r="Q423" s="8"/>
      <x:c r="R423" s="8"/>
      <x:c r="S423" s="8"/>
      <x:c r="T423" s="8" t="n">
        <x:v>0.001</x:v>
      </x:c>
      <x:c r="U423" s="8" t="n">
        <x:v>9.08</x:v>
      </x:c>
      <x:c r="V423" s="8" t="n">
        <x:v>0.001</x:v>
      </x:c>
      <x:c r="W423" s="8" t="n">
        <x:v>9.08</x:v>
      </x:c>
      <x:c r="X423" s="8"/>
      <x:c r="Y423" s="8"/>
      <x:c r="Z423" s="8"/>
      <x:c r="AA423" s="8"/>
      <x:c r="AB423" s="8"/>
      <x:c r="AC423" s="8"/>
      <x:c r="AD423" s="8"/>
      <x:c r="AE423" s="8"/>
      <x:c r="AF423" s="8" t="n">
        <x:v>0.002</x:v>
      </x:c>
      <x:c r="AG423" s="8" t="n">
        <x:v>6.569</x:v>
      </x:c>
      <x:c r="AH423" s="8" t="n">
        <x:v>0.002</x:v>
      </x:c>
      <x:c r="AI423" s="8" t="n">
        <x:v>6.569</x:v>
      </x:c>
      <x:c r="AJ423" s="8" t="n">
        <x:v>0.002</x:v>
      </x:c>
      <x:c r="AK423" s="8" t="n">
        <x:v>9.156</x:v>
      </x:c>
      <x:c r="AL423" s="8" t="n">
        <x:v>0.002</x:v>
      </x:c>
      <x:c r="AM423" s="8" t="n">
        <x:v>9.156</x:v>
      </x:c>
      <x:c r="AN423" s="8" t="n">
        <x:v>0.001</x:v>
      </x:c>
      <x:c r="AO423" s="8" t="n">
        <x:v>8.754</x:v>
      </x:c>
      <x:c r="AP423" s="8" t="n">
        <x:v>0.001</x:v>
      </x:c>
      <x:c r="AQ423" s="8" t="n">
        <x:v>8.754</x:v>
      </x:c>
      <x:c r="AR423" s="8"/>
      <x:c r="AS423" s="8"/>
      <x:c r="AT423" s="8" t="n">
        <x:v>0.002</x:v>
      </x:c>
      <x:c r="AU423" s="8" t="n">
        <x:v>7.071</x:v>
      </x:c>
      <x:c r="AV423" s="8" t="n">
        <x:v>0.001</x:v>
      </x:c>
      <x:c r="AW423" s="8" t="n">
        <x:v>8.576</x:v>
      </x:c>
      <x:c r="AX423" s="8" t="n">
        <x:v>0.001</x:v>
      </x:c>
      <x:c r="AY423" s="8" t="n">
        <x:v>9.961</x:v>
      </x:c>
      <x:c r="AZ423" s="8" t="n">
        <x:v>0.001</x:v>
      </x:c>
      <x:c r="BA423" s="8" t="n">
        <x:v>9.961</x:v>
      </x:c>
      <x:c r="BB423" s="8" t="n">
        <x:f>LET(m,MIN(IF(D423&gt;0,D423,1E+99),IF(F423&gt;0,F423,1E+99),IF(H423&gt;0,H423,1E+99),IF(J423&gt;0,J423,1E+99),IF(L423&gt;0,L423,1E+99),IF(N423&gt;0,N423,1E+99),IF(P423&gt;0,P423,1E+99),IF(R423&gt;0,R423,1E+99),IF(T423&gt;0,T423,1E+99),IF(V423&gt;0,V423,1E+99),IF(X423&gt;0,X423,1E+99),IF(Z423&gt;0,Z423,1E+99),IF(AB423&gt;0,AB423,1E+99),IF(AD423&gt;0,AD423,1E+99),IF(AF423&gt;0,AF423,1E+99),IF(AH423&gt;0,AH423,1E+99),IF(AJ423&gt;0,AJ423,1E+99),IF(AL423&gt;0,AL423,1E+99),IF(AN423&gt;0,AN423,1E+99),IF(AP423&gt;0,AP423,1E+99),IF(AR423&gt;0,AR423,1E+99),IF(AT423&gt;0,AT423,1E+99),IF(AV423&gt;0,AV423,1E+99),IF(AX423&gt;0,AX423,1E+99),IF(AZ423&gt;0,AZ423,1E+99)),IF(m=1E+99,"",m))</x:f>
        <x:v>0.001</x:v>
      </x:c>
      <x:c r="BC423" s="12" t="str">
        <x:f>IF(BB423="","",INDEX({"v1.4.20","v1.4.20","v1.4.21","v1.4.21","v1.4.23","v1.4.23","v1.4.26","v1.4.26","v1.4.26.1","v1.4.26.1","v1.4.27","v1.4.27","v1.4.29","v1.4.29","v1.4.30","v1.4.30","v1.4.31","v1.4.31","v1.4.33","v1.4.33","v1.4.35","v1.4.35.2","v1.5","v1.5.1","v1.5.1"},MATCH(BB423,CHOOSE({1,2,3,4,5,6,7,8,9,10,11,12,13,14,15,16,17,18,19,20,21,22,23,24,25},D423,F423,H423,J423,L423,N423,P423,R423,T423,V423,X423,Z423,AB423,AD423,AF423,AH423,AJ423,AL423,AN423,AP423,AR423,AT423,AV423,AX423,AZ423),0)))</x:f>
        <x:v>v1.4.20</x:v>
      </x:c>
      <x:c r="BD423" s="14" t="n">
        <x:f>LET(m,MIN(IF(E423&gt;0,E423,1E+99),IF(G423&gt;0,G423,1E+99),IF(I423&gt;0,I423,1E+99),IF(K423&gt;0,K423,1E+99),IF(M423&gt;0,M423,1E+99),IF(O423&gt;0,O423,1E+99),IF(Q423&gt;0,Q423,1E+99),IF(S423&gt;0,S423,1E+99),IF(U423&gt;0,U423,1E+99),IF(W423&gt;0,W423,1E+99),IF(Y423&gt;0,Y423,1E+99),IF(AA423&gt;0,AA423,1E+99),IF(AC423&gt;0,AC423,1E+99),IF(AE423&gt;0,AE423,1E+99),IF(AG423&gt;0,AG423,1E+99),IF(AI423&gt;0,AI423,1E+99),IF(AK423&gt;0,AK423,1E+99),IF(AM423&gt;0,AM423,1E+99),IF(AO423&gt;0,AO423,1E+99),IF(AQ423&gt;0,AQ423,1E+99),IF(AS423&gt;0,AS423,1E+99),IF(AU423&gt;0,AU423,1E+99),IF(AW423&gt;0,AW423,1E+99),IF(AY423&gt;0,AY423,1E+99),IF(BA423&gt;0,BA423,1E+99)),IF(m=1E+99,"",m))</x:f>
        <x:v>6.569</x:v>
      </x:c>
      <x:c r="BE423" s="16" t="e">
        <x:f>IF(BD423="","",INDEX({"v1.4.20","v1.4.20","v1.4.21","v1.4.21","v1.4.23","v1.4.23","v1.4.26","v1.4.26","v1.4.26.1","v1.4.26.1","v1.4.27","v1.4.27","v1.4.29","v1.4.29","v1.4.30","v1.4.30","v1.4.31","v1.4.31","v1.4.33","v1.4.33","v1.4.35","v1.4.35.2","v1.5","v1.5.1","v1.5.1"},MATCH(BD423,CHOOSE({1,2,3,4,5,6,7,8,9,10,11,12,13,14,15,16,17,18,19,20,21,22,23,24,25},E423,G423,I423,K423,M423,O423,Q423,S423,U423,W423,Y423,AA423,AC423,AE423,AG423,AI423,AK423,AM423,AO423,AQ423,AS423,AU423,AW423,AY423,BA423),0)))</x:f>
      </x:c>
      <x:c r="BF423" s="10" t="n">
        <x:f>IFERROR((AX423-BB423)/BB423,"")</x:f>
        <x:v>0</x:v>
      </x:c>
      <x:c r="BG423" s="10" t="n">
        <x:f>IFERROR((AY423-BD423)/BD423,"")</x:f>
        <x:v>0.5163647434921602</x:v>
      </x:c>
    </x:row>
    <x:row r="424">
      <x:c r="A424" t="str">
        <x:v>Raw Data</x:v>
      </x:c>
      <x:c r="B424" t="str">
        <x:v>Format Raw Data</x:v>
      </x:c>
      <x:c r="C424" t="str">
        <x:v>Populate Raw Data approved sync columns: Primary PMR Row + Banner fields</x:v>
      </x:c>
      <x:c r="D424" s="8" t="n">
        <x:v>6.475</x:v>
      </x:c>
      <x:c r="E424" s="8" t="n">
        <x:v>45.992</x:v>
      </x:c>
      <x:c r="F424" s="8" t="n">
        <x:v>6.475</x:v>
      </x:c>
      <x:c r="G424" s="8" t="n">
        <x:v>45.992</x:v>
      </x:c>
      <x:c r="H424" s="8" t="n">
        <x:v>7.186</x:v>
      </x:c>
      <x:c r="I424" s="8" t="n">
        <x:v>49.39</x:v>
      </x:c>
      <x:c r="J424" s="8" t="n">
        <x:v>7.186</x:v>
      </x:c>
      <x:c r="K424" s="8" t="n">
        <x:v>49.39</x:v>
      </x:c>
      <x:c r="L424" s="8" t="n">
        <x:v>9.152</x:v>
      </x:c>
      <x:c r="M424" s="8" t="n">
        <x:v>67.258</x:v>
      </x:c>
      <x:c r="N424" s="8" t="n">
        <x:v>9.152</x:v>
      </x:c>
      <x:c r="O424" s="8" t="n">
        <x:v>67.258</x:v>
      </x:c>
      <x:c r="P424" s="8"/>
      <x:c r="Q424" s="8"/>
      <x:c r="R424" s="8"/>
      <x:c r="S424" s="8"/>
      <x:c r="T424" s="8" t="n">
        <x:v>7.105</x:v>
      </x:c>
      <x:c r="U424" s="8" t="n">
        <x:v>16.185</x:v>
      </x:c>
      <x:c r="V424" s="8" t="n">
        <x:v>7.105</x:v>
      </x:c>
      <x:c r="W424" s="8" t="n">
        <x:v>16.185</x:v>
      </x:c>
      <x:c r="X424" s="8"/>
      <x:c r="Y424" s="8"/>
      <x:c r="Z424" s="8"/>
      <x:c r="AA424" s="8"/>
      <x:c r="AB424" s="8"/>
      <x:c r="AC424" s="8"/>
      <x:c r="AD424" s="8"/>
      <x:c r="AE424" s="8"/>
      <x:c r="AF424" s="8" t="n">
        <x:v>4.402</x:v>
      </x:c>
      <x:c r="AG424" s="8" t="n">
        <x:v>10.971</x:v>
      </x:c>
      <x:c r="AH424" s="8" t="n">
        <x:v>4.402</x:v>
      </x:c>
      <x:c r="AI424" s="8" t="n">
        <x:v>10.971</x:v>
      </x:c>
      <x:c r="AJ424" s="8" t="n">
        <x:v>5.631</x:v>
      </x:c>
      <x:c r="AK424" s="8" t="n">
        <x:v>14.787</x:v>
      </x:c>
      <x:c r="AL424" s="8" t="n">
        <x:v>5.631</x:v>
      </x:c>
      <x:c r="AM424" s="8" t="n">
        <x:v>14.787</x:v>
      </x:c>
      <x:c r="AN424" s="8" t="n">
        <x:v>7.367</x:v>
      </x:c>
      <x:c r="AO424" s="8" t="n">
        <x:v>16.121</x:v>
      </x:c>
      <x:c r="AP424" s="8" t="n">
        <x:v>7.367</x:v>
      </x:c>
      <x:c r="AQ424" s="8" t="n">
        <x:v>16.121</x:v>
      </x:c>
      <x:c r="AR424" s="8"/>
      <x:c r="AS424" s="8"/>
      <x:c r="AT424" s="8" t="n">
        <x:v>4.732</x:v>
      </x:c>
      <x:c r="AU424" s="8" t="n">
        <x:v>11.803</x:v>
      </x:c>
      <x:c r="AV424" s="8" t="n">
        <x:v>5.762</x:v>
      </x:c>
      <x:c r="AW424" s="8" t="n">
        <x:v>14.338</x:v>
      </x:c>
      <x:c r="AX424" s="8" t="n">
        <x:v>7.495</x:v>
      </x:c>
      <x:c r="AY424" s="8" t="n">
        <x:v>17.456</x:v>
      </x:c>
      <x:c r="AZ424" s="8" t="n">
        <x:v>7.495</x:v>
      </x:c>
      <x:c r="BA424" s="8" t="n">
        <x:v>17.456</x:v>
      </x:c>
      <x:c r="BB424" s="8" t="n">
        <x:f>LET(m,MIN(IF(D424&gt;0,D424,1E+99),IF(F424&gt;0,F424,1E+99),IF(H424&gt;0,H424,1E+99),IF(J424&gt;0,J424,1E+99),IF(L424&gt;0,L424,1E+99),IF(N424&gt;0,N424,1E+99),IF(P424&gt;0,P424,1E+99),IF(R424&gt;0,R424,1E+99),IF(T424&gt;0,T424,1E+99),IF(V424&gt;0,V424,1E+99),IF(X424&gt;0,X424,1E+99),IF(Z424&gt;0,Z424,1E+99),IF(AB424&gt;0,AB424,1E+99),IF(AD424&gt;0,AD424,1E+99),IF(AF424&gt;0,AF424,1E+99),IF(AH424&gt;0,AH424,1E+99),IF(AJ424&gt;0,AJ424,1E+99),IF(AL424&gt;0,AL424,1E+99),IF(AN424&gt;0,AN424,1E+99),IF(AP424&gt;0,AP424,1E+99),IF(AR424&gt;0,AR424,1E+99),IF(AT424&gt;0,AT424,1E+99),IF(AV424&gt;0,AV424,1E+99),IF(AX424&gt;0,AX424,1E+99),IF(AZ424&gt;0,AZ424,1E+99)),IF(m=1E+99,"",m))</x:f>
        <x:v>4.402</x:v>
      </x:c>
      <x:c r="BC424" s="12" t="e">
        <x:f>IF(BB424="","",INDEX({"v1.4.20","v1.4.20","v1.4.21","v1.4.21","v1.4.23","v1.4.23","v1.4.26","v1.4.26","v1.4.26.1","v1.4.26.1","v1.4.27","v1.4.27","v1.4.29","v1.4.29","v1.4.30","v1.4.30","v1.4.31","v1.4.31","v1.4.33","v1.4.33","v1.4.35","v1.4.35.2","v1.5","v1.5.1","v1.5.1"},MATCH(BB424,CHOOSE({1,2,3,4,5,6,7,8,9,10,11,12,13,14,15,16,17,18,19,20,21,22,23,24,25},D424,F424,H424,J424,L424,N424,P424,R424,T424,V424,X424,Z424,AB424,AD424,AF424,AH424,AJ424,AL424,AN424,AP424,AR424,AT424,AV424,AX424,AZ424),0)))</x:f>
      </x:c>
      <x:c r="BD424" s="14" t="n">
        <x:f>LET(m,MIN(IF(E424&gt;0,E424,1E+99),IF(G424&gt;0,G424,1E+99),IF(I424&gt;0,I424,1E+99),IF(K424&gt;0,K424,1E+99),IF(M424&gt;0,M424,1E+99),IF(O424&gt;0,O424,1E+99),IF(Q424&gt;0,Q424,1E+99),IF(S424&gt;0,S424,1E+99),IF(U424&gt;0,U424,1E+99),IF(W424&gt;0,W424,1E+99),IF(Y424&gt;0,Y424,1E+99),IF(AA424&gt;0,AA424,1E+99),IF(AC424&gt;0,AC424,1E+99),IF(AE424&gt;0,AE424,1E+99),IF(AG424&gt;0,AG424,1E+99),IF(AI424&gt;0,AI424,1E+99),IF(AK424&gt;0,AK424,1E+99),IF(AM424&gt;0,AM424,1E+99),IF(AO424&gt;0,AO424,1E+99),IF(AQ424&gt;0,AQ424,1E+99),IF(AS424&gt;0,AS424,1E+99),IF(AU424&gt;0,AU424,1E+99),IF(AW424&gt;0,AW424,1E+99),IF(AY424&gt;0,AY424,1E+99),IF(BA424&gt;0,BA424,1E+99)),IF(m=1E+99,"",m))</x:f>
        <x:v>10.971</x:v>
      </x:c>
      <x:c r="BE424" s="16" t="e">
        <x:f>IF(BD424="","",INDEX({"v1.4.20","v1.4.20","v1.4.21","v1.4.21","v1.4.23","v1.4.23","v1.4.26","v1.4.26","v1.4.26.1","v1.4.26.1","v1.4.27","v1.4.27","v1.4.29","v1.4.29","v1.4.30","v1.4.30","v1.4.31","v1.4.31","v1.4.33","v1.4.33","v1.4.35","v1.4.35.2","v1.5","v1.5.1","v1.5.1"},MATCH(BD424,CHOOSE({1,2,3,4,5,6,7,8,9,10,11,12,13,14,15,16,17,18,19,20,21,22,23,24,25},E424,G424,I424,K424,M424,O424,Q424,S424,U424,W424,Y424,AA424,AC424,AE424,AG424,AI424,AK424,AM424,AO424,AQ424,AS424,AU424,AW424,AY424,BA424),0)))</x:f>
      </x:c>
      <x:c r="BF424" s="10" t="n">
        <x:f>IFERROR((AX424-BB424)/BB424,"")</x:f>
        <x:v>0.7026351658337119</x:v>
      </x:c>
      <x:c r="BG424" s="10" t="n">
        <x:f>IFERROR((AY424-BD424)/BD424,"")</x:f>
        <x:v>0.5911038191596025</x:v>
      </x:c>
    </x:row>
    <x:row r="425">
      <x:c r="A425" t="str">
        <x:v>Raw Data</x:v>
      </x:c>
      <x:c r="B425" t="str">
        <x:v>Format Raw Data</x:v>
      </x:c>
      <x:c r="C425" t="str">
        <x:v>Rename sheet to Raw Data 04.26</x:v>
      </x:c>
      <x:c r="D425" s="8" t="n">
        <x:v>8.467</x:v>
      </x:c>
      <x:c r="E425" s="8" t="n">
        <x:v>54.459</x:v>
      </x:c>
      <x:c r="F425" s="8" t="n">
        <x:v>8.467</x:v>
      </x:c>
      <x:c r="G425" s="8" t="n">
        <x:v>54.459</x:v>
      </x:c>
      <x:c r="H425" s="8" t="n">
        <x:v>9.177</x:v>
      </x:c>
      <x:c r="I425" s="8" t="n">
        <x:v>58.567</x:v>
      </x:c>
      <x:c r="J425" s="8" t="n">
        <x:v>9.177</x:v>
      </x:c>
      <x:c r="K425" s="8" t="n">
        <x:v>58.567</x:v>
      </x:c>
      <x:c r="L425" s="8" t="n">
        <x:v>13.563</x:v>
      </x:c>
      <x:c r="M425" s="8" t="n">
        <x:v>80.821</x:v>
      </x:c>
      <x:c r="N425" s="8" t="n">
        <x:v>13.563</x:v>
      </x:c>
      <x:c r="O425" s="8" t="n">
        <x:v>80.821</x:v>
      </x:c>
      <x:c r="P425" s="8"/>
      <x:c r="Q425" s="8"/>
      <x:c r="R425" s="8"/>
      <x:c r="S425" s="8"/>
      <x:c r="T425" s="8" t="n">
        <x:v>0.689</x:v>
      </x:c>
      <x:c r="U425" s="8" t="n">
        <x:v>16.874</x:v>
      </x:c>
      <x:c r="V425" s="8" t="n">
        <x:v>0.689</x:v>
      </x:c>
      <x:c r="W425" s="8" t="n">
        <x:v>16.874</x:v>
      </x:c>
      <x:c r="X425" s="8"/>
      <x:c r="Y425" s="8"/>
      <x:c r="Z425" s="8"/>
      <x:c r="AA425" s="8"/>
      <x:c r="AB425" s="8"/>
      <x:c r="AC425" s="8"/>
      <x:c r="AD425" s="8"/>
      <x:c r="AE425" s="8"/>
      <x:c r="AF425" s="8" t="n">
        <x:v>0.813</x:v>
      </x:c>
      <x:c r="AG425" s="8" t="n">
        <x:v>11.784</x:v>
      </x:c>
      <x:c r="AH425" s="8" t="n">
        <x:v>0.813</x:v>
      </x:c>
      <x:c r="AI425" s="8" t="n">
        <x:v>11.784</x:v>
      </x:c>
      <x:c r="AJ425" s="8" t="n">
        <x:v>1.03</x:v>
      </x:c>
      <x:c r="AK425" s="8" t="n">
        <x:v>15.817</x:v>
      </x:c>
      <x:c r="AL425" s="8" t="n">
        <x:v>1.03</x:v>
      </x:c>
      <x:c r="AM425" s="8" t="n">
        <x:v>15.817</x:v>
      </x:c>
      <x:c r="AN425" s="8" t="n">
        <x:v>0.755</x:v>
      </x:c>
      <x:c r="AO425" s="8" t="n">
        <x:v>16.876</x:v>
      </x:c>
      <x:c r="AP425" s="8" t="n">
        <x:v>0.755</x:v>
      </x:c>
      <x:c r="AQ425" s="8" t="n">
        <x:v>16.876</x:v>
      </x:c>
      <x:c r="AR425" s="8"/>
      <x:c r="AS425" s="8"/>
      <x:c r="AT425" s="8" t="n">
        <x:v>0.79</x:v>
      </x:c>
      <x:c r="AU425" s="8" t="n">
        <x:v>12.593</x:v>
      </x:c>
      <x:c r="AV425" s="8" t="n">
        <x:v>0.846</x:v>
      </x:c>
      <x:c r="AW425" s="8" t="n">
        <x:v>15.184</x:v>
      </x:c>
      <x:c r="AX425" s="8" t="n">
        <x:v>0.798</x:v>
      </x:c>
      <x:c r="AY425" s="8" t="n">
        <x:v>18.254</x:v>
      </x:c>
      <x:c r="AZ425" s="8" t="n">
        <x:v>0.798</x:v>
      </x:c>
      <x:c r="BA425" s="8" t="n">
        <x:v>18.254</x:v>
      </x:c>
      <x:c r="BB425" s="8" t="n">
        <x:f>LET(m,MIN(IF(D425&gt;0,D425,1E+99),IF(F425&gt;0,F425,1E+99),IF(H425&gt;0,H425,1E+99),IF(J425&gt;0,J425,1E+99),IF(L425&gt;0,L425,1E+99),IF(N425&gt;0,N425,1E+99),IF(P425&gt;0,P425,1E+99),IF(R425&gt;0,R425,1E+99),IF(T425&gt;0,T425,1E+99),IF(V425&gt;0,V425,1E+99),IF(X425&gt;0,X425,1E+99),IF(Z425&gt;0,Z425,1E+99),IF(AB425&gt;0,AB425,1E+99),IF(AD425&gt;0,AD425,1E+99),IF(AF425&gt;0,AF425,1E+99),IF(AH425&gt;0,AH425,1E+99),IF(AJ425&gt;0,AJ425,1E+99),IF(AL425&gt;0,AL425,1E+99),IF(AN425&gt;0,AN425,1E+99),IF(AP425&gt;0,AP425,1E+99),IF(AR425&gt;0,AR425,1E+99),IF(AT425&gt;0,AT425,1E+99),IF(AV425&gt;0,AV425,1E+99),IF(AX425&gt;0,AX425,1E+99),IF(AZ425&gt;0,AZ425,1E+99)),IF(m=1E+99,"",m))</x:f>
        <x:v>0.689</x:v>
      </x:c>
      <x:c r="BC425" s="12" t="e">
        <x:f>IF(BB425="","",INDEX({"v1.4.20","v1.4.20","v1.4.21","v1.4.21","v1.4.23","v1.4.23","v1.4.26","v1.4.26","v1.4.26.1","v1.4.26.1","v1.4.27","v1.4.27","v1.4.29","v1.4.29","v1.4.30","v1.4.30","v1.4.31","v1.4.31","v1.4.33","v1.4.33","v1.4.35","v1.4.35.2","v1.5","v1.5.1","v1.5.1"},MATCH(BB425,CHOOSE({1,2,3,4,5,6,7,8,9,10,11,12,13,14,15,16,17,18,19,20,21,22,23,24,25},D425,F425,H425,J425,L425,N425,P425,R425,T425,V425,X425,Z425,AB425,AD425,AF425,AH425,AJ425,AL425,AN425,AP425,AR425,AT425,AV425,AX425,AZ425),0)))</x:f>
      </x:c>
      <x:c r="BD425" s="14" t="n">
        <x:f>LET(m,MIN(IF(E425&gt;0,E425,1E+99),IF(G425&gt;0,G425,1E+99),IF(I425&gt;0,I425,1E+99),IF(K425&gt;0,K425,1E+99),IF(M425&gt;0,M425,1E+99),IF(O425&gt;0,O425,1E+99),IF(Q425&gt;0,Q425,1E+99),IF(S425&gt;0,S425,1E+99),IF(U425&gt;0,U425,1E+99),IF(W425&gt;0,W425,1E+99),IF(Y425&gt;0,Y425,1E+99),IF(AA425&gt;0,AA425,1E+99),IF(AC425&gt;0,AC425,1E+99),IF(AE425&gt;0,AE425,1E+99),IF(AG425&gt;0,AG425,1E+99),IF(AI425&gt;0,AI425,1E+99),IF(AK425&gt;0,AK425,1E+99),IF(AM425&gt;0,AM425,1E+99),IF(AO425&gt;0,AO425,1E+99),IF(AQ425&gt;0,AQ425,1E+99),IF(AS425&gt;0,AS425,1E+99),IF(AU425&gt;0,AU425,1E+99),IF(AW425&gt;0,AW425,1E+99),IF(AY425&gt;0,AY425,1E+99),IF(BA425&gt;0,BA425,1E+99)),IF(m=1E+99,"",m))</x:f>
        <x:v>11.784</x:v>
      </x:c>
      <x:c r="BE425" s="16" t="e">
        <x:f>IF(BD425="","",INDEX({"v1.4.20","v1.4.20","v1.4.21","v1.4.21","v1.4.23","v1.4.23","v1.4.26","v1.4.26","v1.4.26.1","v1.4.26.1","v1.4.27","v1.4.27","v1.4.29","v1.4.29","v1.4.30","v1.4.30","v1.4.31","v1.4.31","v1.4.33","v1.4.33","v1.4.35","v1.4.35.2","v1.5","v1.5.1","v1.5.1"},MATCH(BD425,CHOOSE({1,2,3,4,5,6,7,8,9,10,11,12,13,14,15,16,17,18,19,20,21,22,23,24,25},E425,G425,I425,K425,M425,O425,Q425,S425,U425,W425,Y425,AA425,AC425,AE425,AG425,AI425,AK425,AM425,AO425,AQ425,AS425,AU425,AW425,AY425,BA425),0)))</x:f>
      </x:c>
      <x:c r="BF425" s="10" t="n">
        <x:f>IFERROR((AX425-BB425)/BB425,"")</x:f>
        <x:v>0.15820029027576213</x:v>
      </x:c>
      <x:c r="BG425" s="10" t="n">
        <x:f>IFERROR((AY425-BD425)/BD425,"")</x:f>
        <x:v>0.5490495587236932</x:v>
      </x:c>
    </x:row>
    <x:row r="426">
      <x:c r="A426" t="str">
        <x:v>Raw Data</x:v>
      </x:c>
      <x:c r="B426" t="str">
        <x:v>Format Raw Data</x:v>
      </x:c>
      <x:c r="C426" t="str">
        <x:v>Lock Raw Data final row heights</x:v>
      </x:c>
      <x:c r="D426" s="8" t="n">
        <x:v>0.235</x:v>
      </x:c>
      <x:c r="E426" s="8" t="n">
        <x:v>54.694</x:v>
      </x:c>
      <x:c r="F426" s="8" t="n">
        <x:v>0.235</x:v>
      </x:c>
      <x:c r="G426" s="8" t="n">
        <x:v>54.694</x:v>
      </x:c>
      <x:c r="H426" s="8" t="n">
        <x:v>0.458</x:v>
      </x:c>
      <x:c r="I426" s="8" t="n">
        <x:v>59.025</x:v>
      </x:c>
      <x:c r="J426" s="8" t="n">
        <x:v>0.458</x:v>
      </x:c>
      <x:c r="K426" s="8" t="n">
        <x:v>59.025</x:v>
      </x:c>
      <x:c r="L426" s="8" t="n">
        <x:v>0.512</x:v>
      </x:c>
      <x:c r="M426" s="8" t="n">
        <x:v>81.333</x:v>
      </x:c>
      <x:c r="N426" s="8" t="n">
        <x:v>0.512</x:v>
      </x:c>
      <x:c r="O426" s="8" t="n">
        <x:v>81.333</x:v>
      </x:c>
      <x:c r="P426" s="8"/>
      <x:c r="Q426" s="8"/>
      <x:c r="R426" s="8"/>
      <x:c r="S426" s="8"/>
      <x:c r="T426" s="8" t="n">
        <x:v>0.507</x:v>
      </x:c>
      <x:c r="U426" s="8" t="n">
        <x:v>17.381</x:v>
      </x:c>
      <x:c r="V426" s="8" t="n">
        <x:v>0.507</x:v>
      </x:c>
      <x:c r="W426" s="8" t="n">
        <x:v>17.381</x:v>
      </x:c>
      <x:c r="X426" s="8"/>
      <x:c r="Y426" s="8"/>
      <x:c r="Z426" s="8"/>
      <x:c r="AA426" s="8"/>
      <x:c r="AB426" s="8"/>
      <x:c r="AC426" s="8"/>
      <x:c r="AD426" s="8"/>
      <x:c r="AE426" s="8"/>
      <x:c r="AF426" s="8" t="n">
        <x:v>0.256</x:v>
      </x:c>
      <x:c r="AG426" s="8" t="n">
        <x:v>12.04</x:v>
      </x:c>
      <x:c r="AH426" s="8" t="n">
        <x:v>0.256</x:v>
      </x:c>
      <x:c r="AI426" s="8" t="n">
        <x:v>12.04</x:v>
      </x:c>
      <x:c r="AJ426" s="8" t="n">
        <x:v>0.327</x:v>
      </x:c>
      <x:c r="AK426" s="8" t="n">
        <x:v>16.144</x:v>
      </x:c>
      <x:c r="AL426" s="8" t="n">
        <x:v>0.327</x:v>
      </x:c>
      <x:c r="AM426" s="8" t="n">
        <x:v>16.144</x:v>
      </x:c>
      <x:c r="AN426" s="8" t="n">
        <x:v>1.491</x:v>
      </x:c>
      <x:c r="AO426" s="8" t="n">
        <x:v>18.367</x:v>
      </x:c>
      <x:c r="AP426" s="8" t="n">
        <x:v>1.491</x:v>
      </x:c>
      <x:c r="AQ426" s="8" t="n">
        <x:v>18.367</x:v>
      </x:c>
      <x:c r="AR426" s="8"/>
      <x:c r="AS426" s="8"/>
      <x:c r="AT426" s="8" t="n">
        <x:v>0.388</x:v>
      </x:c>
      <x:c r="AU426" s="8" t="n">
        <x:v>12.981</x:v>
      </x:c>
      <x:c r="AV426" s="8" t="n">
        <x:v>1.405</x:v>
      </x:c>
      <x:c r="AW426" s="8" t="n">
        <x:v>16.589</x:v>
      </x:c>
      <x:c r="AX426" s="8" t="n">
        <x:v>0.681</x:v>
      </x:c>
      <x:c r="AY426" s="8" t="n">
        <x:v>18.935</x:v>
      </x:c>
      <x:c r="AZ426" s="8" t="n">
        <x:v>0.681</x:v>
      </x:c>
      <x:c r="BA426" s="8" t="n">
        <x:v>18.935</x:v>
      </x:c>
      <x:c r="BB426" s="8" t="n">
        <x:f>LET(m,MIN(IF(D426&gt;0,D426,1E+99),IF(F426&gt;0,F426,1E+99),IF(H426&gt;0,H426,1E+99),IF(J426&gt;0,J426,1E+99),IF(L426&gt;0,L426,1E+99),IF(N426&gt;0,N426,1E+99),IF(P426&gt;0,P426,1E+99),IF(R426&gt;0,R426,1E+99),IF(T426&gt;0,T426,1E+99),IF(V426&gt;0,V426,1E+99),IF(X426&gt;0,X426,1E+99),IF(Z426&gt;0,Z426,1E+99),IF(AB426&gt;0,AB426,1E+99),IF(AD426&gt;0,AD426,1E+99),IF(AF426&gt;0,AF426,1E+99),IF(AH426&gt;0,AH426,1E+99),IF(AJ426&gt;0,AJ426,1E+99),IF(AL426&gt;0,AL426,1E+99),IF(AN426&gt;0,AN426,1E+99),IF(AP426&gt;0,AP426,1E+99),IF(AR426&gt;0,AR426,1E+99),IF(AT426&gt;0,AT426,1E+99),IF(AV426&gt;0,AV426,1E+99),IF(AX426&gt;0,AX426,1E+99),IF(AZ426&gt;0,AZ426,1E+99)),IF(m=1E+99,"",m))</x:f>
        <x:v>0.235</x:v>
      </x:c>
      <x:c r="BC426" s="12" t="str">
        <x:f>IF(BB426="","",INDEX({"v1.4.20","v1.4.20","v1.4.21","v1.4.21","v1.4.23","v1.4.23","v1.4.26","v1.4.26","v1.4.26.1","v1.4.26.1","v1.4.27","v1.4.27","v1.4.29","v1.4.29","v1.4.30","v1.4.30","v1.4.31","v1.4.31","v1.4.33","v1.4.33","v1.4.35","v1.4.35.2","v1.5","v1.5.1","v1.5.1"},MATCH(BB426,CHOOSE({1,2,3,4,5,6,7,8,9,10,11,12,13,14,15,16,17,18,19,20,21,22,23,24,25},D426,F426,H426,J426,L426,N426,P426,R426,T426,V426,X426,Z426,AB426,AD426,AF426,AH426,AJ426,AL426,AN426,AP426,AR426,AT426,AV426,AX426,AZ426),0)))</x:f>
        <x:v>v1.4.20</x:v>
      </x:c>
      <x:c r="BD426" s="14" t="n">
        <x:f>LET(m,MIN(IF(E426&gt;0,E426,1E+99),IF(G426&gt;0,G426,1E+99),IF(I426&gt;0,I426,1E+99),IF(K426&gt;0,K426,1E+99),IF(M426&gt;0,M426,1E+99),IF(O426&gt;0,O426,1E+99),IF(Q426&gt;0,Q426,1E+99),IF(S426&gt;0,S426,1E+99),IF(U426&gt;0,U426,1E+99),IF(W426&gt;0,W426,1E+99),IF(Y426&gt;0,Y426,1E+99),IF(AA426&gt;0,AA426,1E+99),IF(AC426&gt;0,AC426,1E+99),IF(AE426&gt;0,AE426,1E+99),IF(AG426&gt;0,AG426,1E+99),IF(AI426&gt;0,AI426,1E+99),IF(AK426&gt;0,AK426,1E+99),IF(AM426&gt;0,AM426,1E+99),IF(AO426&gt;0,AO426,1E+99),IF(AQ426&gt;0,AQ426,1E+99),IF(AS426&gt;0,AS426,1E+99),IF(AU426&gt;0,AU426,1E+99),IF(AW426&gt;0,AW426,1E+99),IF(AY426&gt;0,AY426,1E+99),IF(BA426&gt;0,BA426,1E+99)),IF(m=1E+99,"",m))</x:f>
        <x:v>12.04</x:v>
      </x:c>
      <x:c r="BE426" s="16" t="e">
        <x:f>IF(BD426="","",INDEX({"v1.4.20","v1.4.20","v1.4.21","v1.4.21","v1.4.23","v1.4.23","v1.4.26","v1.4.26","v1.4.26.1","v1.4.26.1","v1.4.27","v1.4.27","v1.4.29","v1.4.29","v1.4.30","v1.4.30","v1.4.31","v1.4.31","v1.4.33","v1.4.33","v1.4.35","v1.4.35.2","v1.5","v1.5.1","v1.5.1"},MATCH(BD426,CHOOSE({1,2,3,4,5,6,7,8,9,10,11,12,13,14,15,16,17,18,19,20,21,22,23,24,25},E426,G426,I426,K426,M426,O426,Q426,S426,U426,W426,Y426,AA426,AC426,AE426,AG426,AI426,AK426,AM426,AO426,AQ426,AS426,AU426,AW426,AY426,BA426),0)))</x:f>
      </x:c>
      <x:c r="BF426" s="10" t="n">
        <x:f>IFERROR((AX426-BB426)/BB426,"")</x:f>
        <x:v>1.8978723404255322</x:v>
      </x:c>
      <x:c r="BG426" s="10" t="n">
        <x:f>IFERROR((AY426-BD426)/BD426,"")</x:f>
        <x:v>0.5726744186046512</x:v>
      </x:c>
    </x:row>
    <x:row r="427">
      <x:c r="A427" t="str">
        <x:v>Raw Data</x:v>
      </x:c>
      <x:c r="B427" t="str">
        <x:v>Format Raw Data</x:v>
      </x:c>
      <x:c r="C427" t="str">
        <x:v>Apply alternating color rules: Template - Raw Data</x:v>
      </x:c>
      <x:c r="D427" s="8" t="n">
        <x:v>4.132</x:v>
      </x:c>
      <x:c r="E427" s="8" t="n">
        <x:v>14.58</x:v>
      </x:c>
      <x:c r="F427" s="8" t="n">
        <x:v>4.132</x:v>
      </x:c>
      <x:c r="G427" s="8" t="n">
        <x:v>14.58</x:v>
      </x:c>
      <x:c r="H427" s="8" t="n">
        <x:v>2.357</x:v>
      </x:c>
      <x:c r="I427" s="8" t="n">
        <x:v>14.031</x:v>
      </x:c>
      <x:c r="J427" s="8" t="n">
        <x:v>2.357</x:v>
      </x:c>
      <x:c r="K427" s="8" t="n">
        <x:v>14.031</x:v>
      </x:c>
      <x:c r="L427" s="8" t="n">
        <x:v>3.481</x:v>
      </x:c>
      <x:c r="M427" s="8" t="n">
        <x:v>18.715</x:v>
      </x:c>
      <x:c r="N427" s="8" t="n">
        <x:v>3.481</x:v>
      </x:c>
      <x:c r="O427" s="8" t="n">
        <x:v>18.715</x:v>
      </x:c>
      <x:c r="P427" s="8"/>
      <x:c r="Q427" s="8"/>
      <x:c r="R427" s="8"/>
      <x:c r="S427" s="8"/>
      <x:c r="T427" s="8"/>
      <x:c r="U427" s="8"/>
      <x:c r="V427" s="8"/>
      <x:c r="W427" s="8"/>
      <x:c r="X427" s="8"/>
      <x:c r="Y427" s="8"/>
      <x:c r="Z427" s="8"/>
      <x:c r="AA427" s="8"/>
      <x:c r="AB427" s="8"/>
      <x:c r="AC427" s="8"/>
      <x:c r="AD427" s="8"/>
      <x:c r="AE427" s="8"/>
      <x:c r="AF427" s="8"/>
      <x:c r="AG427" s="8"/>
      <x:c r="AH427" s="8"/>
      <x:c r="AI427" s="8"/>
      <x:c r="AJ427" s="8"/>
      <x:c r="AK427" s="8"/>
      <x:c r="AL427" s="8"/>
      <x:c r="AM427" s="8"/>
      <x:c r="AN427" s="8"/>
      <x:c r="AO427" s="8"/>
      <x:c r="AP427" s="8"/>
      <x:c r="AQ427" s="8"/>
      <x:c r="AR427" s="8"/>
      <x:c r="AS427" s="8"/>
      <x:c r="AT427" s="8"/>
      <x:c r="AU427" s="8"/>
      <x:c r="AV427" s="8"/>
      <x:c r="AW427" s="8"/>
      <x:c r="AX427" s="8"/>
      <x:c r="AY427" s="8"/>
      <x:c r="AZ427" s="8"/>
      <x:c r="BA427" s="8"/>
      <x:c r="BB427" s="8" t="n">
        <x:f>LET(m,MIN(IF(D427&gt;0,D427,1E+99),IF(F427&gt;0,F427,1E+99),IF(H427&gt;0,H427,1E+99),IF(J427&gt;0,J427,1E+99),IF(L427&gt;0,L427,1E+99),IF(N427&gt;0,N427,1E+99),IF(P427&gt;0,P427,1E+99),IF(R427&gt;0,R427,1E+99),IF(T427&gt;0,T427,1E+99),IF(V427&gt;0,V427,1E+99),IF(X427&gt;0,X427,1E+99),IF(Z427&gt;0,Z427,1E+99),IF(AB427&gt;0,AB427,1E+99),IF(AD427&gt;0,AD427,1E+99),IF(AF427&gt;0,AF427,1E+99),IF(AH427&gt;0,AH427,1E+99),IF(AJ427&gt;0,AJ427,1E+99),IF(AL427&gt;0,AL427,1E+99),IF(AN427&gt;0,AN427,1E+99),IF(AP427&gt;0,AP427,1E+99),IF(AR427&gt;0,AR427,1E+99),IF(AT427&gt;0,AT427,1E+99),IF(AV427&gt;0,AV427,1E+99),IF(AX427&gt;0,AX427,1E+99),IF(AZ427&gt;0,AZ427,1E+99)),IF(m=1E+99,"",m))</x:f>
        <x:v>2.357</x:v>
      </x:c>
      <x:c r="BC427" s="12" t="e">
        <x:f>IF(BB427="","",INDEX({"v1.4.20","v1.4.20","v1.4.21","v1.4.21","v1.4.23","v1.4.23","v1.4.26","v1.4.26","v1.4.26.1","v1.4.26.1","v1.4.27","v1.4.27","v1.4.29","v1.4.29","v1.4.30","v1.4.30","v1.4.31","v1.4.31","v1.4.33","v1.4.33","v1.4.35","v1.4.35.2","v1.5","v1.5.1","v1.5.1"},MATCH(BB427,CHOOSE({1,2,3,4,5,6,7,8,9,10,11,12,13,14,15,16,17,18,19,20,21,22,23,24,25},D427,F427,H427,J427,L427,N427,P427,R427,T427,V427,X427,Z427,AB427,AD427,AF427,AH427,AJ427,AL427,AN427,AP427,AR427,AT427,AV427,AX427,AZ427),0)))</x:f>
      </x:c>
      <x:c r="BD427" s="14" t="n">
        <x:f>LET(m,MIN(IF(E427&gt;0,E427,1E+99),IF(G427&gt;0,G427,1E+99),IF(I427&gt;0,I427,1E+99),IF(K427&gt;0,K427,1E+99),IF(M427&gt;0,M427,1E+99),IF(O427&gt;0,O427,1E+99),IF(Q427&gt;0,Q427,1E+99),IF(S427&gt;0,S427,1E+99),IF(U427&gt;0,U427,1E+99),IF(W427&gt;0,W427,1E+99),IF(Y427&gt;0,Y427,1E+99),IF(AA427&gt;0,AA427,1E+99),IF(AC427&gt;0,AC427,1E+99),IF(AE427&gt;0,AE427,1E+99),IF(AG427&gt;0,AG427,1E+99),IF(AI427&gt;0,AI427,1E+99),IF(AK427&gt;0,AK427,1E+99),IF(AM427&gt;0,AM427,1E+99),IF(AO427&gt;0,AO427,1E+99),IF(AQ427&gt;0,AQ427,1E+99),IF(AS427&gt;0,AS427,1E+99),IF(AU427&gt;0,AU427,1E+99),IF(AW427&gt;0,AW427,1E+99),IF(AY427&gt;0,AY427,1E+99),IF(BA427&gt;0,BA427,1E+99)),IF(m=1E+99,"",m))</x:f>
        <x:v>14.031</x:v>
      </x:c>
      <x:c r="BE427" s="16" t="e">
        <x:f>IF(BD427="","",INDEX({"v1.4.20","v1.4.20","v1.4.21","v1.4.21","v1.4.23","v1.4.23","v1.4.26","v1.4.26","v1.4.26.1","v1.4.26.1","v1.4.27","v1.4.27","v1.4.29","v1.4.29","v1.4.30","v1.4.30","v1.4.31","v1.4.31","v1.4.33","v1.4.33","v1.4.35","v1.4.35.2","v1.5","v1.5.1","v1.5.1"},MATCH(BD427,CHOOSE({1,2,3,4,5,6,7,8,9,10,11,12,13,14,15,16,17,18,19,20,21,22,23,24,25},E427,G427,I427,K427,M427,O427,Q427,S427,U427,W427,Y427,AA427,AC427,AE427,AG427,AI427,AK427,AM427,AO427,AQ427,AS427,AU427,AW427,AY427,BA427),0)))</x:f>
      </x:c>
      <x:c r="BF427" s="10" t="n">
        <x:f>IFERROR((AX427-BB427)/BB427,"")</x:f>
        <x:v>-1</x:v>
      </x:c>
      <x:c r="BG427" s="10" t="n">
        <x:f>IFERROR((AY427-BD427)/BD427,"")</x:f>
        <x:v>-1</x:v>
      </x:c>
    </x:row>
    <x:row r="428">
      <x:c r="A428" t="str">
        <x:v>Raw Data</x:v>
      </x:c>
      <x:c r="B428" t="str">
        <x:v>Format Raw Data</x:v>
      </x:c>
      <x:c r="C428" t="str">
        <x:v>Apply column widths: Template - Raw Data</x:v>
      </x:c>
      <x:c r="D428" s="8" t="n">
        <x:v>4.227</x:v>
      </x:c>
      <x:c r="E428" s="8" t="n">
        <x:v>18.809</x:v>
      </x:c>
      <x:c r="F428" s="8" t="n">
        <x:v>4.227</x:v>
      </x:c>
      <x:c r="G428" s="8" t="n">
        <x:v>18.809</x:v>
      </x:c>
      <x:c r="H428" s="8" t="n">
        <x:v>3.981</x:v>
      </x:c>
      <x:c r="I428" s="8" t="n">
        <x:v>18.014</x:v>
      </x:c>
      <x:c r="J428" s="8" t="n">
        <x:v>3.981</x:v>
      </x:c>
      <x:c r="K428" s="8" t="n">
        <x:v>18.014</x:v>
      </x:c>
      <x:c r="L428" s="8" t="n">
        <x:v>6.245</x:v>
      </x:c>
      <x:c r="M428" s="8" t="n">
        <x:v>24.961</x:v>
      </x:c>
      <x:c r="N428" s="8" t="n">
        <x:v>6.245</x:v>
      </x:c>
      <x:c r="O428" s="8" t="n">
        <x:v>24.961</x:v>
      </x:c>
      <x:c r="P428" s="8"/>
      <x:c r="Q428" s="8"/>
      <x:c r="R428" s="8"/>
      <x:c r="S428" s="8"/>
      <x:c r="T428" s="8"/>
      <x:c r="U428" s="8"/>
      <x:c r="V428" s="8"/>
      <x:c r="W428" s="8"/>
      <x:c r="X428" s="8"/>
      <x:c r="Y428" s="8"/>
      <x:c r="Z428" s="8"/>
      <x:c r="AA428" s="8"/>
      <x:c r="AB428" s="8"/>
      <x:c r="AC428" s="8"/>
      <x:c r="AD428" s="8"/>
      <x:c r="AE428" s="8"/>
      <x:c r="AF428" s="8"/>
      <x:c r="AG428" s="8"/>
      <x:c r="AH428" s="8"/>
      <x:c r="AI428" s="8"/>
      <x:c r="AJ428" s="8"/>
      <x:c r="AK428" s="8"/>
      <x:c r="AL428" s="8"/>
      <x:c r="AM428" s="8"/>
      <x:c r="AN428" s="8"/>
      <x:c r="AO428" s="8"/>
      <x:c r="AP428" s="8"/>
      <x:c r="AQ428" s="8"/>
      <x:c r="AR428" s="8"/>
      <x:c r="AS428" s="8"/>
      <x:c r="AT428" s="8"/>
      <x:c r="AU428" s="8"/>
      <x:c r="AV428" s="8"/>
      <x:c r="AW428" s="8"/>
      <x:c r="AX428" s="8"/>
      <x:c r="AY428" s="8"/>
      <x:c r="AZ428" s="8"/>
      <x:c r="BA428" s="8"/>
      <x:c r="BB428" s="8" t="n">
        <x:f>LET(m,MIN(IF(D428&gt;0,D428,1E+99),IF(F428&gt;0,F428,1E+99),IF(H428&gt;0,H428,1E+99),IF(J428&gt;0,J428,1E+99),IF(L428&gt;0,L428,1E+99),IF(N428&gt;0,N428,1E+99),IF(P428&gt;0,P428,1E+99),IF(R428&gt;0,R428,1E+99),IF(T428&gt;0,T428,1E+99),IF(V428&gt;0,V428,1E+99),IF(X428&gt;0,X428,1E+99),IF(Z428&gt;0,Z428,1E+99),IF(AB428&gt;0,AB428,1E+99),IF(AD428&gt;0,AD428,1E+99),IF(AF428&gt;0,AF428,1E+99),IF(AH428&gt;0,AH428,1E+99),IF(AJ428&gt;0,AJ428,1E+99),IF(AL428&gt;0,AL428,1E+99),IF(AN428&gt;0,AN428,1E+99),IF(AP428&gt;0,AP428,1E+99),IF(AR428&gt;0,AR428,1E+99),IF(AT428&gt;0,AT428,1E+99),IF(AV428&gt;0,AV428,1E+99),IF(AX428&gt;0,AX428,1E+99),IF(AZ428&gt;0,AZ428,1E+99)),IF(m=1E+99,"",m))</x:f>
        <x:v>3.981</x:v>
      </x:c>
      <x:c r="BC428" s="12" t="e">
        <x:f>IF(BB428="","",INDEX({"v1.4.20","v1.4.20","v1.4.21","v1.4.21","v1.4.23","v1.4.23","v1.4.26","v1.4.26","v1.4.26.1","v1.4.26.1","v1.4.27","v1.4.27","v1.4.29","v1.4.29","v1.4.30","v1.4.30","v1.4.31","v1.4.31","v1.4.33","v1.4.33","v1.4.35","v1.4.35.2","v1.5","v1.5.1","v1.5.1"},MATCH(BB428,CHOOSE({1,2,3,4,5,6,7,8,9,10,11,12,13,14,15,16,17,18,19,20,21,22,23,24,25},D428,F428,H428,J428,L428,N428,P428,R428,T428,V428,X428,Z428,AB428,AD428,AF428,AH428,AJ428,AL428,AN428,AP428,AR428,AT428,AV428,AX428,AZ428),0)))</x:f>
      </x:c>
      <x:c r="BD428" s="14" t="n">
        <x:f>LET(m,MIN(IF(E428&gt;0,E428,1E+99),IF(G428&gt;0,G428,1E+99),IF(I428&gt;0,I428,1E+99),IF(K428&gt;0,K428,1E+99),IF(M428&gt;0,M428,1E+99),IF(O428&gt;0,O428,1E+99),IF(Q428&gt;0,Q428,1E+99),IF(S428&gt;0,S428,1E+99),IF(U428&gt;0,U428,1E+99),IF(W428&gt;0,W428,1E+99),IF(Y428&gt;0,Y428,1E+99),IF(AA428&gt;0,AA428,1E+99),IF(AC428&gt;0,AC428,1E+99),IF(AE428&gt;0,AE428,1E+99),IF(AG428&gt;0,AG428,1E+99),IF(AI428&gt;0,AI428,1E+99),IF(AK428&gt;0,AK428,1E+99),IF(AM428&gt;0,AM428,1E+99),IF(AO428&gt;0,AO428,1E+99),IF(AQ428&gt;0,AQ428,1E+99),IF(AS428&gt;0,AS428,1E+99),IF(AU428&gt;0,AU428,1E+99),IF(AW428&gt;0,AW428,1E+99),IF(AY428&gt;0,AY428,1E+99),IF(BA428&gt;0,BA428,1E+99)),IF(m=1E+99,"",m))</x:f>
        <x:v>18.014</x:v>
      </x:c>
      <x:c r="BE428" s="16" t="e">
        <x:f>IF(BD428="","",INDEX({"v1.4.20","v1.4.20","v1.4.21","v1.4.21","v1.4.23","v1.4.23","v1.4.26","v1.4.26","v1.4.26.1","v1.4.26.1","v1.4.27","v1.4.27","v1.4.29","v1.4.29","v1.4.30","v1.4.30","v1.4.31","v1.4.31","v1.4.33","v1.4.33","v1.4.35","v1.4.35.2","v1.5","v1.5.1","v1.5.1"},MATCH(BD428,CHOOSE({1,2,3,4,5,6,7,8,9,10,11,12,13,14,15,16,17,18,19,20,21,22,23,24,25},E428,G428,I428,K428,M428,O428,Q428,S428,U428,W428,Y428,AA428,AC428,AE428,AG428,AI428,AK428,AM428,AO428,AQ428,AS428,AU428,AW428,AY428,BA428),0)))</x:f>
      </x:c>
      <x:c r="BF428" s="10" t="n">
        <x:f>IFERROR((AX428-BB428)/BB428,"")</x:f>
        <x:v>-1</x:v>
      </x:c>
      <x:c r="BG428" s="10" t="n">
        <x:f>IFERROR((AY428-BD428)/BD428,"")</x:f>
        <x:v>-1</x:v>
      </x:c>
    </x:row>
    <x:row r="429">
      <x:c r="A429" t="str">
        <x:v>Raw Data</x:v>
      </x:c>
      <x:c r="B429" t="str">
        <x:v>Format Raw Data</x:v>
      </x:c>
      <x:c r="C429" t="str">
        <x:v>Apply data row base style: Template - Raw Data</x:v>
      </x:c>
      <x:c r="D429" s="8" t="n">
        <x:v>0.002</x:v>
      </x:c>
      <x:c r="E429" s="8" t="n">
        <x:v>14.582</x:v>
      </x:c>
      <x:c r="F429" s="8" t="n">
        <x:v>0.002</x:v>
      </x:c>
      <x:c r="G429" s="8" t="n">
        <x:v>14.582</x:v>
      </x:c>
      <x:c r="H429" s="8" t="n">
        <x:v>0.002</x:v>
      </x:c>
      <x:c r="I429" s="8" t="n">
        <x:v>14.033</x:v>
      </x:c>
      <x:c r="J429" s="8" t="n">
        <x:v>0.002</x:v>
      </x:c>
      <x:c r="K429" s="8" t="n">
        <x:v>14.033</x:v>
      </x:c>
      <x:c r="L429" s="8" t="n">
        <x:v>0.001</x:v>
      </x:c>
      <x:c r="M429" s="8" t="n">
        <x:v>18.716</x:v>
      </x:c>
      <x:c r="N429" s="8" t="n">
        <x:v>0.001</x:v>
      </x:c>
      <x:c r="O429" s="8" t="n">
        <x:v>18.716</x:v>
      </x:c>
      <x:c r="P429" s="8"/>
      <x:c r="Q429" s="8"/>
      <x:c r="R429" s="8"/>
      <x:c r="S429" s="8"/>
      <x:c r="T429" s="8"/>
      <x:c r="U429" s="8"/>
      <x:c r="V429" s="8"/>
      <x:c r="W429" s="8"/>
      <x:c r="X429" s="8"/>
      <x:c r="Y429" s="8"/>
      <x:c r="Z429" s="8"/>
      <x:c r="AA429" s="8"/>
      <x:c r="AB429" s="8"/>
      <x:c r="AC429" s="8"/>
      <x:c r="AD429" s="8"/>
      <x:c r="AE429" s="8"/>
      <x:c r="AF429" s="8"/>
      <x:c r="AG429" s="8"/>
      <x:c r="AH429" s="8"/>
      <x:c r="AI429" s="8"/>
      <x:c r="AJ429" s="8"/>
      <x:c r="AK429" s="8"/>
      <x:c r="AL429" s="8"/>
      <x:c r="AM429" s="8"/>
      <x:c r="AN429" s="8"/>
      <x:c r="AO429" s="8"/>
      <x:c r="AP429" s="8"/>
      <x:c r="AQ429" s="8"/>
      <x:c r="AR429" s="8"/>
      <x:c r="AS429" s="8"/>
      <x:c r="AT429" s="8"/>
      <x:c r="AU429" s="8"/>
      <x:c r="AV429" s="8"/>
      <x:c r="AW429" s="8"/>
      <x:c r="AX429" s="8"/>
      <x:c r="AY429" s="8"/>
      <x:c r="AZ429" s="8"/>
      <x:c r="BA429" s="8"/>
      <x:c r="BB429" s="8" t="n">
        <x:f>LET(m,MIN(IF(D429&gt;0,D429,1E+99),IF(F429&gt;0,F429,1E+99),IF(H429&gt;0,H429,1E+99),IF(J429&gt;0,J429,1E+99),IF(L429&gt;0,L429,1E+99),IF(N429&gt;0,N429,1E+99),IF(P429&gt;0,P429,1E+99),IF(R429&gt;0,R429,1E+99),IF(T429&gt;0,T429,1E+99),IF(V429&gt;0,V429,1E+99),IF(X429&gt;0,X429,1E+99),IF(Z429&gt;0,Z429,1E+99),IF(AB429&gt;0,AB429,1E+99),IF(AD429&gt;0,AD429,1E+99),IF(AF429&gt;0,AF429,1E+99),IF(AH429&gt;0,AH429,1E+99),IF(AJ429&gt;0,AJ429,1E+99),IF(AL429&gt;0,AL429,1E+99),IF(AN429&gt;0,AN429,1E+99),IF(AP429&gt;0,AP429,1E+99),IF(AR429&gt;0,AR429,1E+99),IF(AT429&gt;0,AT429,1E+99),IF(AV429&gt;0,AV429,1E+99),IF(AX429&gt;0,AX429,1E+99),IF(AZ429&gt;0,AZ429,1E+99)),IF(m=1E+99,"",m))</x:f>
        <x:v>0.001</x:v>
      </x:c>
      <x:c r="BC429" s="12" t="e">
        <x:f>IF(BB429="","",INDEX({"v1.4.20","v1.4.20","v1.4.21","v1.4.21","v1.4.23","v1.4.23","v1.4.26","v1.4.26","v1.4.26.1","v1.4.26.1","v1.4.27","v1.4.27","v1.4.29","v1.4.29","v1.4.30","v1.4.30","v1.4.31","v1.4.31","v1.4.33","v1.4.33","v1.4.35","v1.4.35.2","v1.5","v1.5.1","v1.5.1"},MATCH(BB429,CHOOSE({1,2,3,4,5,6,7,8,9,10,11,12,13,14,15,16,17,18,19,20,21,22,23,24,25},D429,F429,H429,J429,L429,N429,P429,R429,T429,V429,X429,Z429,AB429,AD429,AF429,AH429,AJ429,AL429,AN429,AP429,AR429,AT429,AV429,AX429,AZ429),0)))</x:f>
      </x:c>
      <x:c r="BD429" s="14" t="n">
        <x:f>LET(m,MIN(IF(E429&gt;0,E429,1E+99),IF(G429&gt;0,G429,1E+99),IF(I429&gt;0,I429,1E+99),IF(K429&gt;0,K429,1E+99),IF(M429&gt;0,M429,1E+99),IF(O429&gt;0,O429,1E+99),IF(Q429&gt;0,Q429,1E+99),IF(S429&gt;0,S429,1E+99),IF(U429&gt;0,U429,1E+99),IF(W429&gt;0,W429,1E+99),IF(Y429&gt;0,Y429,1E+99),IF(AA429&gt;0,AA429,1E+99),IF(AC429&gt;0,AC429,1E+99),IF(AE429&gt;0,AE429,1E+99),IF(AG429&gt;0,AG429,1E+99),IF(AI429&gt;0,AI429,1E+99),IF(AK429&gt;0,AK429,1E+99),IF(AM429&gt;0,AM429,1E+99),IF(AO429&gt;0,AO429,1E+99),IF(AQ429&gt;0,AQ429,1E+99),IF(AS429&gt;0,AS429,1E+99),IF(AU429&gt;0,AU429,1E+99),IF(AW429&gt;0,AW429,1E+99),IF(AY429&gt;0,AY429,1E+99),IF(BA429&gt;0,BA429,1E+99)),IF(m=1E+99,"",m))</x:f>
        <x:v>14.033</x:v>
      </x:c>
      <x:c r="BE429" s="16" t="e">
        <x:f>IF(BD429="","",INDEX({"v1.4.20","v1.4.20","v1.4.21","v1.4.21","v1.4.23","v1.4.23","v1.4.26","v1.4.26","v1.4.26.1","v1.4.26.1","v1.4.27","v1.4.27","v1.4.29","v1.4.29","v1.4.30","v1.4.30","v1.4.31","v1.4.31","v1.4.33","v1.4.33","v1.4.35","v1.4.35.2","v1.5","v1.5.1","v1.5.1"},MATCH(BD429,CHOOSE({1,2,3,4,5,6,7,8,9,10,11,12,13,14,15,16,17,18,19,20,21,22,23,24,25},E429,G429,I429,K429,M429,O429,Q429,S429,U429,W429,Y429,AA429,AC429,AE429,AG429,AI429,AK429,AM429,AO429,AQ429,AS429,AU429,AW429,AY429,BA429),0)))</x:f>
      </x:c>
      <x:c r="BF429" s="10" t="n">
        <x:f>IFERROR((AX429-BB429)/BB429,"")</x:f>
        <x:v>-1</x:v>
      </x:c>
      <x:c r="BG429" s="10" t="n">
        <x:f>IFERROR((AY429-BD429)/BD429,"")</x:f>
        <x:v>-1</x:v>
      </x:c>
    </x:row>
    <x:row r="430">
      <x:c r="A430" t="str">
        <x:v>Raw Data</x:v>
      </x:c>
      <x:c r="B430" t="str">
        <x:v>Format Raw Data</x:v>
      </x:c>
      <x:c r="C430" t="str">
        <x:v>Apply date/number formats: Template - Raw Data</x:v>
      </x:c>
      <x:c r="D430" s="8" t="n">
        <x:v>0.116</x:v>
      </x:c>
      <x:c r="E430" s="8" t="n">
        <x:v>18.925</x:v>
      </x:c>
      <x:c r="F430" s="8" t="n">
        <x:v>0.116</x:v>
      </x:c>
      <x:c r="G430" s="8" t="n">
        <x:v>18.925</x:v>
      </x:c>
      <x:c r="H430" s="8" t="n">
        <x:v>0.109</x:v>
      </x:c>
      <x:c r="I430" s="8" t="n">
        <x:v>18.123</x:v>
      </x:c>
      <x:c r="J430" s="8" t="n">
        <x:v>0.109</x:v>
      </x:c>
      <x:c r="K430" s="8" t="n">
        <x:v>18.123</x:v>
      </x:c>
      <x:c r="L430" s="8" t="n">
        <x:v>0.095</x:v>
      </x:c>
      <x:c r="M430" s="8" t="n">
        <x:v>25.056</x:v>
      </x:c>
      <x:c r="N430" s="8" t="n">
        <x:v>0.095</x:v>
      </x:c>
      <x:c r="O430" s="8" t="n">
        <x:v>25.056</x:v>
      </x:c>
      <x:c r="P430" s="8"/>
      <x:c r="Q430" s="8"/>
      <x:c r="R430" s="8"/>
      <x:c r="S430" s="8"/>
      <x:c r="T430" s="8"/>
      <x:c r="U430" s="8"/>
      <x:c r="V430" s="8"/>
      <x:c r="W430" s="8"/>
      <x:c r="X430" s="8"/>
      <x:c r="Y430" s="8"/>
      <x:c r="Z430" s="8"/>
      <x:c r="AA430" s="8"/>
      <x:c r="AB430" s="8"/>
      <x:c r="AC430" s="8"/>
      <x:c r="AD430" s="8"/>
      <x:c r="AE430" s="8"/>
      <x:c r="AF430" s="8"/>
      <x:c r="AG430" s="8"/>
      <x:c r="AH430" s="8"/>
      <x:c r="AI430" s="8"/>
      <x:c r="AJ430" s="8"/>
      <x:c r="AK430" s="8"/>
      <x:c r="AL430" s="8"/>
      <x:c r="AM430" s="8"/>
      <x:c r="AN430" s="8"/>
      <x:c r="AO430" s="8"/>
      <x:c r="AP430" s="8"/>
      <x:c r="AQ430" s="8"/>
      <x:c r="AR430" s="8"/>
      <x:c r="AS430" s="8"/>
      <x:c r="AT430" s="8"/>
      <x:c r="AU430" s="8"/>
      <x:c r="AV430" s="8"/>
      <x:c r="AW430" s="8"/>
      <x:c r="AX430" s="8"/>
      <x:c r="AY430" s="8"/>
      <x:c r="AZ430" s="8"/>
      <x:c r="BA430" s="8"/>
      <x:c r="BB430" s="8" t="n">
        <x:f>LET(m,MIN(IF(D430&gt;0,D430,1E+99),IF(F430&gt;0,F430,1E+99),IF(H430&gt;0,H430,1E+99),IF(J430&gt;0,J430,1E+99),IF(L430&gt;0,L430,1E+99),IF(N430&gt;0,N430,1E+99),IF(P430&gt;0,P430,1E+99),IF(R430&gt;0,R430,1E+99),IF(T430&gt;0,T430,1E+99),IF(V430&gt;0,V430,1E+99),IF(X430&gt;0,X430,1E+99),IF(Z430&gt;0,Z430,1E+99),IF(AB430&gt;0,AB430,1E+99),IF(AD430&gt;0,AD430,1E+99),IF(AF430&gt;0,AF430,1E+99),IF(AH430&gt;0,AH430,1E+99),IF(AJ430&gt;0,AJ430,1E+99),IF(AL430&gt;0,AL430,1E+99),IF(AN430&gt;0,AN430,1E+99),IF(AP430&gt;0,AP430,1E+99),IF(AR430&gt;0,AR430,1E+99),IF(AT430&gt;0,AT430,1E+99),IF(AV430&gt;0,AV430,1E+99),IF(AX430&gt;0,AX430,1E+99),IF(AZ430&gt;0,AZ430,1E+99)),IF(m=1E+99,"",m))</x:f>
        <x:v>0.095</x:v>
      </x:c>
      <x:c r="BC430" s="12" t="e">
        <x:f>IF(BB430="","",INDEX({"v1.4.20","v1.4.20","v1.4.21","v1.4.21","v1.4.23","v1.4.23","v1.4.26","v1.4.26","v1.4.26.1","v1.4.26.1","v1.4.27","v1.4.27","v1.4.29","v1.4.29","v1.4.30","v1.4.30","v1.4.31","v1.4.31","v1.4.33","v1.4.33","v1.4.35","v1.4.35.2","v1.5","v1.5.1","v1.5.1"},MATCH(BB430,CHOOSE({1,2,3,4,5,6,7,8,9,10,11,12,13,14,15,16,17,18,19,20,21,22,23,24,25},D430,F430,H430,J430,L430,N430,P430,R430,T430,V430,X430,Z430,AB430,AD430,AF430,AH430,AJ430,AL430,AN430,AP430,AR430,AT430,AV430,AX430,AZ430),0)))</x:f>
      </x:c>
      <x:c r="BD430" s="14" t="n">
        <x:f>LET(m,MIN(IF(E430&gt;0,E430,1E+99),IF(G430&gt;0,G430,1E+99),IF(I430&gt;0,I430,1E+99),IF(K430&gt;0,K430,1E+99),IF(M430&gt;0,M430,1E+99),IF(O430&gt;0,O430,1E+99),IF(Q430&gt;0,Q430,1E+99),IF(S430&gt;0,S430,1E+99),IF(U430&gt;0,U430,1E+99),IF(W430&gt;0,W430,1E+99),IF(Y430&gt;0,Y430,1E+99),IF(AA430&gt;0,AA430,1E+99),IF(AC430&gt;0,AC430,1E+99),IF(AE430&gt;0,AE430,1E+99),IF(AG430&gt;0,AG430,1E+99),IF(AI430&gt;0,AI430,1E+99),IF(AK430&gt;0,AK430,1E+99),IF(AM430&gt;0,AM430,1E+99),IF(AO430&gt;0,AO430,1E+99),IF(AQ430&gt;0,AQ430,1E+99),IF(AS430&gt;0,AS430,1E+99),IF(AU430&gt;0,AU430,1E+99),IF(AW430&gt;0,AW430,1E+99),IF(AY430&gt;0,AY430,1E+99),IF(BA430&gt;0,BA430,1E+99)),IF(m=1E+99,"",m))</x:f>
        <x:v>18.123</x:v>
      </x:c>
      <x:c r="BE430" s="16" t="e">
        <x:f>IF(BD430="","",INDEX({"v1.4.20","v1.4.20","v1.4.21","v1.4.21","v1.4.23","v1.4.23","v1.4.26","v1.4.26","v1.4.26.1","v1.4.26.1","v1.4.27","v1.4.27","v1.4.29","v1.4.29","v1.4.30","v1.4.30","v1.4.31","v1.4.31","v1.4.33","v1.4.33","v1.4.35","v1.4.35.2","v1.5","v1.5.1","v1.5.1"},MATCH(BD430,CHOOSE({1,2,3,4,5,6,7,8,9,10,11,12,13,14,15,16,17,18,19,20,21,22,23,24,25},E430,G430,I430,K430,M430,O430,Q430,S430,U430,W430,Y430,AA430,AC430,AE430,AG430,AI430,AK430,AM430,AO430,AQ430,AS430,AU430,AW430,AY430,BA430),0)))</x:f>
      </x:c>
      <x:c r="BF430" s="10" t="n">
        <x:f>IFERROR((AX430-BB430)/BB430,"")</x:f>
        <x:v>-1</x:v>
      </x:c>
      <x:c r="BG430" s="10" t="n">
        <x:f>IFERROR((AY430-BD430)/BD430,"")</x:f>
        <x:v>-1</x:v>
      </x:c>
    </x:row>
    <x:row r="431">
      <x:c r="A431" t="str">
        <x:v>Raw Data</x:v>
      </x:c>
      <x:c r="B431" t="str">
        <x:v>Format Raw Data</x:v>
      </x:c>
      <x:c r="C431" t="str">
        <x:v>Apply header row: Template - Raw Data</x:v>
      </x:c>
      <x:c r="D431" s="8" t="n">
        <x:v>0.294</x:v>
      </x:c>
      <x:c r="E431" s="8" t="n">
        <x:v>10.448</x:v>
      </x:c>
      <x:c r="F431" s="8" t="n">
        <x:v>0.294</x:v>
      </x:c>
      <x:c r="G431" s="8" t="n">
        <x:v>10.448</x:v>
      </x:c>
      <x:c r="H431" s="8" t="n">
        <x:v>0.339</x:v>
      </x:c>
      <x:c r="I431" s="8" t="n">
        <x:v>11.674</x:v>
      </x:c>
      <x:c r="J431" s="8" t="n">
        <x:v>0.339</x:v>
      </x:c>
      <x:c r="K431" s="8" t="n">
        <x:v>11.674</x:v>
      </x:c>
      <x:c r="L431" s="8" t="n">
        <x:v>0.299</x:v>
      </x:c>
      <x:c r="M431" s="8" t="n">
        <x:v>15.234</x:v>
      </x:c>
      <x:c r="N431" s="8" t="n">
        <x:v>0.299</x:v>
      </x:c>
      <x:c r="O431" s="8" t="n">
        <x:v>15.234</x:v>
      </x:c>
      <x:c r="P431" s="8"/>
      <x:c r="Q431" s="8"/>
      <x:c r="R431" s="8"/>
      <x:c r="S431" s="8"/>
      <x:c r="T431" s="8"/>
      <x:c r="U431" s="8"/>
      <x:c r="V431" s="8"/>
      <x:c r="W431" s="8"/>
      <x:c r="X431" s="8"/>
      <x:c r="Y431" s="8"/>
      <x:c r="Z431" s="8"/>
      <x:c r="AA431" s="8"/>
      <x:c r="AB431" s="8"/>
      <x:c r="AC431" s="8"/>
      <x:c r="AD431" s="8"/>
      <x:c r="AE431" s="8"/>
      <x:c r="AF431" s="8"/>
      <x:c r="AG431" s="8"/>
      <x:c r="AH431" s="8"/>
      <x:c r="AI431" s="8"/>
      <x:c r="AJ431" s="8"/>
      <x:c r="AK431" s="8"/>
      <x:c r="AL431" s="8"/>
      <x:c r="AM431" s="8"/>
      <x:c r="AN431" s="8"/>
      <x:c r="AO431" s="8"/>
      <x:c r="AP431" s="8"/>
      <x:c r="AQ431" s="8"/>
      <x:c r="AR431" s="8"/>
      <x:c r="AS431" s="8"/>
      <x:c r="AT431" s="8"/>
      <x:c r="AU431" s="8"/>
      <x:c r="AV431" s="8"/>
      <x:c r="AW431" s="8"/>
      <x:c r="AX431" s="8"/>
      <x:c r="AY431" s="8"/>
      <x:c r="AZ431" s="8"/>
      <x:c r="BA431" s="8"/>
      <x:c r="BB431" s="8" t="n">
        <x:f>LET(m,MIN(IF(D431&gt;0,D431,1E+99),IF(F431&gt;0,F431,1E+99),IF(H431&gt;0,H431,1E+99),IF(J431&gt;0,J431,1E+99),IF(L431&gt;0,L431,1E+99),IF(N431&gt;0,N431,1E+99),IF(P431&gt;0,P431,1E+99),IF(R431&gt;0,R431,1E+99),IF(T431&gt;0,T431,1E+99),IF(V431&gt;0,V431,1E+99),IF(X431&gt;0,X431,1E+99),IF(Z431&gt;0,Z431,1E+99),IF(AB431&gt;0,AB431,1E+99),IF(AD431&gt;0,AD431,1E+99),IF(AF431&gt;0,AF431,1E+99),IF(AH431&gt;0,AH431,1E+99),IF(AJ431&gt;0,AJ431,1E+99),IF(AL431&gt;0,AL431,1E+99),IF(AN431&gt;0,AN431,1E+99),IF(AP431&gt;0,AP431,1E+99),IF(AR431&gt;0,AR431,1E+99),IF(AT431&gt;0,AT431,1E+99),IF(AV431&gt;0,AV431,1E+99),IF(AX431&gt;0,AX431,1E+99),IF(AZ431&gt;0,AZ431,1E+99)),IF(m=1E+99,"",m))</x:f>
        <x:v>0.294</x:v>
      </x:c>
      <x:c r="BC431" s="12" t="str">
        <x:f>IF(BB431="","",INDEX({"v1.4.20","v1.4.20","v1.4.21","v1.4.21","v1.4.23","v1.4.23","v1.4.26","v1.4.26","v1.4.26.1","v1.4.26.1","v1.4.27","v1.4.27","v1.4.29","v1.4.29","v1.4.30","v1.4.30","v1.4.31","v1.4.31","v1.4.33","v1.4.33","v1.4.35","v1.4.35.2","v1.5","v1.5.1","v1.5.1"},MATCH(BB431,CHOOSE({1,2,3,4,5,6,7,8,9,10,11,12,13,14,15,16,17,18,19,20,21,22,23,24,25},D431,F431,H431,J431,L431,N431,P431,R431,T431,V431,X431,Z431,AB431,AD431,AF431,AH431,AJ431,AL431,AN431,AP431,AR431,AT431,AV431,AX431,AZ431),0)))</x:f>
        <x:v>v1.4.20</x:v>
      </x:c>
      <x:c r="BD431" s="14" t="n">
        <x:f>LET(m,MIN(IF(E431&gt;0,E431,1E+99),IF(G431&gt;0,G431,1E+99),IF(I431&gt;0,I431,1E+99),IF(K431&gt;0,K431,1E+99),IF(M431&gt;0,M431,1E+99),IF(O431&gt;0,O431,1E+99),IF(Q431&gt;0,Q431,1E+99),IF(S431&gt;0,S431,1E+99),IF(U431&gt;0,U431,1E+99),IF(W431&gt;0,W431,1E+99),IF(Y431&gt;0,Y431,1E+99),IF(AA431&gt;0,AA431,1E+99),IF(AC431&gt;0,AC431,1E+99),IF(AE431&gt;0,AE431,1E+99),IF(AG431&gt;0,AG431,1E+99),IF(AI431&gt;0,AI431,1E+99),IF(AK431&gt;0,AK431,1E+99),IF(AM431&gt;0,AM431,1E+99),IF(AO431&gt;0,AO431,1E+99),IF(AQ431&gt;0,AQ431,1E+99),IF(AS431&gt;0,AS431,1E+99),IF(AU431&gt;0,AU431,1E+99),IF(AW431&gt;0,AW431,1E+99),IF(AY431&gt;0,AY431,1E+99),IF(BA431&gt;0,BA431,1E+99)),IF(m=1E+99,"",m))</x:f>
        <x:v>10.448</x:v>
      </x:c>
      <x:c r="BE431" s="16" t="str">
        <x:f>IF(BD431="","",INDEX({"v1.4.20","v1.4.20","v1.4.21","v1.4.21","v1.4.23","v1.4.23","v1.4.26","v1.4.26","v1.4.26.1","v1.4.26.1","v1.4.27","v1.4.27","v1.4.29","v1.4.29","v1.4.30","v1.4.30","v1.4.31","v1.4.31","v1.4.33","v1.4.33","v1.4.35","v1.4.35.2","v1.5","v1.5.1","v1.5.1"},MATCH(BD431,CHOOSE({1,2,3,4,5,6,7,8,9,10,11,12,13,14,15,16,17,18,19,20,21,22,23,24,25},E431,G431,I431,K431,M431,O431,Q431,S431,U431,W431,Y431,AA431,AC431,AE431,AG431,AI431,AK431,AM431,AO431,AQ431,AS431,AU431,AW431,AY431,BA431),0)))</x:f>
        <x:v>v1.4.20</x:v>
      </x:c>
      <x:c r="BF431" s="10" t="n">
        <x:f>IFERROR((AX431-BB431)/BB431,"")</x:f>
        <x:v>-1</x:v>
      </x:c>
      <x:c r="BG431" s="10" t="n">
        <x:f>IFERROR((AY431-BD431)/BD431,"")</x:f>
        <x:v>-1</x:v>
      </x:c>
    </x:row>
    <x:row r="432">
      <x:c r="A432" t="str">
        <x:v>Raw Data</x:v>
      </x:c>
      <x:c r="B432" t="str">
        <x:v>Format Raw Data</x:v>
      </x:c>
      <x:c r="C432" t="str">
        <x:v>Apply hidden/show column settings: Template - Raw Data</x:v>
      </x:c>
      <x:c r="D432" s="8" t="n">
        <x:v>0.007</x:v>
      </x:c>
      <x:c r="E432" s="8" t="n">
        <x:v>18.932</x:v>
      </x:c>
      <x:c r="F432" s="8" t="n">
        <x:v>0.007</x:v>
      </x:c>
      <x:c r="G432" s="8" t="n">
        <x:v>18.932</x:v>
      </x:c>
      <x:c r="H432" s="8" t="n">
        <x:v>0.015</x:v>
      </x:c>
      <x:c r="I432" s="8" t="n">
        <x:v>18.138</x:v>
      </x:c>
      <x:c r="J432" s="8" t="n">
        <x:v>0.015</x:v>
      </x:c>
      <x:c r="K432" s="8" t="n">
        <x:v>18.138</x:v>
      </x:c>
      <x:c r="L432" s="8" t="n">
        <x:v>0.008</x:v>
      </x:c>
      <x:c r="M432" s="8" t="n">
        <x:v>25.064</x:v>
      </x:c>
      <x:c r="N432" s="8" t="n">
        <x:v>0.008</x:v>
      </x:c>
      <x:c r="O432" s="8" t="n">
        <x:v>25.064</x:v>
      </x:c>
      <x:c r="P432" s="8"/>
      <x:c r="Q432" s="8"/>
      <x:c r="R432" s="8"/>
      <x:c r="S432" s="8"/>
      <x:c r="T432" s="8"/>
      <x:c r="U432" s="8"/>
      <x:c r="V432" s="8"/>
      <x:c r="W432" s="8"/>
      <x:c r="X432" s="8"/>
      <x:c r="Y432" s="8"/>
      <x:c r="Z432" s="8"/>
      <x:c r="AA432" s="8"/>
      <x:c r="AB432" s="8"/>
      <x:c r="AC432" s="8"/>
      <x:c r="AD432" s="8"/>
      <x:c r="AE432" s="8"/>
      <x:c r="AF432" s="8"/>
      <x:c r="AG432" s="8"/>
      <x:c r="AH432" s="8"/>
      <x:c r="AI432" s="8"/>
      <x:c r="AJ432" s="8"/>
      <x:c r="AK432" s="8"/>
      <x:c r="AL432" s="8"/>
      <x:c r="AM432" s="8"/>
      <x:c r="AN432" s="8"/>
      <x:c r="AO432" s="8"/>
      <x:c r="AP432" s="8"/>
      <x:c r="AQ432" s="8"/>
      <x:c r="AR432" s="8"/>
      <x:c r="AS432" s="8"/>
      <x:c r="AT432" s="8"/>
      <x:c r="AU432" s="8"/>
      <x:c r="AV432" s="8"/>
      <x:c r="AW432" s="8"/>
      <x:c r="AX432" s="8"/>
      <x:c r="AY432" s="8"/>
      <x:c r="AZ432" s="8"/>
      <x:c r="BA432" s="8"/>
      <x:c r="BB432" s="8" t="n">
        <x:f>LET(m,MIN(IF(D432&gt;0,D432,1E+99),IF(F432&gt;0,F432,1E+99),IF(H432&gt;0,H432,1E+99),IF(J432&gt;0,J432,1E+99),IF(L432&gt;0,L432,1E+99),IF(N432&gt;0,N432,1E+99),IF(P432&gt;0,P432,1E+99),IF(R432&gt;0,R432,1E+99),IF(T432&gt;0,T432,1E+99),IF(V432&gt;0,V432,1E+99),IF(X432&gt;0,X432,1E+99),IF(Z432&gt;0,Z432,1E+99),IF(AB432&gt;0,AB432,1E+99),IF(AD432&gt;0,AD432,1E+99),IF(AF432&gt;0,AF432,1E+99),IF(AH432&gt;0,AH432,1E+99),IF(AJ432&gt;0,AJ432,1E+99),IF(AL432&gt;0,AL432,1E+99),IF(AN432&gt;0,AN432,1E+99),IF(AP432&gt;0,AP432,1E+99),IF(AR432&gt;0,AR432,1E+99),IF(AT432&gt;0,AT432,1E+99),IF(AV432&gt;0,AV432,1E+99),IF(AX432&gt;0,AX432,1E+99),IF(AZ432&gt;0,AZ432,1E+99)),IF(m=1E+99,"",m))</x:f>
        <x:v>0.007</x:v>
      </x:c>
      <x:c r="BC432" s="12" t="str">
        <x:f>IF(BB432="","",INDEX({"v1.4.20","v1.4.20","v1.4.21","v1.4.21","v1.4.23","v1.4.23","v1.4.26","v1.4.26","v1.4.26.1","v1.4.26.1","v1.4.27","v1.4.27","v1.4.29","v1.4.29","v1.4.30","v1.4.30","v1.4.31","v1.4.31","v1.4.33","v1.4.33","v1.4.35","v1.4.35.2","v1.5","v1.5.1","v1.5.1"},MATCH(BB432,CHOOSE({1,2,3,4,5,6,7,8,9,10,11,12,13,14,15,16,17,18,19,20,21,22,23,24,25},D432,F432,H432,J432,L432,N432,P432,R432,T432,V432,X432,Z432,AB432,AD432,AF432,AH432,AJ432,AL432,AN432,AP432,AR432,AT432,AV432,AX432,AZ432),0)))</x:f>
        <x:v>v1.4.20</x:v>
      </x:c>
      <x:c r="BD432" s="14" t="n">
        <x:f>LET(m,MIN(IF(E432&gt;0,E432,1E+99),IF(G432&gt;0,G432,1E+99),IF(I432&gt;0,I432,1E+99),IF(K432&gt;0,K432,1E+99),IF(M432&gt;0,M432,1E+99),IF(O432&gt;0,O432,1E+99),IF(Q432&gt;0,Q432,1E+99),IF(S432&gt;0,S432,1E+99),IF(U432&gt;0,U432,1E+99),IF(W432&gt;0,W432,1E+99),IF(Y432&gt;0,Y432,1E+99),IF(AA432&gt;0,AA432,1E+99),IF(AC432&gt;0,AC432,1E+99),IF(AE432&gt;0,AE432,1E+99),IF(AG432&gt;0,AG432,1E+99),IF(AI432&gt;0,AI432,1E+99),IF(AK432&gt;0,AK432,1E+99),IF(AM432&gt;0,AM432,1E+99),IF(AO432&gt;0,AO432,1E+99),IF(AQ432&gt;0,AQ432,1E+99),IF(AS432&gt;0,AS432,1E+99),IF(AU432&gt;0,AU432,1E+99),IF(AW432&gt;0,AW432,1E+99),IF(AY432&gt;0,AY432,1E+99),IF(BA432&gt;0,BA432,1E+99)),IF(m=1E+99,"",m))</x:f>
        <x:v>18.138</x:v>
      </x:c>
      <x:c r="BE432" s="16" t="e">
        <x:f>IF(BD432="","",INDEX({"v1.4.20","v1.4.20","v1.4.21","v1.4.21","v1.4.23","v1.4.23","v1.4.26","v1.4.26","v1.4.26.1","v1.4.26.1","v1.4.27","v1.4.27","v1.4.29","v1.4.29","v1.4.30","v1.4.30","v1.4.31","v1.4.31","v1.4.33","v1.4.33","v1.4.35","v1.4.35.2","v1.5","v1.5.1","v1.5.1"},MATCH(BD432,CHOOSE({1,2,3,4,5,6,7,8,9,10,11,12,13,14,15,16,17,18,19,20,21,22,23,24,25},E432,G432,I432,K432,M432,O432,Q432,S432,U432,W432,Y432,AA432,AC432,AE432,AG432,AI432,AK432,AM432,AO432,AQ432,AS432,AU432,AW432,AY432,BA432),0)))</x:f>
      </x:c>
      <x:c r="BF432" s="10" t="n">
        <x:f>IFERROR((AX432-BB432)/BB432,"")</x:f>
        <x:v>-1</x:v>
      </x:c>
      <x:c r="BG432" s="10" t="n">
        <x:f>IFERROR((AY432-BD432)/BD432,"")</x:f>
        <x:v>-1</x:v>
      </x:c>
    </x:row>
    <x:row r="433">
      <x:c r="A433" t="str">
        <x:v>Raw Data</x:v>
      </x:c>
      <x:c r="B433" t="str">
        <x:v>Format Raw Data</x:v>
      </x:c>
      <x:c r="C433" t="str">
        <x:v>Apply row heights: Template - Raw Data</x:v>
      </x:c>
      <x:c r="D433" s="8" t="n">
        <x:v>0.01</x:v>
      </x:c>
      <x:c r="E433" s="8" t="n">
        <x:v>28.584</x:v>
      </x:c>
      <x:c r="F433" s="8" t="n">
        <x:v>0.01</x:v>
      </x:c>
      <x:c r="G433" s="8" t="n">
        <x:v>28.584</x:v>
      </x:c>
      <x:c r="H433" s="8" t="n">
        <x:v>0.013</x:v>
      </x:c>
      <x:c r="I433" s="8" t="n">
        <x:v>31.594</x:v>
      </x:c>
      <x:c r="J433" s="8" t="n">
        <x:v>0.013</x:v>
      </x:c>
      <x:c r="K433" s="8" t="n">
        <x:v>31.594</x:v>
      </x:c>
      <x:c r="L433" s="8" t="n">
        <x:v>0.013</x:v>
      </x:c>
      <x:c r="M433" s="8" t="n">
        <x:v>42.041</x:v>
      </x:c>
      <x:c r="N433" s="8" t="n">
        <x:v>0.013</x:v>
      </x:c>
      <x:c r="O433" s="8" t="n">
        <x:v>42.041</x:v>
      </x:c>
      <x:c r="P433" s="8"/>
      <x:c r="Q433" s="8"/>
      <x:c r="R433" s="8"/>
      <x:c r="S433" s="8"/>
      <x:c r="T433" s="8"/>
      <x:c r="U433" s="8"/>
      <x:c r="V433" s="8"/>
      <x:c r="W433" s="8"/>
      <x:c r="X433" s="8"/>
      <x:c r="Y433" s="8"/>
      <x:c r="Z433" s="8"/>
      <x:c r="AA433" s="8"/>
      <x:c r="AB433" s="8"/>
      <x:c r="AC433" s="8"/>
      <x:c r="AD433" s="8"/>
      <x:c r="AE433" s="8"/>
      <x:c r="AF433" s="8"/>
      <x:c r="AG433" s="8"/>
      <x:c r="AH433" s="8"/>
      <x:c r="AI433" s="8"/>
      <x:c r="AJ433" s="8"/>
      <x:c r="AK433" s="8"/>
      <x:c r="AL433" s="8"/>
      <x:c r="AM433" s="8"/>
      <x:c r="AN433" s="8"/>
      <x:c r="AO433" s="8"/>
      <x:c r="AP433" s="8"/>
      <x:c r="AQ433" s="8"/>
      <x:c r="AR433" s="8"/>
      <x:c r="AS433" s="8"/>
      <x:c r="AT433" s="8"/>
      <x:c r="AU433" s="8"/>
      <x:c r="AV433" s="8"/>
      <x:c r="AW433" s="8"/>
      <x:c r="AX433" s="8"/>
      <x:c r="AY433" s="8"/>
      <x:c r="AZ433" s="8"/>
      <x:c r="BA433" s="8"/>
      <x:c r="BB433" s="8" t="n">
        <x:f>LET(m,MIN(IF(D433&gt;0,D433,1E+99),IF(F433&gt;0,F433,1E+99),IF(H433&gt;0,H433,1E+99),IF(J433&gt;0,J433,1E+99),IF(L433&gt;0,L433,1E+99),IF(N433&gt;0,N433,1E+99),IF(P433&gt;0,P433,1E+99),IF(R433&gt;0,R433,1E+99),IF(T433&gt;0,T433,1E+99),IF(V433&gt;0,V433,1E+99),IF(X433&gt;0,X433,1E+99),IF(Z433&gt;0,Z433,1E+99),IF(AB433&gt;0,AB433,1E+99),IF(AD433&gt;0,AD433,1E+99),IF(AF433&gt;0,AF433,1E+99),IF(AH433&gt;0,AH433,1E+99),IF(AJ433&gt;0,AJ433,1E+99),IF(AL433&gt;0,AL433,1E+99),IF(AN433&gt;0,AN433,1E+99),IF(AP433&gt;0,AP433,1E+99),IF(AR433&gt;0,AR433,1E+99),IF(AT433&gt;0,AT433,1E+99),IF(AV433&gt;0,AV433,1E+99),IF(AX433&gt;0,AX433,1E+99),IF(AZ433&gt;0,AZ433,1E+99)),IF(m=1E+99,"",m))</x:f>
        <x:v>0.01</x:v>
      </x:c>
      <x:c r="BC433" s="12" t="str">
        <x:f>IF(BB433="","",INDEX({"v1.4.20","v1.4.20","v1.4.21","v1.4.21","v1.4.23","v1.4.23","v1.4.26","v1.4.26","v1.4.26.1","v1.4.26.1","v1.4.27","v1.4.27","v1.4.29","v1.4.29","v1.4.30","v1.4.30","v1.4.31","v1.4.31","v1.4.33","v1.4.33","v1.4.35","v1.4.35.2","v1.5","v1.5.1","v1.5.1"},MATCH(BB433,CHOOSE({1,2,3,4,5,6,7,8,9,10,11,12,13,14,15,16,17,18,19,20,21,22,23,24,25},D433,F433,H433,J433,L433,N433,P433,R433,T433,V433,X433,Z433,AB433,AD433,AF433,AH433,AJ433,AL433,AN433,AP433,AR433,AT433,AV433,AX433,AZ433),0)))</x:f>
        <x:v>v1.4.20</x:v>
      </x:c>
      <x:c r="BD433" s="14" t="n">
        <x:f>LET(m,MIN(IF(E433&gt;0,E433,1E+99),IF(G433&gt;0,G433,1E+99),IF(I433&gt;0,I433,1E+99),IF(K433&gt;0,K433,1E+99),IF(M433&gt;0,M433,1E+99),IF(O433&gt;0,O433,1E+99),IF(Q433&gt;0,Q433,1E+99),IF(S433&gt;0,S433,1E+99),IF(U433&gt;0,U433,1E+99),IF(W433&gt;0,W433,1E+99),IF(Y433&gt;0,Y433,1E+99),IF(AA433&gt;0,AA433,1E+99),IF(AC433&gt;0,AC433,1E+99),IF(AE433&gt;0,AE433,1E+99),IF(AG433&gt;0,AG433,1E+99),IF(AI433&gt;0,AI433,1E+99),IF(AK433&gt;0,AK433,1E+99),IF(AM433&gt;0,AM433,1E+99),IF(AO433&gt;0,AO433,1E+99),IF(AQ433&gt;0,AQ433,1E+99),IF(AS433&gt;0,AS433,1E+99),IF(AU433&gt;0,AU433,1E+99),IF(AW433&gt;0,AW433,1E+99),IF(AY433&gt;0,AY433,1E+99),IF(BA433&gt;0,BA433,1E+99)),IF(m=1E+99,"",m))</x:f>
        <x:v>28.584</x:v>
      </x:c>
      <x:c r="BE433" s="16" t="str">
        <x:f>IF(BD433="","",INDEX({"v1.4.20","v1.4.20","v1.4.21","v1.4.21","v1.4.23","v1.4.23","v1.4.26","v1.4.26","v1.4.26.1","v1.4.26.1","v1.4.27","v1.4.27","v1.4.29","v1.4.29","v1.4.30","v1.4.30","v1.4.31","v1.4.31","v1.4.33","v1.4.33","v1.4.35","v1.4.35.2","v1.5","v1.5.1","v1.5.1"},MATCH(BD433,CHOOSE({1,2,3,4,5,6,7,8,9,10,11,12,13,14,15,16,17,18,19,20,21,22,23,24,25},E433,G433,I433,K433,M433,O433,Q433,S433,U433,W433,Y433,AA433,AC433,AE433,AG433,AI433,AK433,AM433,AO433,AQ433,AS433,AU433,AW433,AY433,BA433),0)))</x:f>
        <x:v>v1.4.20</x:v>
      </x:c>
      <x:c r="BF433" s="10" t="n">
        <x:f>IFERROR((AX433-BB433)/BB433,"")</x:f>
        <x:v>-1</x:v>
      </x:c>
      <x:c r="BG433" s="10" t="n">
        <x:f>IFERROR((AY433-BD433)/BD433,"")</x:f>
        <x:v>-1</x:v>
      </x:c>
    </x:row>
    <x:row r="434">
      <x:c r="A434" t="str">
        <x:v>Raw Data</x:v>
      </x:c>
      <x:c r="B434" t="str">
        <x:v>Format Raw Data</x:v>
      </x:c>
      <x:c r="C434" t="str">
        <x:v>Apply title rows: Template - Raw Data</x:v>
      </x:c>
      <x:c r="D434" s="8" t="n">
        <x:v>0.994</x:v>
      </x:c>
      <x:c r="E434" s="8" t="n">
        <x:v>10.154</x:v>
      </x:c>
      <x:c r="F434" s="8" t="n">
        <x:v>0.994</x:v>
      </x:c>
      <x:c r="G434" s="8" t="n">
        <x:v>10.154</x:v>
      </x:c>
      <x:c r="H434" s="8" t="n">
        <x:v>1.208</x:v>
      </x:c>
      <x:c r="I434" s="8" t="n">
        <x:v>11.335</x:v>
      </x:c>
      <x:c r="J434" s="8" t="n">
        <x:v>1.208</x:v>
      </x:c>
      <x:c r="K434" s="8" t="n">
        <x:v>11.335</x:v>
      </x:c>
      <x:c r="L434" s="8" t="n">
        <x:v>2.362</x:v>
      </x:c>
      <x:c r="M434" s="8" t="n">
        <x:v>14.935</x:v>
      </x:c>
      <x:c r="N434" s="8" t="n">
        <x:v>2.362</x:v>
      </x:c>
      <x:c r="O434" s="8" t="n">
        <x:v>14.935</x:v>
      </x:c>
      <x:c r="P434" s="8"/>
      <x:c r="Q434" s="8"/>
      <x:c r="R434" s="8"/>
      <x:c r="S434" s="8"/>
      <x:c r="T434" s="8"/>
      <x:c r="U434" s="8"/>
      <x:c r="V434" s="8"/>
      <x:c r="W434" s="8"/>
      <x:c r="X434" s="8"/>
      <x:c r="Y434" s="8"/>
      <x:c r="Z434" s="8"/>
      <x:c r="AA434" s="8"/>
      <x:c r="AB434" s="8"/>
      <x:c r="AC434" s="8"/>
      <x:c r="AD434" s="8"/>
      <x:c r="AE434" s="8"/>
      <x:c r="AF434" s="8"/>
      <x:c r="AG434" s="8"/>
      <x:c r="AH434" s="8"/>
      <x:c r="AI434" s="8"/>
      <x:c r="AJ434" s="8"/>
      <x:c r="AK434" s="8"/>
      <x:c r="AL434" s="8"/>
      <x:c r="AM434" s="8"/>
      <x:c r="AN434" s="8"/>
      <x:c r="AO434" s="8"/>
      <x:c r="AP434" s="8"/>
      <x:c r="AQ434" s="8"/>
      <x:c r="AR434" s="8"/>
      <x:c r="AS434" s="8"/>
      <x:c r="AT434" s="8"/>
      <x:c r="AU434" s="8"/>
      <x:c r="AV434" s="8"/>
      <x:c r="AW434" s="8"/>
      <x:c r="AX434" s="8"/>
      <x:c r="AY434" s="8"/>
      <x:c r="AZ434" s="8"/>
      <x:c r="BA434" s="8"/>
      <x:c r="BB434" s="8" t="n">
        <x:f>LET(m,MIN(IF(D434&gt;0,D434,1E+99),IF(F434&gt;0,F434,1E+99),IF(H434&gt;0,H434,1E+99),IF(J434&gt;0,J434,1E+99),IF(L434&gt;0,L434,1E+99),IF(N434&gt;0,N434,1E+99),IF(P434&gt;0,P434,1E+99),IF(R434&gt;0,R434,1E+99),IF(T434&gt;0,T434,1E+99),IF(V434&gt;0,V434,1E+99),IF(X434&gt;0,X434,1E+99),IF(Z434&gt;0,Z434,1E+99),IF(AB434&gt;0,AB434,1E+99),IF(AD434&gt;0,AD434,1E+99),IF(AF434&gt;0,AF434,1E+99),IF(AH434&gt;0,AH434,1E+99),IF(AJ434&gt;0,AJ434,1E+99),IF(AL434&gt;0,AL434,1E+99),IF(AN434&gt;0,AN434,1E+99),IF(AP434&gt;0,AP434,1E+99),IF(AR434&gt;0,AR434,1E+99),IF(AT434&gt;0,AT434,1E+99),IF(AV434&gt;0,AV434,1E+99),IF(AX434&gt;0,AX434,1E+99),IF(AZ434&gt;0,AZ434,1E+99)),IF(m=1E+99,"",m))</x:f>
        <x:v>0.994</x:v>
      </x:c>
      <x:c r="BC434" s="12" t="str">
        <x:f>IF(BB434="","",INDEX({"v1.4.20","v1.4.20","v1.4.21","v1.4.21","v1.4.23","v1.4.23","v1.4.26","v1.4.26","v1.4.26.1","v1.4.26.1","v1.4.27","v1.4.27","v1.4.29","v1.4.29","v1.4.30","v1.4.30","v1.4.31","v1.4.31","v1.4.33","v1.4.33","v1.4.35","v1.4.35.2","v1.5","v1.5.1","v1.5.1"},MATCH(BB434,CHOOSE({1,2,3,4,5,6,7,8,9,10,11,12,13,14,15,16,17,18,19,20,21,22,23,24,25},D434,F434,H434,J434,L434,N434,P434,R434,T434,V434,X434,Z434,AB434,AD434,AF434,AH434,AJ434,AL434,AN434,AP434,AR434,AT434,AV434,AX434,AZ434),0)))</x:f>
        <x:v>v1.4.20</x:v>
      </x:c>
      <x:c r="BD434" s="14" t="n">
        <x:f>LET(m,MIN(IF(E434&gt;0,E434,1E+99),IF(G434&gt;0,G434,1E+99),IF(I434&gt;0,I434,1E+99),IF(K434&gt;0,K434,1E+99),IF(M434&gt;0,M434,1E+99),IF(O434&gt;0,O434,1E+99),IF(Q434&gt;0,Q434,1E+99),IF(S434&gt;0,S434,1E+99),IF(U434&gt;0,U434,1E+99),IF(W434&gt;0,W434,1E+99),IF(Y434&gt;0,Y434,1E+99),IF(AA434&gt;0,AA434,1E+99),IF(AC434&gt;0,AC434,1E+99),IF(AE434&gt;0,AE434,1E+99),IF(AG434&gt;0,AG434,1E+99),IF(AI434&gt;0,AI434,1E+99),IF(AK434&gt;0,AK434,1E+99),IF(AM434&gt;0,AM434,1E+99),IF(AO434&gt;0,AO434,1E+99),IF(AQ434&gt;0,AQ434,1E+99),IF(AS434&gt;0,AS434,1E+99),IF(AU434&gt;0,AU434,1E+99),IF(AW434&gt;0,AW434,1E+99),IF(AY434&gt;0,AY434,1E+99),IF(BA434&gt;0,BA434,1E+99)),IF(m=1E+99,"",m))</x:f>
        <x:v>10.154</x:v>
      </x:c>
      <x:c r="BE434" s="16" t="str">
        <x:f>IF(BD434="","",INDEX({"v1.4.20","v1.4.20","v1.4.21","v1.4.21","v1.4.23","v1.4.23","v1.4.26","v1.4.26","v1.4.26.1","v1.4.26.1","v1.4.27","v1.4.27","v1.4.29","v1.4.29","v1.4.30","v1.4.30","v1.4.31","v1.4.31","v1.4.33","v1.4.33","v1.4.35","v1.4.35.2","v1.5","v1.5.1","v1.5.1"},MATCH(BD434,CHOOSE({1,2,3,4,5,6,7,8,9,10,11,12,13,14,15,16,17,18,19,20,21,22,23,24,25},E434,G434,I434,K434,M434,O434,Q434,S434,U434,W434,Y434,AA434,AC434,AE434,AG434,AI434,AK434,AM434,AO434,AQ434,AS434,AU434,AW434,AY434,BA434),0)))</x:f>
        <x:v>v1.4.20</x:v>
      </x:c>
      <x:c r="BF434" s="10" t="n">
        <x:f>IFERROR((AX434-BB434)/BB434,"")</x:f>
        <x:v>-1</x:v>
      </x:c>
      <x:c r="BG434" s="10" t="n">
        <x:f>IFERROR((AY434-BD434)/BD434,"")</x:f>
        <x:v>-1</x:v>
      </x:c>
    </x:row>
    <x:row r="435">
      <x:c r="A435" t="str">
        <x:v>Raw Data</x:v>
      </x:c>
      <x:c r="B435" t="str">
        <x:v>Format Raw Data</x:v>
      </x:c>
      <x:c r="C435" t="str">
        <x:v>Create filter: Template - Raw Data</x:v>
      </x:c>
      <x:c r="D435" s="8" t="n">
        <x:v>6.358</x:v>
      </x:c>
      <x:c r="E435" s="8" t="n">
        <x:v>28.574</x:v>
      </x:c>
      <x:c r="F435" s="8" t="n">
        <x:v>6.358</x:v>
      </x:c>
      <x:c r="G435" s="8" t="n">
        <x:v>28.574</x:v>
      </x:c>
      <x:c r="H435" s="8" t="n">
        <x:v>7.862</x:v>
      </x:c>
      <x:c r="I435" s="8" t="n">
        <x:v>31.581</x:v>
      </x:c>
      <x:c r="J435" s="8" t="n">
        <x:v>7.862</x:v>
      </x:c>
      <x:c r="K435" s="8" t="n">
        <x:v>31.581</x:v>
      </x:c>
      <x:c r="L435" s="8" t="n">
        <x:v>10.12</x:v>
      </x:c>
      <x:c r="M435" s="8" t="n">
        <x:v>42.028</x:v>
      </x:c>
      <x:c r="N435" s="8" t="n">
        <x:v>10.12</x:v>
      </x:c>
      <x:c r="O435" s="8" t="n">
        <x:v>42.028</x:v>
      </x:c>
      <x:c r="P435" s="8"/>
      <x:c r="Q435" s="8"/>
      <x:c r="R435" s="8"/>
      <x:c r="S435" s="8"/>
      <x:c r="T435" s="8"/>
      <x:c r="U435" s="8"/>
      <x:c r="V435" s="8"/>
      <x:c r="W435" s="8"/>
      <x:c r="X435" s="8"/>
      <x:c r="Y435" s="8"/>
      <x:c r="Z435" s="8"/>
      <x:c r="AA435" s="8"/>
      <x:c r="AB435" s="8"/>
      <x:c r="AC435" s="8"/>
      <x:c r="AD435" s="8"/>
      <x:c r="AE435" s="8"/>
      <x:c r="AF435" s="8"/>
      <x:c r="AG435" s="8"/>
      <x:c r="AH435" s="8"/>
      <x:c r="AI435" s="8"/>
      <x:c r="AJ435" s="8"/>
      <x:c r="AK435" s="8"/>
      <x:c r="AL435" s="8"/>
      <x:c r="AM435" s="8"/>
      <x:c r="AN435" s="8"/>
      <x:c r="AO435" s="8"/>
      <x:c r="AP435" s="8"/>
      <x:c r="AQ435" s="8"/>
      <x:c r="AR435" s="8"/>
      <x:c r="AS435" s="8"/>
      <x:c r="AT435" s="8"/>
      <x:c r="AU435" s="8"/>
      <x:c r="AV435" s="8"/>
      <x:c r="AW435" s="8"/>
      <x:c r="AX435" s="8"/>
      <x:c r="AY435" s="8"/>
      <x:c r="AZ435" s="8"/>
      <x:c r="BA435" s="8"/>
      <x:c r="BB435" s="8" t="n">
        <x:f>LET(m,MIN(IF(D435&gt;0,D435,1E+99),IF(F435&gt;0,F435,1E+99),IF(H435&gt;0,H435,1E+99),IF(J435&gt;0,J435,1E+99),IF(L435&gt;0,L435,1E+99),IF(N435&gt;0,N435,1E+99),IF(P435&gt;0,P435,1E+99),IF(R435&gt;0,R435,1E+99),IF(T435&gt;0,T435,1E+99),IF(V435&gt;0,V435,1E+99),IF(X435&gt;0,X435,1E+99),IF(Z435&gt;0,Z435,1E+99),IF(AB435&gt;0,AB435,1E+99),IF(AD435&gt;0,AD435,1E+99),IF(AF435&gt;0,AF435,1E+99),IF(AH435&gt;0,AH435,1E+99),IF(AJ435&gt;0,AJ435,1E+99),IF(AL435&gt;0,AL435,1E+99),IF(AN435&gt;0,AN435,1E+99),IF(AP435&gt;0,AP435,1E+99),IF(AR435&gt;0,AR435,1E+99),IF(AT435&gt;0,AT435,1E+99),IF(AV435&gt;0,AV435,1E+99),IF(AX435&gt;0,AX435,1E+99),IF(AZ435&gt;0,AZ435,1E+99)),IF(m=1E+99,"",m))</x:f>
        <x:v>6.358</x:v>
      </x:c>
      <x:c r="BC435" s="12" t="str">
        <x:f>IF(BB435="","",INDEX({"v1.4.20","v1.4.20","v1.4.21","v1.4.21","v1.4.23","v1.4.23","v1.4.26","v1.4.26","v1.4.26.1","v1.4.26.1","v1.4.27","v1.4.27","v1.4.29","v1.4.29","v1.4.30","v1.4.30","v1.4.31","v1.4.31","v1.4.33","v1.4.33","v1.4.35","v1.4.35.2","v1.5","v1.5.1","v1.5.1"},MATCH(BB435,CHOOSE({1,2,3,4,5,6,7,8,9,10,11,12,13,14,15,16,17,18,19,20,21,22,23,24,25},D435,F435,H435,J435,L435,N435,P435,R435,T435,V435,X435,Z435,AB435,AD435,AF435,AH435,AJ435,AL435,AN435,AP435,AR435,AT435,AV435,AX435,AZ435),0)))</x:f>
        <x:v>v1.4.20</x:v>
      </x:c>
      <x:c r="BD435" s="14" t="n">
        <x:f>LET(m,MIN(IF(E435&gt;0,E435,1E+99),IF(G435&gt;0,G435,1E+99),IF(I435&gt;0,I435,1E+99),IF(K435&gt;0,K435,1E+99),IF(M435&gt;0,M435,1E+99),IF(O435&gt;0,O435,1E+99),IF(Q435&gt;0,Q435,1E+99),IF(S435&gt;0,S435,1E+99),IF(U435&gt;0,U435,1E+99),IF(W435&gt;0,W435,1E+99),IF(Y435&gt;0,Y435,1E+99),IF(AA435&gt;0,AA435,1E+99),IF(AC435&gt;0,AC435,1E+99),IF(AE435&gt;0,AE435,1E+99),IF(AG435&gt;0,AG435,1E+99),IF(AI435&gt;0,AI435,1E+99),IF(AK435&gt;0,AK435,1E+99),IF(AM435&gt;0,AM435,1E+99),IF(AO435&gt;0,AO435,1E+99),IF(AQ435&gt;0,AQ435,1E+99),IF(AS435&gt;0,AS435,1E+99),IF(AU435&gt;0,AU435,1E+99),IF(AW435&gt;0,AW435,1E+99),IF(AY435&gt;0,AY435,1E+99),IF(BA435&gt;0,BA435,1E+99)),IF(m=1E+99,"",m))</x:f>
        <x:v>28.574</x:v>
      </x:c>
      <x:c r="BE435" s="16" t="str">
        <x:f>IF(BD435="","",INDEX({"v1.4.20","v1.4.20","v1.4.21","v1.4.21","v1.4.23","v1.4.23","v1.4.26","v1.4.26","v1.4.26.1","v1.4.26.1","v1.4.27","v1.4.27","v1.4.29","v1.4.29","v1.4.30","v1.4.30","v1.4.31","v1.4.31","v1.4.33","v1.4.33","v1.4.35","v1.4.35.2","v1.5","v1.5.1","v1.5.1"},MATCH(BD435,CHOOSE({1,2,3,4,5,6,7,8,9,10,11,12,13,14,15,16,17,18,19,20,21,22,23,24,25},E435,G435,I435,K435,M435,O435,Q435,S435,U435,W435,Y435,AA435,AC435,AE435,AG435,AI435,AK435,AM435,AO435,AQ435,AS435,AU435,AW435,AY435,BA435),0)))</x:f>
        <x:v>v1.4.20</x:v>
      </x:c>
      <x:c r="BF435" s="10" t="n">
        <x:f>IFERROR((AX435-BB435)/BB435,"")</x:f>
        <x:v>-1</x:v>
      </x:c>
      <x:c r="BG435" s="10" t="n">
        <x:f>IFERROR((AY435-BD435)/BD435,"")</x:f>
        <x:v>-1</x:v>
      </x:c>
    </x:row>
    <x:row r="436">
      <x:c r="A436" t="str"/>
      <x:c r="B436" t="str">
        <x:v>Format Raw Data</x:v>
      </x:c>
      <x:c r="C436" t="str">
        <x:v>ERROR - applyFinalRowHeightLock_ is not defined</x:v>
      </x:c>
      <x:c r="D436" s="8"/>
      <x:c r="E436" s="8"/>
      <x:c r="F436" s="8"/>
      <x:c r="G436" s="8"/>
      <x:c r="H436" s="8"/>
      <x:c r="I436" s="8"/>
      <x:c r="J436" s="8"/>
      <x:c r="K436" s="8"/>
      <x:c r="L436" s="8"/>
      <x:c r="M436" s="8"/>
      <x:c r="N436" s="8"/>
      <x:c r="O436" s="8"/>
      <x:c r="P436" s="8" t="n">
        <x:v>0.024</x:v>
      </x:c>
      <x:c r="Q436" s="8" t="n">
        <x:v>8.693</x:v>
      </x:c>
      <x:c r="R436" s="8" t="n">
        <x:v>0.024</x:v>
      </x:c>
      <x:c r="S436" s="8" t="n">
        <x:v>8.693</x:v>
      </x:c>
      <x:c r="T436" s="8"/>
      <x:c r="U436" s="8"/>
      <x:c r="V436" s="8"/>
      <x:c r="W436" s="8"/>
      <x:c r="X436" s="8" t="n">
        <x:v>0.067</x:v>
      </x:c>
      <x:c r="Y436" s="8" t="n">
        <x:v>7.932</x:v>
      </x:c>
      <x:c r="Z436" s="8" t="n">
        <x:v>0.067</x:v>
      </x:c>
      <x:c r="AA436" s="8" t="n">
        <x:v>7.932</x:v>
      </x:c>
      <x:c r="AB436" s="8" t="n">
        <x:v>0.012</x:v>
      </x:c>
      <x:c r="AC436" s="8" t="n">
        <x:v>9.527</x:v>
      </x:c>
      <x:c r="AD436" s="8" t="n">
        <x:v>0.012</x:v>
      </x:c>
      <x:c r="AE436" s="8" t="n">
        <x:v>9.527</x:v>
      </x:c>
      <x:c r="AF436" s="8"/>
      <x:c r="AG436" s="8"/>
      <x:c r="AH436" s="8"/>
      <x:c r="AI436" s="8"/>
      <x:c r="AJ436" s="8"/>
      <x:c r="AK436" s="8"/>
      <x:c r="AL436" s="8"/>
      <x:c r="AM436" s="8"/>
      <x:c r="AN436" s="8"/>
      <x:c r="AO436" s="8"/>
      <x:c r="AP436" s="8"/>
      <x:c r="AQ436" s="8"/>
      <x:c r="AR436" s="8"/>
      <x:c r="AS436" s="8"/>
      <x:c r="AT436" s="8"/>
      <x:c r="AU436" s="8"/>
      <x:c r="AV436" s="8"/>
      <x:c r="AW436" s="8"/>
      <x:c r="AX436" s="8"/>
      <x:c r="AY436" s="8"/>
      <x:c r="AZ436" s="8"/>
      <x:c r="BA436" s="8"/>
      <x:c r="BB436" s="8" t="n">
        <x:f>LET(m,MIN(IF(D436&gt;0,D436,1E+99),IF(F436&gt;0,F436,1E+99),IF(H436&gt;0,H436,1E+99),IF(J436&gt;0,J436,1E+99),IF(L436&gt;0,L436,1E+99),IF(N436&gt;0,N436,1E+99),IF(P436&gt;0,P436,1E+99),IF(R436&gt;0,R436,1E+99),IF(T436&gt;0,T436,1E+99),IF(V436&gt;0,V436,1E+99),IF(X436&gt;0,X436,1E+99),IF(Z436&gt;0,Z436,1E+99),IF(AB436&gt;0,AB436,1E+99),IF(AD436&gt;0,AD436,1E+99),IF(AF436&gt;0,AF436,1E+99),IF(AH436&gt;0,AH436,1E+99),IF(AJ436&gt;0,AJ436,1E+99),IF(AL436&gt;0,AL436,1E+99),IF(AN436&gt;0,AN436,1E+99),IF(AP436&gt;0,AP436,1E+99),IF(AR436&gt;0,AR436,1E+99),IF(AT436&gt;0,AT436,1E+99),IF(AV436&gt;0,AV436,1E+99),IF(AX436&gt;0,AX436,1E+99),IF(AZ436&gt;0,AZ436,1E+99)),IF(m=1E+99,"",m))</x:f>
        <x:v>0.012</x:v>
      </x:c>
      <x:c r="BC436" s="12" t="e">
        <x:f>IF(BB436="","",INDEX({"v1.4.20","v1.4.20","v1.4.21","v1.4.21","v1.4.23","v1.4.23","v1.4.26","v1.4.26","v1.4.26.1","v1.4.26.1","v1.4.27","v1.4.27","v1.4.29","v1.4.29","v1.4.30","v1.4.30","v1.4.31","v1.4.31","v1.4.33","v1.4.33","v1.4.35","v1.4.35.2","v1.5","v1.5.1","v1.5.1"},MATCH(BB436,CHOOSE({1,2,3,4,5,6,7,8,9,10,11,12,13,14,15,16,17,18,19,20,21,22,23,24,25},D436,F436,H436,J436,L436,N436,P436,R436,T436,V436,X436,Z436,AB436,AD436,AF436,AH436,AJ436,AL436,AN436,AP436,AR436,AT436,AV436,AX436,AZ436),0)))</x:f>
      </x:c>
      <x:c r="BD436" s="14" t="n">
        <x:f>LET(m,MIN(IF(E436&gt;0,E436,1E+99),IF(G436&gt;0,G436,1E+99),IF(I436&gt;0,I436,1E+99),IF(K436&gt;0,K436,1E+99),IF(M436&gt;0,M436,1E+99),IF(O436&gt;0,O436,1E+99),IF(Q436&gt;0,Q436,1E+99),IF(S436&gt;0,S436,1E+99),IF(U436&gt;0,U436,1E+99),IF(W436&gt;0,W436,1E+99),IF(Y436&gt;0,Y436,1E+99),IF(AA436&gt;0,AA436,1E+99),IF(AC436&gt;0,AC436,1E+99),IF(AE436&gt;0,AE436,1E+99),IF(AG436&gt;0,AG436,1E+99),IF(AI436&gt;0,AI436,1E+99),IF(AK436&gt;0,AK436,1E+99),IF(AM436&gt;0,AM436,1E+99),IF(AO436&gt;0,AO436,1E+99),IF(AQ436&gt;0,AQ436,1E+99),IF(AS436&gt;0,AS436,1E+99),IF(AU436&gt;0,AU436,1E+99),IF(AW436&gt;0,AW436,1E+99),IF(AY436&gt;0,AY436,1E+99),IF(BA436&gt;0,BA436,1E+99)),IF(m=1E+99,"",m))</x:f>
        <x:v>7.932</x:v>
      </x:c>
      <x:c r="BE436" s="16" t="e">
        <x:f>IF(BD436="","",INDEX({"v1.4.20","v1.4.20","v1.4.21","v1.4.21","v1.4.23","v1.4.23","v1.4.26","v1.4.26","v1.4.26.1","v1.4.26.1","v1.4.27","v1.4.27","v1.4.29","v1.4.29","v1.4.30","v1.4.30","v1.4.31","v1.4.31","v1.4.33","v1.4.33","v1.4.35","v1.4.35.2","v1.5","v1.5.1","v1.5.1"},MATCH(BD436,CHOOSE({1,2,3,4,5,6,7,8,9,10,11,12,13,14,15,16,17,18,19,20,21,22,23,24,25},E436,G436,I436,K436,M436,O436,Q436,S436,U436,W436,Y436,AA436,AC436,AE436,AG436,AI436,AK436,AM436,AO436,AQ436,AS436,AU436,AW436,AY436,BA436),0)))</x:f>
      </x:c>
      <x:c r="BF436" s="10" t="n">
        <x:f>IFERROR((AX436-BB436)/BB436,"")</x:f>
        <x:v>-1</x:v>
      </x:c>
      <x:c r="BG436" s="10" t="n">
        <x:f>IFERROR((AY436-BD436)/BD436,"")</x:f>
        <x:v>-1</x:v>
      </x:c>
    </x:row>
    <x:row r="437">
      <x:c r="A437" t="str">
        <x:v>Raw Data</x:v>
      </x:c>
      <x:c r="B437" t="str">
        <x:v>Format Raw Data</x:v>
      </x:c>
      <x:c r="C437" t="str">
        <x:v>Ensure frozen columns: Template - Raw Data</x:v>
      </x:c>
      <x:c r="D437" s="8" t="n">
        <x:v>0.892</x:v>
      </x:c>
      <x:c r="E437" s="8" t="n">
        <x:v>35.022</x:v>
      </x:c>
      <x:c r="F437" s="8" t="n">
        <x:v>0.892</x:v>
      </x:c>
      <x:c r="G437" s="8" t="n">
        <x:v>35.022</x:v>
      </x:c>
      <x:c r="H437" s="8" t="n">
        <x:v>1.052</x:v>
      </x:c>
      <x:c r="I437" s="8" t="n">
        <x:v>37.859</x:v>
      </x:c>
      <x:c r="J437" s="8" t="n">
        <x:v>1.052</x:v>
      </x:c>
      <x:c r="K437" s="8" t="n">
        <x:v>37.859</x:v>
      </x:c>
      <x:c r="L437" s="8" t="n">
        <x:v>1.342</x:v>
      </x:c>
      <x:c r="M437" s="8" t="n">
        <x:v>51.624</x:v>
      </x:c>
      <x:c r="N437" s="8" t="n">
        <x:v>1.342</x:v>
      </x:c>
      <x:c r="O437" s="8" t="n">
        <x:v>51.624</x:v>
      </x:c>
      <x:c r="P437" s="8"/>
      <x:c r="Q437" s="8"/>
      <x:c r="R437" s="8"/>
      <x:c r="S437" s="8"/>
      <x:c r="T437" s="8"/>
      <x:c r="U437" s="8"/>
      <x:c r="V437" s="8"/>
      <x:c r="W437" s="8"/>
      <x:c r="X437" s="8"/>
      <x:c r="Y437" s="8"/>
      <x:c r="Z437" s="8"/>
      <x:c r="AA437" s="8"/>
      <x:c r="AB437" s="8"/>
      <x:c r="AC437" s="8"/>
      <x:c r="AD437" s="8"/>
      <x:c r="AE437" s="8"/>
      <x:c r="AF437" s="8"/>
      <x:c r="AG437" s="8"/>
      <x:c r="AH437" s="8"/>
      <x:c r="AI437" s="8"/>
      <x:c r="AJ437" s="8"/>
      <x:c r="AK437" s="8"/>
      <x:c r="AL437" s="8"/>
      <x:c r="AM437" s="8"/>
      <x:c r="AN437" s="8"/>
      <x:c r="AO437" s="8"/>
      <x:c r="AP437" s="8"/>
      <x:c r="AQ437" s="8"/>
      <x:c r="AR437" s="8"/>
      <x:c r="AS437" s="8"/>
      <x:c r="AT437" s="8"/>
      <x:c r="AU437" s="8"/>
      <x:c r="AV437" s="8"/>
      <x:c r="AW437" s="8"/>
      <x:c r="AX437" s="8"/>
      <x:c r="AY437" s="8"/>
      <x:c r="AZ437" s="8"/>
      <x:c r="BA437" s="8"/>
      <x:c r="BB437" s="8" t="n">
        <x:f>LET(m,MIN(IF(D437&gt;0,D437,1E+99),IF(F437&gt;0,F437,1E+99),IF(H437&gt;0,H437,1E+99),IF(J437&gt;0,J437,1E+99),IF(L437&gt;0,L437,1E+99),IF(N437&gt;0,N437,1E+99),IF(P437&gt;0,P437,1E+99),IF(R437&gt;0,R437,1E+99),IF(T437&gt;0,T437,1E+99),IF(V437&gt;0,V437,1E+99),IF(X437&gt;0,X437,1E+99),IF(Z437&gt;0,Z437,1E+99),IF(AB437&gt;0,AB437,1E+99),IF(AD437&gt;0,AD437,1E+99),IF(AF437&gt;0,AF437,1E+99),IF(AH437&gt;0,AH437,1E+99),IF(AJ437&gt;0,AJ437,1E+99),IF(AL437&gt;0,AL437,1E+99),IF(AN437&gt;0,AN437,1E+99),IF(AP437&gt;0,AP437,1E+99),IF(AR437&gt;0,AR437,1E+99),IF(AT437&gt;0,AT437,1E+99),IF(AV437&gt;0,AV437,1E+99),IF(AX437&gt;0,AX437,1E+99),IF(AZ437&gt;0,AZ437,1E+99)),IF(m=1E+99,"",m))</x:f>
        <x:v>0.892</x:v>
      </x:c>
      <x:c r="BC437" s="12" t="str">
        <x:f>IF(BB437="","",INDEX({"v1.4.20","v1.4.20","v1.4.21","v1.4.21","v1.4.23","v1.4.23","v1.4.26","v1.4.26","v1.4.26.1","v1.4.26.1","v1.4.27","v1.4.27","v1.4.29","v1.4.29","v1.4.30","v1.4.30","v1.4.31","v1.4.31","v1.4.33","v1.4.33","v1.4.35","v1.4.35.2","v1.5","v1.5.1","v1.5.1"},MATCH(BB437,CHOOSE({1,2,3,4,5,6,7,8,9,10,11,12,13,14,15,16,17,18,19,20,21,22,23,24,25},D437,F437,H437,J437,L437,N437,P437,R437,T437,V437,X437,Z437,AB437,AD437,AF437,AH437,AJ437,AL437,AN437,AP437,AR437,AT437,AV437,AX437,AZ437),0)))</x:f>
        <x:v>v1.4.20</x:v>
      </x:c>
      <x:c r="BD437" s="14" t="n">
        <x:f>LET(m,MIN(IF(E437&gt;0,E437,1E+99),IF(G437&gt;0,G437,1E+99),IF(I437&gt;0,I437,1E+99),IF(K437&gt;0,K437,1E+99),IF(M437&gt;0,M437,1E+99),IF(O437&gt;0,O437,1E+99),IF(Q437&gt;0,Q437,1E+99),IF(S437&gt;0,S437,1E+99),IF(U437&gt;0,U437,1E+99),IF(W437&gt;0,W437,1E+99),IF(Y437&gt;0,Y437,1E+99),IF(AA437&gt;0,AA437,1E+99),IF(AC437&gt;0,AC437,1E+99),IF(AE437&gt;0,AE437,1E+99),IF(AG437&gt;0,AG437,1E+99),IF(AI437&gt;0,AI437,1E+99),IF(AK437&gt;0,AK437,1E+99),IF(AM437&gt;0,AM437,1E+99),IF(AO437&gt;0,AO437,1E+99),IF(AQ437&gt;0,AQ437,1E+99),IF(AS437&gt;0,AS437,1E+99),IF(AU437&gt;0,AU437,1E+99),IF(AW437&gt;0,AW437,1E+99),IF(AY437&gt;0,AY437,1E+99),IF(BA437&gt;0,BA437,1E+99)),IF(m=1E+99,"",m))</x:f>
        <x:v>35.022</x:v>
      </x:c>
      <x:c r="BE437" s="16" t="str">
        <x:f>IF(BD437="","",INDEX({"v1.4.20","v1.4.20","v1.4.21","v1.4.21","v1.4.23","v1.4.23","v1.4.26","v1.4.26","v1.4.26.1","v1.4.26.1","v1.4.27","v1.4.27","v1.4.29","v1.4.29","v1.4.30","v1.4.30","v1.4.31","v1.4.31","v1.4.33","v1.4.33","v1.4.35","v1.4.35.2","v1.5","v1.5.1","v1.5.1"},MATCH(BD437,CHOOSE({1,2,3,4,5,6,7,8,9,10,11,12,13,14,15,16,17,18,19,20,21,22,23,24,25},E437,G437,I437,K437,M437,O437,Q437,S437,U437,W437,Y437,AA437,AC437,AE437,AG437,AI437,AK437,AM437,AO437,AQ437,AS437,AU437,AW437,AY437,BA437),0)))</x:f>
        <x:v>v1.4.20</x:v>
      </x:c>
      <x:c r="BF437" s="10" t="n">
        <x:f>IFERROR((AX437-BB437)/BB437,"")</x:f>
        <x:v>-1</x:v>
      </x:c>
      <x:c r="BG437" s="10" t="n">
        <x:f>IFERROR((AY437-BD437)/BD437,"")</x:f>
        <x:v>-1</x:v>
      </x:c>
    </x:row>
    <x:row r="438">
      <x:c r="A438" t="str">
        <x:v>Raw Data</x:v>
      </x:c>
      <x:c r="B438" t="str">
        <x:v>Format Raw Data</x:v>
      </x:c>
      <x:c r="C438" t="str">
        <x:v>Ensure frozen rows: Template - Raw Data</x:v>
      </x:c>
      <x:c r="D438" s="8" t="n">
        <x:v>5.546</x:v>
      </x:c>
      <x:c r="E438" s="8" t="n">
        <x:v>34.13</x:v>
      </x:c>
      <x:c r="F438" s="8" t="n">
        <x:v>5.546</x:v>
      </x:c>
      <x:c r="G438" s="8" t="n">
        <x:v>34.13</x:v>
      </x:c>
      <x:c r="H438" s="8" t="n">
        <x:v>5.213</x:v>
      </x:c>
      <x:c r="I438" s="8" t="n">
        <x:v>36.807</x:v>
      </x:c>
      <x:c r="J438" s="8" t="n">
        <x:v>5.213</x:v>
      </x:c>
      <x:c r="K438" s="8" t="n">
        <x:v>36.807</x:v>
      </x:c>
      <x:c r="L438" s="8" t="n">
        <x:v>8.241</x:v>
      </x:c>
      <x:c r="M438" s="8" t="n">
        <x:v>50.282</x:v>
      </x:c>
      <x:c r="N438" s="8" t="n">
        <x:v>8.241</x:v>
      </x:c>
      <x:c r="O438" s="8" t="n">
        <x:v>50.282</x:v>
      </x:c>
      <x:c r="P438" s="8"/>
      <x:c r="Q438" s="8"/>
      <x:c r="R438" s="8"/>
      <x:c r="S438" s="8"/>
      <x:c r="T438" s="8"/>
      <x:c r="U438" s="8"/>
      <x:c r="V438" s="8"/>
      <x:c r="W438" s="8"/>
      <x:c r="X438" s="8"/>
      <x:c r="Y438" s="8"/>
      <x:c r="Z438" s="8"/>
      <x:c r="AA438" s="8"/>
      <x:c r="AB438" s="8"/>
      <x:c r="AC438" s="8"/>
      <x:c r="AD438" s="8"/>
      <x:c r="AE438" s="8"/>
      <x:c r="AF438" s="8"/>
      <x:c r="AG438" s="8"/>
      <x:c r="AH438" s="8"/>
      <x:c r="AI438" s="8"/>
      <x:c r="AJ438" s="8"/>
      <x:c r="AK438" s="8"/>
      <x:c r="AL438" s="8"/>
      <x:c r="AM438" s="8"/>
      <x:c r="AN438" s="8"/>
      <x:c r="AO438" s="8"/>
      <x:c r="AP438" s="8"/>
      <x:c r="AQ438" s="8"/>
      <x:c r="AR438" s="8"/>
      <x:c r="AS438" s="8"/>
      <x:c r="AT438" s="8"/>
      <x:c r="AU438" s="8"/>
      <x:c r="AV438" s="8"/>
      <x:c r="AW438" s="8"/>
      <x:c r="AX438" s="8"/>
      <x:c r="AY438" s="8"/>
      <x:c r="AZ438" s="8"/>
      <x:c r="BA438" s="8"/>
      <x:c r="BB438" s="8" t="n">
        <x:f>LET(m,MIN(IF(D438&gt;0,D438,1E+99),IF(F438&gt;0,F438,1E+99),IF(H438&gt;0,H438,1E+99),IF(J438&gt;0,J438,1E+99),IF(L438&gt;0,L438,1E+99),IF(N438&gt;0,N438,1E+99),IF(P438&gt;0,P438,1E+99),IF(R438&gt;0,R438,1E+99),IF(T438&gt;0,T438,1E+99),IF(V438&gt;0,V438,1E+99),IF(X438&gt;0,X438,1E+99),IF(Z438&gt;0,Z438,1E+99),IF(AB438&gt;0,AB438,1E+99),IF(AD438&gt;0,AD438,1E+99),IF(AF438&gt;0,AF438,1E+99),IF(AH438&gt;0,AH438,1E+99),IF(AJ438&gt;0,AJ438,1E+99),IF(AL438&gt;0,AL438,1E+99),IF(AN438&gt;0,AN438,1E+99),IF(AP438&gt;0,AP438,1E+99),IF(AR438&gt;0,AR438,1E+99),IF(AT438&gt;0,AT438,1E+99),IF(AV438&gt;0,AV438,1E+99),IF(AX438&gt;0,AX438,1E+99),IF(AZ438&gt;0,AZ438,1E+99)),IF(m=1E+99,"",m))</x:f>
        <x:v>5.213</x:v>
      </x:c>
      <x:c r="BC438" s="12" t="e">
        <x:f>IF(BB438="","",INDEX({"v1.4.20","v1.4.20","v1.4.21","v1.4.21","v1.4.23","v1.4.23","v1.4.26","v1.4.26","v1.4.26.1","v1.4.26.1","v1.4.27","v1.4.27","v1.4.29","v1.4.29","v1.4.30","v1.4.30","v1.4.31","v1.4.31","v1.4.33","v1.4.33","v1.4.35","v1.4.35.2","v1.5","v1.5.1","v1.5.1"},MATCH(BB438,CHOOSE({1,2,3,4,5,6,7,8,9,10,11,12,13,14,15,16,17,18,19,20,21,22,23,24,25},D438,F438,H438,J438,L438,N438,P438,R438,T438,V438,X438,Z438,AB438,AD438,AF438,AH438,AJ438,AL438,AN438,AP438,AR438,AT438,AV438,AX438,AZ438),0)))</x:f>
      </x:c>
      <x:c r="BD438" s="14" t="n">
        <x:f>LET(m,MIN(IF(E438&gt;0,E438,1E+99),IF(G438&gt;0,G438,1E+99),IF(I438&gt;0,I438,1E+99),IF(K438&gt;0,K438,1E+99),IF(M438&gt;0,M438,1E+99),IF(O438&gt;0,O438,1E+99),IF(Q438&gt;0,Q438,1E+99),IF(S438&gt;0,S438,1E+99),IF(U438&gt;0,U438,1E+99),IF(W438&gt;0,W438,1E+99),IF(Y438&gt;0,Y438,1E+99),IF(AA438&gt;0,AA438,1E+99),IF(AC438&gt;0,AC438,1E+99),IF(AE438&gt;0,AE438,1E+99),IF(AG438&gt;0,AG438,1E+99),IF(AI438&gt;0,AI438,1E+99),IF(AK438&gt;0,AK438,1E+99),IF(AM438&gt;0,AM438,1E+99),IF(AO438&gt;0,AO438,1E+99),IF(AQ438&gt;0,AQ438,1E+99),IF(AS438&gt;0,AS438,1E+99),IF(AU438&gt;0,AU438,1E+99),IF(AW438&gt;0,AW438,1E+99),IF(AY438&gt;0,AY438,1E+99),IF(BA438&gt;0,BA438,1E+99)),IF(m=1E+99,"",m))</x:f>
        <x:v>34.13</x:v>
      </x:c>
      <x:c r="BE438" s="16" t="str">
        <x:f>IF(BD438="","",INDEX({"v1.4.20","v1.4.20","v1.4.21","v1.4.21","v1.4.23","v1.4.23","v1.4.26","v1.4.26","v1.4.26.1","v1.4.26.1","v1.4.27","v1.4.27","v1.4.29","v1.4.29","v1.4.30","v1.4.30","v1.4.31","v1.4.31","v1.4.33","v1.4.33","v1.4.35","v1.4.35.2","v1.5","v1.5.1","v1.5.1"},MATCH(BD438,CHOOSE({1,2,3,4,5,6,7,8,9,10,11,12,13,14,15,16,17,18,19,20,21,22,23,24,25},E438,G438,I438,K438,M438,O438,Q438,S438,U438,W438,Y438,AA438,AC438,AE438,AG438,AI438,AK438,AM438,AO438,AQ438,AS438,AU438,AW438,AY438,BA438),0)))</x:f>
        <x:v>v1.4.20</x:v>
      </x:c>
      <x:c r="BF438" s="10" t="n">
        <x:f>IFERROR((AX438-BB438)/BB438,"")</x:f>
        <x:v>-1</x:v>
      </x:c>
      <x:c r="BG438" s="10" t="n">
        <x:f>IFERROR((AY438-BD438)/BD438,"")</x:f>
        <x:v>-1</x:v>
      </x:c>
    </x:row>
    <x:row r="439">
      <x:c r="A439" t="str">
        <x:v>Raw Data</x:v>
      </x:c>
      <x:c r="B439" t="str">
        <x:v>Format Raw Data</x:v>
      </x:c>
      <x:c r="C439" t="str">
        <x:v>Ensure tab color: Template - Raw Data</x:v>
      </x:c>
      <x:c r="D439" s="8" t="n">
        <x:v>0.877</x:v>
      </x:c>
      <x:c r="E439" s="8" t="n">
        <x:v>35.899</x:v>
      </x:c>
      <x:c r="F439" s="8" t="n">
        <x:v>0.877</x:v>
      </x:c>
      <x:c r="G439" s="8" t="n">
        <x:v>35.899</x:v>
      </x:c>
      <x:c r="H439" s="8" t="n">
        <x:v>1.052</x:v>
      </x:c>
      <x:c r="I439" s="8" t="n">
        <x:v>38.911</x:v>
      </x:c>
      <x:c r="J439" s="8" t="n">
        <x:v>1.052</x:v>
      </x:c>
      <x:c r="K439" s="8" t="n">
        <x:v>38.911</x:v>
      </x:c>
      <x:c r="L439" s="8" t="n">
        <x:v>2.027</x:v>
      </x:c>
      <x:c r="M439" s="8" t="n">
        <x:v>53.651</x:v>
      </x:c>
      <x:c r="N439" s="8" t="n">
        <x:v>2.027</x:v>
      </x:c>
      <x:c r="O439" s="8" t="n">
        <x:v>53.651</x:v>
      </x:c>
      <x:c r="P439" s="8"/>
      <x:c r="Q439" s="8"/>
      <x:c r="R439" s="8"/>
      <x:c r="S439" s="8"/>
      <x:c r="T439" s="8"/>
      <x:c r="U439" s="8"/>
      <x:c r="V439" s="8"/>
      <x:c r="W439" s="8"/>
      <x:c r="X439" s="8"/>
      <x:c r="Y439" s="8"/>
      <x:c r="Z439" s="8"/>
      <x:c r="AA439" s="8"/>
      <x:c r="AB439" s="8"/>
      <x:c r="AC439" s="8"/>
      <x:c r="AD439" s="8"/>
      <x:c r="AE439" s="8"/>
      <x:c r="AF439" s="8"/>
      <x:c r="AG439" s="8"/>
      <x:c r="AH439" s="8"/>
      <x:c r="AI439" s="8"/>
      <x:c r="AJ439" s="8"/>
      <x:c r="AK439" s="8"/>
      <x:c r="AL439" s="8"/>
      <x:c r="AM439" s="8"/>
      <x:c r="AN439" s="8"/>
      <x:c r="AO439" s="8"/>
      <x:c r="AP439" s="8"/>
      <x:c r="AQ439" s="8"/>
      <x:c r="AR439" s="8"/>
      <x:c r="AS439" s="8"/>
      <x:c r="AT439" s="8"/>
      <x:c r="AU439" s="8"/>
      <x:c r="AV439" s="8"/>
      <x:c r="AW439" s="8"/>
      <x:c r="AX439" s="8"/>
      <x:c r="AY439" s="8"/>
      <x:c r="AZ439" s="8"/>
      <x:c r="BA439" s="8"/>
      <x:c r="BB439" s="8" t="n">
        <x:f>LET(m,MIN(IF(D439&gt;0,D439,1E+99),IF(F439&gt;0,F439,1E+99),IF(H439&gt;0,H439,1E+99),IF(J439&gt;0,J439,1E+99),IF(L439&gt;0,L439,1E+99),IF(N439&gt;0,N439,1E+99),IF(P439&gt;0,P439,1E+99),IF(R439&gt;0,R439,1E+99),IF(T439&gt;0,T439,1E+99),IF(V439&gt;0,V439,1E+99),IF(X439&gt;0,X439,1E+99),IF(Z439&gt;0,Z439,1E+99),IF(AB439&gt;0,AB439,1E+99),IF(AD439&gt;0,AD439,1E+99),IF(AF439&gt;0,AF439,1E+99),IF(AH439&gt;0,AH439,1E+99),IF(AJ439&gt;0,AJ439,1E+99),IF(AL439&gt;0,AL439,1E+99),IF(AN439&gt;0,AN439,1E+99),IF(AP439&gt;0,AP439,1E+99),IF(AR439&gt;0,AR439,1E+99),IF(AT439&gt;0,AT439,1E+99),IF(AV439&gt;0,AV439,1E+99),IF(AX439&gt;0,AX439,1E+99),IF(AZ439&gt;0,AZ439,1E+99)),IF(m=1E+99,"",m))</x:f>
        <x:v>0.877</x:v>
      </x:c>
      <x:c r="BC439" s="12" t="str">
        <x:f>IF(BB439="","",INDEX({"v1.4.20","v1.4.20","v1.4.21","v1.4.21","v1.4.23","v1.4.23","v1.4.26","v1.4.26","v1.4.26.1","v1.4.26.1","v1.4.27","v1.4.27","v1.4.29","v1.4.29","v1.4.30","v1.4.30","v1.4.31","v1.4.31","v1.4.33","v1.4.33","v1.4.35","v1.4.35.2","v1.5","v1.5.1","v1.5.1"},MATCH(BB439,CHOOSE({1,2,3,4,5,6,7,8,9,10,11,12,13,14,15,16,17,18,19,20,21,22,23,24,25},D439,F439,H439,J439,L439,N439,P439,R439,T439,V439,X439,Z439,AB439,AD439,AF439,AH439,AJ439,AL439,AN439,AP439,AR439,AT439,AV439,AX439,AZ439),0)))</x:f>
        <x:v>v1.4.20</x:v>
      </x:c>
      <x:c r="BD439" s="14" t="n">
        <x:f>LET(m,MIN(IF(E439&gt;0,E439,1E+99),IF(G439&gt;0,G439,1E+99),IF(I439&gt;0,I439,1E+99),IF(K439&gt;0,K439,1E+99),IF(M439&gt;0,M439,1E+99),IF(O439&gt;0,O439,1E+99),IF(Q439&gt;0,Q439,1E+99),IF(S439&gt;0,S439,1E+99),IF(U439&gt;0,U439,1E+99),IF(W439&gt;0,W439,1E+99),IF(Y439&gt;0,Y439,1E+99),IF(AA439&gt;0,AA439,1E+99),IF(AC439&gt;0,AC439,1E+99),IF(AE439&gt;0,AE439,1E+99),IF(AG439&gt;0,AG439,1E+99),IF(AI439&gt;0,AI439,1E+99),IF(AK439&gt;0,AK439,1E+99),IF(AM439&gt;0,AM439,1E+99),IF(AO439&gt;0,AO439,1E+99),IF(AQ439&gt;0,AQ439,1E+99),IF(AS439&gt;0,AS439,1E+99),IF(AU439&gt;0,AU439,1E+99),IF(AW439&gt;0,AW439,1E+99),IF(AY439&gt;0,AY439,1E+99),IF(BA439&gt;0,BA439,1E+99)),IF(m=1E+99,"",m))</x:f>
        <x:v>35.899</x:v>
      </x:c>
      <x:c r="BE439" s="16" t="str">
        <x:f>IF(BD439="","",INDEX({"v1.4.20","v1.4.20","v1.4.21","v1.4.21","v1.4.23","v1.4.23","v1.4.26","v1.4.26","v1.4.26.1","v1.4.26.1","v1.4.27","v1.4.27","v1.4.29","v1.4.29","v1.4.30","v1.4.30","v1.4.31","v1.4.31","v1.4.33","v1.4.33","v1.4.35","v1.4.35.2","v1.5","v1.5.1","v1.5.1"},MATCH(BD439,CHOOSE({1,2,3,4,5,6,7,8,9,10,11,12,13,14,15,16,17,18,19,20,21,22,23,24,25},E439,G439,I439,K439,M439,O439,Q439,S439,U439,W439,Y439,AA439,AC439,AE439,AG439,AI439,AK439,AM439,AO439,AQ439,AS439,AU439,AW439,AY439,BA439),0)))</x:f>
        <x:v>v1.4.20</x:v>
      </x:c>
      <x:c r="BF439" s="10" t="n">
        <x:f>IFERROR((AX439-BB439)/BB439,"")</x:f>
        <x:v>-1</x:v>
      </x:c>
      <x:c r="BG439" s="10" t="n">
        <x:f>IFERROR((AY439-BD439)/BD439,"")</x:f>
        <x:v>-1</x:v>
      </x:c>
    </x:row>
    <x:row r="440">
      <x:c r="A440" t="str">
        <x:v>Raw Data</x:v>
      </x:c>
      <x:c r="B440" t="str">
        <x:v>Format Raw Data</x:v>
      </x:c>
      <x:c r="C440" t="str">
        <x:v>Remove existing filter: Template - Raw Data</x:v>
      </x:c>
      <x:c r="D440" s="8" t="n">
        <x:v>3.284</x:v>
      </x:c>
      <x:c r="E440" s="8" t="n">
        <x:v>22.216</x:v>
      </x:c>
      <x:c r="F440" s="8" t="n">
        <x:v>3.284</x:v>
      </x:c>
      <x:c r="G440" s="8" t="n">
        <x:v>22.216</x:v>
      </x:c>
      <x:c r="H440" s="8" t="n">
        <x:v>5.581</x:v>
      </x:c>
      <x:c r="I440" s="8" t="n">
        <x:v>23.719</x:v>
      </x:c>
      <x:c r="J440" s="8" t="n">
        <x:v>5.581</x:v>
      </x:c>
      <x:c r="K440" s="8" t="n">
        <x:v>23.719</x:v>
      </x:c>
      <x:c r="L440" s="8" t="n">
        <x:v>6.844</x:v>
      </x:c>
      <x:c r="M440" s="8" t="n">
        <x:v>31.908</x:v>
      </x:c>
      <x:c r="N440" s="8" t="n">
        <x:v>6.844</x:v>
      </x:c>
      <x:c r="O440" s="8" t="n">
        <x:v>31.908</x:v>
      </x:c>
      <x:c r="P440" s="8"/>
      <x:c r="Q440" s="8"/>
      <x:c r="R440" s="8"/>
      <x:c r="S440" s="8"/>
      <x:c r="T440" s="8"/>
      <x:c r="U440" s="8"/>
      <x:c r="V440" s="8"/>
      <x:c r="W440" s="8"/>
      <x:c r="X440" s="8"/>
      <x:c r="Y440" s="8"/>
      <x:c r="Z440" s="8"/>
      <x:c r="AA440" s="8"/>
      <x:c r="AB440" s="8"/>
      <x:c r="AC440" s="8"/>
      <x:c r="AD440" s="8"/>
      <x:c r="AE440" s="8"/>
      <x:c r="AF440" s="8"/>
      <x:c r="AG440" s="8"/>
      <x:c r="AH440" s="8"/>
      <x:c r="AI440" s="8"/>
      <x:c r="AJ440" s="8"/>
      <x:c r="AK440" s="8"/>
      <x:c r="AL440" s="8"/>
      <x:c r="AM440" s="8"/>
      <x:c r="AN440" s="8"/>
      <x:c r="AO440" s="8"/>
      <x:c r="AP440" s="8"/>
      <x:c r="AQ440" s="8"/>
      <x:c r="AR440" s="8"/>
      <x:c r="AS440" s="8"/>
      <x:c r="AT440" s="8"/>
      <x:c r="AU440" s="8"/>
      <x:c r="AV440" s="8"/>
      <x:c r="AW440" s="8"/>
      <x:c r="AX440" s="8"/>
      <x:c r="AY440" s="8"/>
      <x:c r="AZ440" s="8"/>
      <x:c r="BA440" s="8"/>
      <x:c r="BB440" s="8" t="n">
        <x:f>LET(m,MIN(IF(D440&gt;0,D440,1E+99),IF(F440&gt;0,F440,1E+99),IF(H440&gt;0,H440,1E+99),IF(J440&gt;0,J440,1E+99),IF(L440&gt;0,L440,1E+99),IF(N440&gt;0,N440,1E+99),IF(P440&gt;0,P440,1E+99),IF(R440&gt;0,R440,1E+99),IF(T440&gt;0,T440,1E+99),IF(V440&gt;0,V440,1E+99),IF(X440&gt;0,X440,1E+99),IF(Z440&gt;0,Z440,1E+99),IF(AB440&gt;0,AB440,1E+99),IF(AD440&gt;0,AD440,1E+99),IF(AF440&gt;0,AF440,1E+99),IF(AH440&gt;0,AH440,1E+99),IF(AJ440&gt;0,AJ440,1E+99),IF(AL440&gt;0,AL440,1E+99),IF(AN440&gt;0,AN440,1E+99),IF(AP440&gt;0,AP440,1E+99),IF(AR440&gt;0,AR440,1E+99),IF(AT440&gt;0,AT440,1E+99),IF(AV440&gt;0,AV440,1E+99),IF(AX440&gt;0,AX440,1E+99),IF(AZ440&gt;0,AZ440,1E+99)),IF(m=1E+99,"",m))</x:f>
        <x:v>3.284</x:v>
      </x:c>
      <x:c r="BC440" s="12" t="str">
        <x:f>IF(BB440="","",INDEX({"v1.4.20","v1.4.20","v1.4.21","v1.4.21","v1.4.23","v1.4.23","v1.4.26","v1.4.26","v1.4.26.1","v1.4.26.1","v1.4.27","v1.4.27","v1.4.29","v1.4.29","v1.4.30","v1.4.30","v1.4.31","v1.4.31","v1.4.33","v1.4.33","v1.4.35","v1.4.35.2","v1.5","v1.5.1","v1.5.1"},MATCH(BB440,CHOOSE({1,2,3,4,5,6,7,8,9,10,11,12,13,14,15,16,17,18,19,20,21,22,23,24,25},D440,F440,H440,J440,L440,N440,P440,R440,T440,V440,X440,Z440,AB440,AD440,AF440,AH440,AJ440,AL440,AN440,AP440,AR440,AT440,AV440,AX440,AZ440),0)))</x:f>
        <x:v>v1.4.20</x:v>
      </x:c>
      <x:c r="BD440" s="14" t="n">
        <x:f>LET(m,MIN(IF(E440&gt;0,E440,1E+99),IF(G440&gt;0,G440,1E+99),IF(I440&gt;0,I440,1E+99),IF(K440&gt;0,K440,1E+99),IF(M440&gt;0,M440,1E+99),IF(O440&gt;0,O440,1E+99),IF(Q440&gt;0,Q440,1E+99),IF(S440&gt;0,S440,1E+99),IF(U440&gt;0,U440,1E+99),IF(W440&gt;0,W440,1E+99),IF(Y440&gt;0,Y440,1E+99),IF(AA440&gt;0,AA440,1E+99),IF(AC440&gt;0,AC440,1E+99),IF(AE440&gt;0,AE440,1E+99),IF(AG440&gt;0,AG440,1E+99),IF(AI440&gt;0,AI440,1E+99),IF(AK440&gt;0,AK440,1E+99),IF(AM440&gt;0,AM440,1E+99),IF(AO440&gt;0,AO440,1E+99),IF(AQ440&gt;0,AQ440,1E+99),IF(AS440&gt;0,AS440,1E+99),IF(AU440&gt;0,AU440,1E+99),IF(AW440&gt;0,AW440,1E+99),IF(AY440&gt;0,AY440,1E+99),IF(BA440&gt;0,BA440,1E+99)),IF(m=1E+99,"",m))</x:f>
        <x:v>22.216</x:v>
      </x:c>
      <x:c r="BE440" s="16" t="str">
        <x:f>IF(BD440="","",INDEX({"v1.4.20","v1.4.20","v1.4.21","v1.4.21","v1.4.23","v1.4.23","v1.4.26","v1.4.26","v1.4.26.1","v1.4.26.1","v1.4.27","v1.4.27","v1.4.29","v1.4.29","v1.4.30","v1.4.30","v1.4.31","v1.4.31","v1.4.33","v1.4.33","v1.4.35","v1.4.35.2","v1.5","v1.5.1","v1.5.1"},MATCH(BD440,CHOOSE({1,2,3,4,5,6,7,8,9,10,11,12,13,14,15,16,17,18,19,20,21,22,23,24,25},E440,G440,I440,K440,M440,O440,Q440,S440,U440,W440,Y440,AA440,AC440,AE440,AG440,AI440,AK440,AM440,AO440,AQ440,AS440,AU440,AW440,AY440,BA440),0)))</x:f>
        <x:v>v1.4.20</x:v>
      </x:c>
      <x:c r="BF440" s="10" t="n">
        <x:f>IFERROR((AX440-BB440)/BB440,"")</x:f>
        <x:v>-1</x:v>
      </x:c>
      <x:c r="BG440" s="10" t="n">
        <x:f>IFERROR((AY440-BD440)/BD440,"")</x:f>
        <x:v>-1</x:v>
      </x:c>
    </x:row>
    <x:row r="441">
      <x:c r="A441" t="str">
        <x:v>Raw Data</x:v>
      </x:c>
      <x:c r="B441" t="str">
        <x:v>Create Disenrolled List</x:v>
      </x:c>
      <x:c r="C441" t="str">
        <x:v>Locate Raw Data source sheet: Raw Data 04.26</x:v>
      </x:c>
      <x:c r="D441" s="8" t="n">
        <x:v>2.352</x:v>
      </x:c>
      <x:c r="E441" s="8" t="n">
        <x:v>2.352</x:v>
      </x:c>
      <x:c r="F441" s="8" t="n">
        <x:v>2.352</x:v>
      </x:c>
      <x:c r="G441" s="8" t="n">
        <x:v>2.352</x:v>
      </x:c>
      <x:c r="H441" s="8" t="n">
        <x:v>1.848</x:v>
      </x:c>
      <x:c r="I441" s="8" t="n">
        <x:v>1.848</x:v>
      </x:c>
      <x:c r="J441" s="8" t="n">
        <x:v>1.848</x:v>
      </x:c>
      <x:c r="K441" s="8" t="n">
        <x:v>1.848</x:v>
      </x:c>
      <x:c r="L441" s="8" t="n">
        <x:v>4.07</x:v>
      </x:c>
      <x:c r="M441" s="8" t="n">
        <x:v>4.07</x:v>
      </x:c>
      <x:c r="N441" s="8" t="n">
        <x:v>4.07</x:v>
      </x:c>
      <x:c r="O441" s="8" t="n">
        <x:v>4.07</x:v>
      </x:c>
      <x:c r="P441" s="8"/>
      <x:c r="Q441" s="8"/>
      <x:c r="R441" s="8"/>
      <x:c r="S441" s="8"/>
      <x:c r="T441" s="8" t="n">
        <x:v>1.376</x:v>
      </x:c>
      <x:c r="U441" s="8" t="n">
        <x:v>1.376</x:v>
      </x:c>
      <x:c r="V441" s="8" t="n">
        <x:v>1.376</x:v>
      </x:c>
      <x:c r="W441" s="8" t="n">
        <x:v>1.376</x:v>
      </x:c>
      <x:c r="X441" s="8"/>
      <x:c r="Y441" s="8"/>
      <x:c r="Z441" s="8"/>
      <x:c r="AA441" s="8"/>
      <x:c r="AB441" s="8"/>
      <x:c r="AC441" s="8"/>
      <x:c r="AD441" s="8"/>
      <x:c r="AE441" s="8"/>
      <x:c r="AF441" s="8" t="n">
        <x:v>1.258</x:v>
      </x:c>
      <x:c r="AG441" s="8" t="n">
        <x:v>1.258</x:v>
      </x:c>
      <x:c r="AH441" s="8" t="n">
        <x:v>1.258</x:v>
      </x:c>
      <x:c r="AI441" s="8" t="n">
        <x:v>1.258</x:v>
      </x:c>
      <x:c r="AJ441" s="8" t="n">
        <x:v>2.513</x:v>
      </x:c>
      <x:c r="AK441" s="8" t="n">
        <x:v>2.513</x:v>
      </x:c>
      <x:c r="AL441" s="8" t="n">
        <x:v>2.513</x:v>
      </x:c>
      <x:c r="AM441" s="8" t="n">
        <x:v>2.513</x:v>
      </x:c>
      <x:c r="AN441" s="8" t="n">
        <x:v>1.26</x:v>
      </x:c>
      <x:c r="AO441" s="8" t="n">
        <x:v>1.26</x:v>
      </x:c>
      <x:c r="AP441" s="8" t="n">
        <x:v>1.26</x:v>
      </x:c>
      <x:c r="AQ441" s="8" t="n">
        <x:v>1.26</x:v>
      </x:c>
      <x:c r="AR441" s="8"/>
      <x:c r="AS441" s="8"/>
      <x:c r="AT441" s="8" t="n">
        <x:v>1.311</x:v>
      </x:c>
      <x:c r="AU441" s="8" t="n">
        <x:v>1.311</x:v>
      </x:c>
      <x:c r="AV441" s="8" t="n">
        <x:v>1.538</x:v>
      </x:c>
      <x:c r="AW441" s="8" t="n">
        <x:v>1.538</x:v>
      </x:c>
      <x:c r="AX441" s="8" t="n">
        <x:v>1.466</x:v>
      </x:c>
      <x:c r="AY441" s="8" t="n">
        <x:v>1.466</x:v>
      </x:c>
      <x:c r="AZ441" s="8" t="n">
        <x:v>1.466</x:v>
      </x:c>
      <x:c r="BA441" s="8" t="n">
        <x:v>1.466</x:v>
      </x:c>
      <x:c r="BB441" s="8" t="n">
        <x:f>LET(m,MIN(IF(D441&gt;0,D441,1E+99),IF(F441&gt;0,F441,1E+99),IF(H441&gt;0,H441,1E+99),IF(J441&gt;0,J441,1E+99),IF(L441&gt;0,L441,1E+99),IF(N441&gt;0,N441,1E+99),IF(P441&gt;0,P441,1E+99),IF(R441&gt;0,R441,1E+99),IF(T441&gt;0,T441,1E+99),IF(V441&gt;0,V441,1E+99),IF(X441&gt;0,X441,1E+99),IF(Z441&gt;0,Z441,1E+99),IF(AB441&gt;0,AB441,1E+99),IF(AD441&gt;0,AD441,1E+99),IF(AF441&gt;0,AF441,1E+99),IF(AH441&gt;0,AH441,1E+99),IF(AJ441&gt;0,AJ441,1E+99),IF(AL441&gt;0,AL441,1E+99),IF(AN441&gt;0,AN441,1E+99),IF(AP441&gt;0,AP441,1E+99),IF(AR441&gt;0,AR441,1E+99),IF(AT441&gt;0,AT441,1E+99),IF(AV441&gt;0,AV441,1E+99),IF(AX441&gt;0,AX441,1E+99),IF(AZ441&gt;0,AZ441,1E+99)),IF(m=1E+99,"",m))</x:f>
        <x:v>1.258</x:v>
      </x:c>
      <x:c r="BC441" s="12" t="e">
        <x:f>IF(BB441="","",INDEX({"v1.4.20","v1.4.20","v1.4.21","v1.4.21","v1.4.23","v1.4.23","v1.4.26","v1.4.26","v1.4.26.1","v1.4.26.1","v1.4.27","v1.4.27","v1.4.29","v1.4.29","v1.4.30","v1.4.30","v1.4.31","v1.4.31","v1.4.33","v1.4.33","v1.4.35","v1.4.35.2","v1.5","v1.5.1","v1.5.1"},MATCH(BB441,CHOOSE({1,2,3,4,5,6,7,8,9,10,11,12,13,14,15,16,17,18,19,20,21,22,23,24,25},D441,F441,H441,J441,L441,N441,P441,R441,T441,V441,X441,Z441,AB441,AD441,AF441,AH441,AJ441,AL441,AN441,AP441,AR441,AT441,AV441,AX441,AZ441),0)))</x:f>
      </x:c>
      <x:c r="BD441" s="14" t="n">
        <x:f>LET(m,MIN(IF(E441&gt;0,E441,1E+99),IF(G441&gt;0,G441,1E+99),IF(I441&gt;0,I441,1E+99),IF(K441&gt;0,K441,1E+99),IF(M441&gt;0,M441,1E+99),IF(O441&gt;0,O441,1E+99),IF(Q441&gt;0,Q441,1E+99),IF(S441&gt;0,S441,1E+99),IF(U441&gt;0,U441,1E+99),IF(W441&gt;0,W441,1E+99),IF(Y441&gt;0,Y441,1E+99),IF(AA441&gt;0,AA441,1E+99),IF(AC441&gt;0,AC441,1E+99),IF(AE441&gt;0,AE441,1E+99),IF(AG441&gt;0,AG441,1E+99),IF(AI441&gt;0,AI441,1E+99),IF(AK441&gt;0,AK441,1E+99),IF(AM441&gt;0,AM441,1E+99),IF(AO441&gt;0,AO441,1E+99),IF(AQ441&gt;0,AQ441,1E+99),IF(AS441&gt;0,AS441,1E+99),IF(AU441&gt;0,AU441,1E+99),IF(AW441&gt;0,AW441,1E+99),IF(AY441&gt;0,AY441,1E+99),IF(BA441&gt;0,BA441,1E+99)),IF(m=1E+99,"",m))</x:f>
        <x:v>1.258</x:v>
      </x:c>
      <x:c r="BE441" s="16" t="e">
        <x:f>IF(BD441="","",INDEX({"v1.4.20","v1.4.20","v1.4.21","v1.4.21","v1.4.23","v1.4.23","v1.4.26","v1.4.26","v1.4.26.1","v1.4.26.1","v1.4.27","v1.4.27","v1.4.29","v1.4.29","v1.4.30","v1.4.30","v1.4.31","v1.4.31","v1.4.33","v1.4.33","v1.4.35","v1.4.35.2","v1.5","v1.5.1","v1.5.1"},MATCH(BD441,CHOOSE({1,2,3,4,5,6,7,8,9,10,11,12,13,14,15,16,17,18,19,20,21,22,23,24,25},E441,G441,I441,K441,M441,O441,Q441,S441,U441,W441,Y441,AA441,AC441,AE441,AG441,AI441,AK441,AM441,AO441,AQ441,AS441,AU441,AW441,AY441,BA441),0)))</x:f>
      </x:c>
      <x:c r="BF441" s="10" t="n">
        <x:f>IFERROR((AX441-BB441)/BB441,"")</x:f>
        <x:v>0.1653418124006359</x:v>
      </x:c>
      <x:c r="BG441" s="10" t="n">
        <x:f>IFERROR((AY441-BD441)/BD441,"")</x:f>
        <x:v>0.1653418124006359</x:v>
      </x:c>
    </x:row>
    <x:row r="442">
      <x:c r="A442" t="str">
        <x:v>Raw Data</x:v>
      </x:c>
      <x:c r="B442" t="str">
        <x:v>Create Disenrolled List</x:v>
      </x:c>
      <x:c r="C442" t="str">
        <x:v>Read Raw Data values</x:v>
      </x:c>
      <x:c r="D442" s="8" t="n">
        <x:v>4.002</x:v>
      </x:c>
      <x:c r="E442" s="8" t="n">
        <x:v>6.354</x:v>
      </x:c>
      <x:c r="F442" s="8" t="n">
        <x:v>4.002</x:v>
      </x:c>
      <x:c r="G442" s="8" t="n">
        <x:v>6.354</x:v>
      </x:c>
      <x:c r="H442" s="8" t="n">
        <x:v>3.161</x:v>
      </x:c>
      <x:c r="I442" s="8" t="n">
        <x:v>5.009</x:v>
      </x:c>
      <x:c r="J442" s="8" t="n">
        <x:v>3.161</x:v>
      </x:c>
      <x:c r="K442" s="8" t="n">
        <x:v>5.009</x:v>
      </x:c>
      <x:c r="L442" s="8" t="n">
        <x:v>4.053</x:v>
      </x:c>
      <x:c r="M442" s="8" t="n">
        <x:v>8.123</x:v>
      </x:c>
      <x:c r="N442" s="8" t="n">
        <x:v>4.053</x:v>
      </x:c>
      <x:c r="O442" s="8" t="n">
        <x:v>8.123</x:v>
      </x:c>
      <x:c r="P442" s="8"/>
      <x:c r="Q442" s="8"/>
      <x:c r="R442" s="8"/>
      <x:c r="S442" s="8"/>
      <x:c r="T442" s="8" t="n">
        <x:v>3.081</x:v>
      </x:c>
      <x:c r="U442" s="8" t="n">
        <x:v>4.457</x:v>
      </x:c>
      <x:c r="V442" s="8" t="n">
        <x:v>3.081</x:v>
      </x:c>
      <x:c r="W442" s="8" t="n">
        <x:v>4.457</x:v>
      </x:c>
      <x:c r="X442" s="8"/>
      <x:c r="Y442" s="8"/>
      <x:c r="Z442" s="8"/>
      <x:c r="AA442" s="8"/>
      <x:c r="AB442" s="8"/>
      <x:c r="AC442" s="8"/>
      <x:c r="AD442" s="8"/>
      <x:c r="AE442" s="8"/>
      <x:c r="AF442" s="8" t="n">
        <x:v>1.904</x:v>
      </x:c>
      <x:c r="AG442" s="8" t="n">
        <x:v>3.162</x:v>
      </x:c>
      <x:c r="AH442" s="8" t="n">
        <x:v>1.904</x:v>
      </x:c>
      <x:c r="AI442" s="8" t="n">
        <x:v>3.162</x:v>
      </x:c>
      <x:c r="AJ442" s="8" t="n">
        <x:v>2.616</x:v>
      </x:c>
      <x:c r="AK442" s="8" t="n">
        <x:v>5.129</x:v>
      </x:c>
      <x:c r="AL442" s="8" t="n">
        <x:v>2.616</x:v>
      </x:c>
      <x:c r="AM442" s="8" t="n">
        <x:v>5.129</x:v>
      </x:c>
      <x:c r="AN442" s="8" t="n">
        <x:v>2.877</x:v>
      </x:c>
      <x:c r="AO442" s="8" t="n">
        <x:v>4.137</x:v>
      </x:c>
      <x:c r="AP442" s="8" t="n">
        <x:v>2.877</x:v>
      </x:c>
      <x:c r="AQ442" s="8" t="n">
        <x:v>4.137</x:v>
      </x:c>
      <x:c r="AR442" s="8"/>
      <x:c r="AS442" s="8"/>
      <x:c r="AT442" s="8" t="n">
        <x:v>2.398</x:v>
      </x:c>
      <x:c r="AU442" s="8" t="n">
        <x:v>3.709</x:v>
      </x:c>
      <x:c r="AV442" s="8" t="n">
        <x:v>2.197</x:v>
      </x:c>
      <x:c r="AW442" s="8" t="n">
        <x:v>3.735</x:v>
      </x:c>
      <x:c r="AX442" s="8" t="n">
        <x:v>2.585</x:v>
      </x:c>
      <x:c r="AY442" s="8" t="n">
        <x:v>4.051</x:v>
      </x:c>
      <x:c r="AZ442" s="8" t="n">
        <x:v>2.585</x:v>
      </x:c>
      <x:c r="BA442" s="8" t="n">
        <x:v>4.051</x:v>
      </x:c>
      <x:c r="BB442" s="8" t="n">
        <x:f>LET(m,MIN(IF(D442&gt;0,D442,1E+99),IF(F442&gt;0,F442,1E+99),IF(H442&gt;0,H442,1E+99),IF(J442&gt;0,J442,1E+99),IF(L442&gt;0,L442,1E+99),IF(N442&gt;0,N442,1E+99),IF(P442&gt;0,P442,1E+99),IF(R442&gt;0,R442,1E+99),IF(T442&gt;0,T442,1E+99),IF(V442&gt;0,V442,1E+99),IF(X442&gt;0,X442,1E+99),IF(Z442&gt;0,Z442,1E+99),IF(AB442&gt;0,AB442,1E+99),IF(AD442&gt;0,AD442,1E+99),IF(AF442&gt;0,AF442,1E+99),IF(AH442&gt;0,AH442,1E+99),IF(AJ442&gt;0,AJ442,1E+99),IF(AL442&gt;0,AL442,1E+99),IF(AN442&gt;0,AN442,1E+99),IF(AP442&gt;0,AP442,1E+99),IF(AR442&gt;0,AR442,1E+99),IF(AT442&gt;0,AT442,1E+99),IF(AV442&gt;0,AV442,1E+99),IF(AX442&gt;0,AX442,1E+99),IF(AZ442&gt;0,AZ442,1E+99)),IF(m=1E+99,"",m))</x:f>
        <x:v>1.904</x:v>
      </x:c>
      <x:c r="BC442" s="12" t="e">
        <x:f>IF(BB442="","",INDEX({"v1.4.20","v1.4.20","v1.4.21","v1.4.21","v1.4.23","v1.4.23","v1.4.26","v1.4.26","v1.4.26.1","v1.4.26.1","v1.4.27","v1.4.27","v1.4.29","v1.4.29","v1.4.30","v1.4.30","v1.4.31","v1.4.31","v1.4.33","v1.4.33","v1.4.35","v1.4.35.2","v1.5","v1.5.1","v1.5.1"},MATCH(BB442,CHOOSE({1,2,3,4,5,6,7,8,9,10,11,12,13,14,15,16,17,18,19,20,21,22,23,24,25},D442,F442,H442,J442,L442,N442,P442,R442,T442,V442,X442,Z442,AB442,AD442,AF442,AH442,AJ442,AL442,AN442,AP442,AR442,AT442,AV442,AX442,AZ442),0)))</x:f>
      </x:c>
      <x:c r="BD442" s="14" t="n">
        <x:f>LET(m,MIN(IF(E442&gt;0,E442,1E+99),IF(G442&gt;0,G442,1E+99),IF(I442&gt;0,I442,1E+99),IF(K442&gt;0,K442,1E+99),IF(M442&gt;0,M442,1E+99),IF(O442&gt;0,O442,1E+99),IF(Q442&gt;0,Q442,1E+99),IF(S442&gt;0,S442,1E+99),IF(U442&gt;0,U442,1E+99),IF(W442&gt;0,W442,1E+99),IF(Y442&gt;0,Y442,1E+99),IF(AA442&gt;0,AA442,1E+99),IF(AC442&gt;0,AC442,1E+99),IF(AE442&gt;0,AE442,1E+99),IF(AG442&gt;0,AG442,1E+99),IF(AI442&gt;0,AI442,1E+99),IF(AK442&gt;0,AK442,1E+99),IF(AM442&gt;0,AM442,1E+99),IF(AO442&gt;0,AO442,1E+99),IF(AQ442&gt;0,AQ442,1E+99),IF(AS442&gt;0,AS442,1E+99),IF(AU442&gt;0,AU442,1E+99),IF(AW442&gt;0,AW442,1E+99),IF(AY442&gt;0,AY442,1E+99),IF(BA442&gt;0,BA442,1E+99)),IF(m=1E+99,"",m))</x:f>
        <x:v>3.162</x:v>
      </x:c>
      <x:c r="BE442" s="16" t="e">
        <x:f>IF(BD442="","",INDEX({"v1.4.20","v1.4.20","v1.4.21","v1.4.21","v1.4.23","v1.4.23","v1.4.26","v1.4.26","v1.4.26.1","v1.4.26.1","v1.4.27","v1.4.27","v1.4.29","v1.4.29","v1.4.30","v1.4.30","v1.4.31","v1.4.31","v1.4.33","v1.4.33","v1.4.35","v1.4.35.2","v1.5","v1.5.1","v1.5.1"},MATCH(BD442,CHOOSE({1,2,3,4,5,6,7,8,9,10,11,12,13,14,15,16,17,18,19,20,21,22,23,24,25},E442,G442,I442,K442,M442,O442,Q442,S442,U442,W442,Y442,AA442,AC442,AE442,AG442,AI442,AK442,AM442,AO442,AQ442,AS442,AU442,AW442,AY442,BA442),0)))</x:f>
      </x:c>
      <x:c r="BF442" s="10" t="n">
        <x:f>IFERROR((AX442-BB442)/BB442,"")</x:f>
        <x:v>0.3576680672268908</x:v>
      </x:c>
      <x:c r="BG442" s="10" t="n">
        <x:f>IFERROR((AY442-BD442)/BD442,"")</x:f>
        <x:v>0.28115117014547764</x:v>
      </x:c>
    </x:row>
    <x:row r="443">
      <x:c r="A443" t="str"/>
      <x:c r="B443" t="str">
        <x:v>Create Disenrolled List</x:v>
      </x:c>
      <x:c r="C443" t="str">
        <x:v>Identify disenrolled PMRs by sequential block scan</x:v>
      </x:c>
      <x:c r="D443" s="8" t="n">
        <x:v>0.018</x:v>
      </x:c>
      <x:c r="E443" s="8" t="n">
        <x:v>6.372</x:v>
      </x:c>
      <x:c r="F443" s="8" t="n">
        <x:v>0.018</x:v>
      </x:c>
      <x:c r="G443" s="8" t="n">
        <x:v>6.372</x:v>
      </x:c>
      <x:c r="H443" s="8" t="n">
        <x:v>0.01</x:v>
      </x:c>
      <x:c r="I443" s="8" t="n">
        <x:v>5.019</x:v>
      </x:c>
      <x:c r="J443" s="8" t="n">
        <x:v>0.01</x:v>
      </x:c>
      <x:c r="K443" s="8" t="n">
        <x:v>5.019</x:v>
      </x:c>
      <x:c r="L443" s="8" t="n">
        <x:v>0.012</x:v>
      </x:c>
      <x:c r="M443" s="8" t="n">
        <x:v>8.135</x:v>
      </x:c>
      <x:c r="N443" s="8" t="n">
        <x:v>0.012</x:v>
      </x:c>
      <x:c r="O443" s="8" t="n">
        <x:v>8.135</x:v>
      </x:c>
      <x:c r="P443" s="8"/>
      <x:c r="Q443" s="8"/>
      <x:c r="R443" s="8"/>
      <x:c r="S443" s="8"/>
      <x:c r="T443" s="8" t="n">
        <x:v>0.02</x:v>
      </x:c>
      <x:c r="U443" s="8" t="n">
        <x:v>4.477</x:v>
      </x:c>
      <x:c r="V443" s="8" t="n">
        <x:v>0.02</x:v>
      </x:c>
      <x:c r="W443" s="8" t="n">
        <x:v>4.477</x:v>
      </x:c>
      <x:c r="X443" s="8"/>
      <x:c r="Y443" s="8"/>
      <x:c r="Z443" s="8"/>
      <x:c r="AA443" s="8"/>
      <x:c r="AB443" s="8"/>
      <x:c r="AC443" s="8"/>
      <x:c r="AD443" s="8"/>
      <x:c r="AE443" s="8"/>
      <x:c r="AF443" s="8" t="n">
        <x:v>0.014</x:v>
      </x:c>
      <x:c r="AG443" s="8" t="n">
        <x:v>3.176</x:v>
      </x:c>
      <x:c r="AH443" s="8" t="n">
        <x:v>0.014</x:v>
      </x:c>
      <x:c r="AI443" s="8" t="n">
        <x:v>3.176</x:v>
      </x:c>
      <x:c r="AJ443" s="8" t="n">
        <x:v>0.009</x:v>
      </x:c>
      <x:c r="AK443" s="8" t="n">
        <x:v>5.138</x:v>
      </x:c>
      <x:c r="AL443" s="8" t="n">
        <x:v>0.009</x:v>
      </x:c>
      <x:c r="AM443" s="8" t="n">
        <x:v>5.138</x:v>
      </x:c>
      <x:c r="AN443" s="8" t="n">
        <x:v>0.023</x:v>
      </x:c>
      <x:c r="AO443" s="8" t="n">
        <x:v>4.16</x:v>
      </x:c>
      <x:c r="AP443" s="8" t="n">
        <x:v>0.023</x:v>
      </x:c>
      <x:c r="AQ443" s="8" t="n">
        <x:v>4.16</x:v>
      </x:c>
      <x:c r="AR443" s="8"/>
      <x:c r="AS443" s="8"/>
      <x:c r="AT443" s="8" t="n">
        <x:v>0.014</x:v>
      </x:c>
      <x:c r="AU443" s="8" t="n">
        <x:v>3.723</x:v>
      </x:c>
      <x:c r="AV443" s="8" t="n">
        <x:v>0.01</x:v>
      </x:c>
      <x:c r="AW443" s="8" t="n">
        <x:v>3.745</x:v>
      </x:c>
      <x:c r="AX443" s="8" t="n">
        <x:v>0.018</x:v>
      </x:c>
      <x:c r="AY443" s="8" t="n">
        <x:v>4.069</x:v>
      </x:c>
      <x:c r="AZ443" s="8" t="n">
        <x:v>0.018</x:v>
      </x:c>
      <x:c r="BA443" s="8" t="n">
        <x:v>4.069</x:v>
      </x:c>
      <x:c r="BB443" s="8" t="n">
        <x:f>LET(m,MIN(IF(D443&gt;0,D443,1E+99),IF(F443&gt;0,F443,1E+99),IF(H443&gt;0,H443,1E+99),IF(J443&gt;0,J443,1E+99),IF(L443&gt;0,L443,1E+99),IF(N443&gt;0,N443,1E+99),IF(P443&gt;0,P443,1E+99),IF(R443&gt;0,R443,1E+99),IF(T443&gt;0,T443,1E+99),IF(V443&gt;0,V443,1E+99),IF(X443&gt;0,X443,1E+99),IF(Z443&gt;0,Z443,1E+99),IF(AB443&gt;0,AB443,1E+99),IF(AD443&gt;0,AD443,1E+99),IF(AF443&gt;0,AF443,1E+99),IF(AH443&gt;0,AH443,1E+99),IF(AJ443&gt;0,AJ443,1E+99),IF(AL443&gt;0,AL443,1E+99),IF(AN443&gt;0,AN443,1E+99),IF(AP443&gt;0,AP443,1E+99),IF(AR443&gt;0,AR443,1E+99),IF(AT443&gt;0,AT443,1E+99),IF(AV443&gt;0,AV443,1E+99),IF(AX443&gt;0,AX443,1E+99),IF(AZ443&gt;0,AZ443,1E+99)),IF(m=1E+99,"",m))</x:f>
        <x:v>0.009</x:v>
      </x:c>
      <x:c r="BC443" s="12" t="e">
        <x:f>IF(BB443="","",INDEX({"v1.4.20","v1.4.20","v1.4.21","v1.4.21","v1.4.23","v1.4.23","v1.4.26","v1.4.26","v1.4.26.1","v1.4.26.1","v1.4.27","v1.4.27","v1.4.29","v1.4.29","v1.4.30","v1.4.30","v1.4.31","v1.4.31","v1.4.33","v1.4.33","v1.4.35","v1.4.35.2","v1.5","v1.5.1","v1.5.1"},MATCH(BB443,CHOOSE({1,2,3,4,5,6,7,8,9,10,11,12,13,14,15,16,17,18,19,20,21,22,23,24,25},D443,F443,H443,J443,L443,N443,P443,R443,T443,V443,X443,Z443,AB443,AD443,AF443,AH443,AJ443,AL443,AN443,AP443,AR443,AT443,AV443,AX443,AZ443),0)))</x:f>
      </x:c>
      <x:c r="BD443" s="14" t="n">
        <x:f>LET(m,MIN(IF(E443&gt;0,E443,1E+99),IF(G443&gt;0,G443,1E+99),IF(I443&gt;0,I443,1E+99),IF(K443&gt;0,K443,1E+99),IF(M443&gt;0,M443,1E+99),IF(O443&gt;0,O443,1E+99),IF(Q443&gt;0,Q443,1E+99),IF(S443&gt;0,S443,1E+99),IF(U443&gt;0,U443,1E+99),IF(W443&gt;0,W443,1E+99),IF(Y443&gt;0,Y443,1E+99),IF(AA443&gt;0,AA443,1E+99),IF(AC443&gt;0,AC443,1E+99),IF(AE443&gt;0,AE443,1E+99),IF(AG443&gt;0,AG443,1E+99),IF(AI443&gt;0,AI443,1E+99),IF(AK443&gt;0,AK443,1E+99),IF(AM443&gt;0,AM443,1E+99),IF(AO443&gt;0,AO443,1E+99),IF(AQ443&gt;0,AQ443,1E+99),IF(AS443&gt;0,AS443,1E+99),IF(AU443&gt;0,AU443,1E+99),IF(AW443&gt;0,AW443,1E+99),IF(AY443&gt;0,AY443,1E+99),IF(BA443&gt;0,BA443,1E+99)),IF(m=1E+99,"",m))</x:f>
        <x:v>3.176</x:v>
      </x:c>
      <x:c r="BE443" s="16" t="e">
        <x:f>IF(BD443="","",INDEX({"v1.4.20","v1.4.20","v1.4.21","v1.4.21","v1.4.23","v1.4.23","v1.4.26","v1.4.26","v1.4.26.1","v1.4.26.1","v1.4.27","v1.4.27","v1.4.29","v1.4.29","v1.4.30","v1.4.30","v1.4.31","v1.4.31","v1.4.33","v1.4.33","v1.4.35","v1.4.35.2","v1.5","v1.5.1","v1.5.1"},MATCH(BD443,CHOOSE({1,2,3,4,5,6,7,8,9,10,11,12,13,14,15,16,17,18,19,20,21,22,23,24,25},E443,G443,I443,K443,M443,O443,Q443,S443,U443,W443,Y443,AA443,AC443,AE443,AG443,AI443,AK443,AM443,AO443,AQ443,AS443,AU443,AW443,AY443,BA443),0)))</x:f>
      </x:c>
      <x:c r="BF443" s="10" t="n">
        <x:f>IFERROR((AX443-BB443)/BB443,"")</x:f>
        <x:v>1</x:v>
      </x:c>
      <x:c r="BG443" s="10" t="n">
        <x:f>IFERROR((AY443-BD443)/BD443,"")</x:f>
        <x:v>0.28117128463476065</x:v>
      </x:c>
    </x:row>
    <x:row r="444">
      <x:c r="A444" t="str">
        <x:v>Disenrolled Exclusion</x:v>
      </x:c>
      <x:c r="B444" t="str">
        <x:v>Create Disenrolled List</x:v>
      </x:c>
      <x:c r="C444" t="str">
        <x:v>Write Disenrolled Exclusion primary rows only: 721</x:v>
      </x:c>
      <x:c r="D444" s="8" t="n">
        <x:v>77.225</x:v>
      </x:c>
      <x:c r="E444" s="8" t="n">
        <x:v>83.597</x:v>
      </x:c>
      <x:c r="F444" s="8" t="n">
        <x:v>77.225</x:v>
      </x:c>
      <x:c r="G444" s="8" t="n">
        <x:v>83.597</x:v>
      </x:c>
      <x:c r="H444" s="8" t="n">
        <x:v>59.551</x:v>
      </x:c>
      <x:c r="I444" s="8" t="n">
        <x:v>64.57</x:v>
      </x:c>
      <x:c r="J444" s="8" t="n">
        <x:v>59.551</x:v>
      </x:c>
      <x:c r="K444" s="8" t="n">
        <x:v>64.57</x:v>
      </x:c>
      <x:c r="L444" s="8" t="n">
        <x:v>65.267</x:v>
      </x:c>
      <x:c r="M444" s="8" t="n">
        <x:v>73.402</x:v>
      </x:c>
      <x:c r="N444" s="8" t="n">
        <x:v>65.267</x:v>
      </x:c>
      <x:c r="O444" s="8" t="n">
        <x:v>73.402</x:v>
      </x:c>
      <x:c r="P444" s="8"/>
      <x:c r="Q444" s="8"/>
      <x:c r="R444" s="8"/>
      <x:c r="S444" s="8"/>
      <x:c r="T444" s="8" t="n">
        <x:v>45.185</x:v>
      </x:c>
      <x:c r="U444" s="8" t="n">
        <x:v>49.662</x:v>
      </x:c>
      <x:c r="V444" s="8" t="n">
        <x:v>45.185</x:v>
      </x:c>
      <x:c r="W444" s="8" t="n">
        <x:v>49.662</x:v>
      </x:c>
      <x:c r="X444" s="8"/>
      <x:c r="Y444" s="8"/>
      <x:c r="Z444" s="8"/>
      <x:c r="AA444" s="8"/>
      <x:c r="AB444" s="8"/>
      <x:c r="AC444" s="8"/>
      <x:c r="AD444" s="8"/>
      <x:c r="AE444" s="8"/>
      <x:c r="AF444" s="8" t="n">
        <x:v>30.746</x:v>
      </x:c>
      <x:c r="AG444" s="8" t="n">
        <x:v>33.922</x:v>
      </x:c>
      <x:c r="AH444" s="8" t="n">
        <x:v>30.746</x:v>
      </x:c>
      <x:c r="AI444" s="8" t="n">
        <x:v>33.922</x:v>
      </x:c>
      <x:c r="AJ444" s="8" t="n">
        <x:v>48.681</x:v>
      </x:c>
      <x:c r="AK444" s="8" t="n">
        <x:v>53.819</x:v>
      </x:c>
      <x:c r="AL444" s="8" t="n">
        <x:v>48.681</x:v>
      </x:c>
      <x:c r="AM444" s="8" t="n">
        <x:v>53.819</x:v>
      </x:c>
      <x:c r="AN444" s="8" t="n">
        <x:v>43.933</x:v>
      </x:c>
      <x:c r="AO444" s="8" t="n">
        <x:v>48.093</x:v>
      </x:c>
      <x:c r="AP444" s="8" t="n">
        <x:v>43.933</x:v>
      </x:c>
      <x:c r="AQ444" s="8" t="n">
        <x:v>48.093</x:v>
      </x:c>
      <x:c r="AR444" s="8"/>
      <x:c r="AS444" s="8"/>
      <x:c r="AT444" s="8" t="n">
        <x:v>34.773</x:v>
      </x:c>
      <x:c r="AU444" s="8" t="n">
        <x:v>38.496</x:v>
      </x:c>
      <x:c r="AV444" s="8" t="n">
        <x:v>36.036</x:v>
      </x:c>
      <x:c r="AW444" s="8" t="n">
        <x:v>39.781</x:v>
      </x:c>
      <x:c r="AX444" s="8" t="n">
        <x:v>39.987</x:v>
      </x:c>
      <x:c r="AY444" s="8" t="n">
        <x:v>44.056</x:v>
      </x:c>
      <x:c r="AZ444" s="8" t="n">
        <x:v>39.987</x:v>
      </x:c>
      <x:c r="BA444" s="8" t="n">
        <x:v>44.056</x:v>
      </x:c>
      <x:c r="BB444" s="8" t="n">
        <x:f>LET(m,MIN(IF(D444&gt;0,D444,1E+99),IF(F444&gt;0,F444,1E+99),IF(H444&gt;0,H444,1E+99),IF(J444&gt;0,J444,1E+99),IF(L444&gt;0,L444,1E+99),IF(N444&gt;0,N444,1E+99),IF(P444&gt;0,P444,1E+99),IF(R444&gt;0,R444,1E+99),IF(T444&gt;0,T444,1E+99),IF(V444&gt;0,V444,1E+99),IF(X444&gt;0,X444,1E+99),IF(Z444&gt;0,Z444,1E+99),IF(AB444&gt;0,AB444,1E+99),IF(AD444&gt;0,AD444,1E+99),IF(AF444&gt;0,AF444,1E+99),IF(AH444&gt;0,AH444,1E+99),IF(AJ444&gt;0,AJ444,1E+99),IF(AL444&gt;0,AL444,1E+99),IF(AN444&gt;0,AN444,1E+99),IF(AP444&gt;0,AP444,1E+99),IF(AR444&gt;0,AR444,1E+99),IF(AT444&gt;0,AT444,1E+99),IF(AV444&gt;0,AV444,1E+99),IF(AX444&gt;0,AX444,1E+99),IF(AZ444&gt;0,AZ444,1E+99)),IF(m=1E+99,"",m))</x:f>
        <x:v>30.746</x:v>
      </x:c>
      <x:c r="BC444" s="12" t="e">
        <x:f>IF(BB444="","",INDEX({"v1.4.20","v1.4.20","v1.4.21","v1.4.21","v1.4.23","v1.4.23","v1.4.26","v1.4.26","v1.4.26.1","v1.4.26.1","v1.4.27","v1.4.27","v1.4.29","v1.4.29","v1.4.30","v1.4.30","v1.4.31","v1.4.31","v1.4.33","v1.4.33","v1.4.35","v1.4.35.2","v1.5","v1.5.1","v1.5.1"},MATCH(BB444,CHOOSE({1,2,3,4,5,6,7,8,9,10,11,12,13,14,15,16,17,18,19,20,21,22,23,24,25},D444,F444,H444,J444,L444,N444,P444,R444,T444,V444,X444,Z444,AB444,AD444,AF444,AH444,AJ444,AL444,AN444,AP444,AR444,AT444,AV444,AX444,AZ444),0)))</x:f>
      </x:c>
      <x:c r="BD444" s="14" t="n">
        <x:f>LET(m,MIN(IF(E444&gt;0,E444,1E+99),IF(G444&gt;0,G444,1E+99),IF(I444&gt;0,I444,1E+99),IF(K444&gt;0,K444,1E+99),IF(M444&gt;0,M444,1E+99),IF(O444&gt;0,O444,1E+99),IF(Q444&gt;0,Q444,1E+99),IF(S444&gt;0,S444,1E+99),IF(U444&gt;0,U444,1E+99),IF(W444&gt;0,W444,1E+99),IF(Y444&gt;0,Y444,1E+99),IF(AA444&gt;0,AA444,1E+99),IF(AC444&gt;0,AC444,1E+99),IF(AE444&gt;0,AE444,1E+99),IF(AG444&gt;0,AG444,1E+99),IF(AI444&gt;0,AI444,1E+99),IF(AK444&gt;0,AK444,1E+99),IF(AM444&gt;0,AM444,1E+99),IF(AO444&gt;0,AO444,1E+99),IF(AQ444&gt;0,AQ444,1E+99),IF(AS444&gt;0,AS444,1E+99),IF(AU444&gt;0,AU444,1E+99),IF(AW444&gt;0,AW444,1E+99),IF(AY444&gt;0,AY444,1E+99),IF(BA444&gt;0,BA444,1E+99)),IF(m=1E+99,"",m))</x:f>
        <x:v>33.922</x:v>
      </x:c>
      <x:c r="BE444" s="16" t="e">
        <x:f>IF(BD444="","",INDEX({"v1.4.20","v1.4.20","v1.4.21","v1.4.21","v1.4.23","v1.4.23","v1.4.26","v1.4.26","v1.4.26.1","v1.4.26.1","v1.4.27","v1.4.27","v1.4.29","v1.4.29","v1.4.30","v1.4.30","v1.4.31","v1.4.31","v1.4.33","v1.4.33","v1.4.35","v1.4.35.2","v1.5","v1.5.1","v1.5.1"},MATCH(BD444,CHOOSE({1,2,3,4,5,6,7,8,9,10,11,12,13,14,15,16,17,18,19,20,21,22,23,24,25},E444,G444,I444,K444,M444,O444,Q444,S444,U444,W444,Y444,AA444,AC444,AE444,AG444,AI444,AK444,AM444,AO444,AQ444,AS444,AU444,AW444,AY444,BA444),0)))</x:f>
      </x:c>
      <x:c r="BF444" s="10" t="n">
        <x:f>IFERROR((AX444-BB444)/BB444,"")</x:f>
        <x:v>0.30055942236388483</x:v>
      </x:c>
      <x:c r="BG444" s="10" t="n">
        <x:f>IFERROR((AY444-BD444)/BD444,"")</x:f>
        <x:v>0.2987441778197041</x:v>
      </x:c>
    </x:row>
    <x:row r="445">
      <x:c r="A445" t="str">
        <x:v>Demo P</x:v>
      </x:c>
      <x:c r="B445" t="str">
        <x:v>Process Demo P</x:v>
      </x:c>
      <x:c r="C445" t="str">
        <x:v>Disenrolled PMRs identified and excluded from Demo P - used Disenrolled List PMR set | Rows Read: 5936; Rows Processed: 2118; Rows Excluded: 721</x:v>
      </x:c>
      <x:c r="D445" s="8"/>
      <x:c r="E445" s="8"/>
      <x:c r="F445" s="8"/>
      <x:c r="G445" s="8"/>
      <x:c r="H445" s="8"/>
      <x:c r="I445" s="8"/>
      <x:c r="J445" s="8"/>
      <x:c r="K445" s="8"/>
      <x:c r="L445" s="8"/>
      <x:c r="M445" s="8"/>
      <x:c r="N445" s="8"/>
      <x:c r="O445" s="8"/>
      <x:c r="P445" s="8"/>
      <x:c r="Q445" s="8"/>
      <x:c r="R445" s="8"/>
      <x:c r="S445" s="8"/>
      <x:c r="T445" s="8"/>
      <x:c r="U445" s="8"/>
      <x:c r="V445" s="8"/>
      <x:c r="W445" s="8"/>
      <x:c r="X445" s="8"/>
      <x:c r="Y445" s="8"/>
      <x:c r="Z445" s="8"/>
      <x:c r="AA445" s="8"/>
      <x:c r="AB445" s="8"/>
      <x:c r="AC445" s="8"/>
      <x:c r="AD445" s="8"/>
      <x:c r="AE445" s="8"/>
      <x:c r="AF445" s="8"/>
      <x:c r="AG445" s="8"/>
      <x:c r="AH445" s="8"/>
      <x:c r="AI445" s="8"/>
      <x:c r="AJ445" s="8"/>
      <x:c r="AK445" s="8"/>
      <x:c r="AL445" s="8"/>
      <x:c r="AM445" s="8"/>
      <x:c r="AN445" s="8"/>
      <x:c r="AO445" s="8"/>
      <x:c r="AP445" s="8"/>
      <x:c r="AQ445" s="8"/>
      <x:c r="AR445" s="8"/>
      <x:c r="AS445" s="8"/>
      <x:c r="AT445" s="8"/>
      <x:c r="AU445" s="8"/>
      <x:c r="AV445" s="8" t="n">
        <x:v>5.991</x:v>
      </x:c>
      <x:c r="AW445" s="8" t="n">
        <x:v>5.991</x:v>
      </x:c>
      <x:c r="AX445" s="8" t="n">
        <x:v>5.186</x:v>
      </x:c>
      <x:c r="AY445" s="8" t="n">
        <x:v>5.186</x:v>
      </x:c>
      <x:c r="AZ445" s="8" t="n">
        <x:v>5.186</x:v>
      </x:c>
      <x:c r="BA445" s="8" t="n">
        <x:v>5.186</x:v>
      </x:c>
      <x:c r="BB445" s="8" t="n">
        <x:f>LET(m,MIN(IF(D445&gt;0,D445,1E+99),IF(F445&gt;0,F445,1E+99),IF(H445&gt;0,H445,1E+99),IF(J445&gt;0,J445,1E+99),IF(L445&gt;0,L445,1E+99),IF(N445&gt;0,N445,1E+99),IF(P445&gt;0,P445,1E+99),IF(R445&gt;0,R445,1E+99),IF(T445&gt;0,T445,1E+99),IF(V445&gt;0,V445,1E+99),IF(X445&gt;0,X445,1E+99),IF(Z445&gt;0,Z445,1E+99),IF(AB445&gt;0,AB445,1E+99),IF(AD445&gt;0,AD445,1E+99),IF(AF445&gt;0,AF445,1E+99),IF(AH445&gt;0,AH445,1E+99),IF(AJ445&gt;0,AJ445,1E+99),IF(AL445&gt;0,AL445,1E+99),IF(AN445&gt;0,AN445,1E+99),IF(AP445&gt;0,AP445,1E+99),IF(AR445&gt;0,AR445,1E+99),IF(AT445&gt;0,AT445,1E+99),IF(AV445&gt;0,AV445,1E+99),IF(AX445&gt;0,AX445,1E+99),IF(AZ445&gt;0,AZ445,1E+99)),IF(m=1E+99,"",m))</x:f>
        <x:v>5.186</x:v>
      </x:c>
      <x:c r="BC445" s="12" t="e">
        <x:f>IF(BB445="","",INDEX({"v1.4.20","v1.4.20","v1.4.21","v1.4.21","v1.4.23","v1.4.23","v1.4.26","v1.4.26","v1.4.26.1","v1.4.26.1","v1.4.27","v1.4.27","v1.4.29","v1.4.29","v1.4.30","v1.4.30","v1.4.31","v1.4.31","v1.4.33","v1.4.33","v1.4.35","v1.4.35.2","v1.5","v1.5.1","v1.5.1"},MATCH(BB445,CHOOSE({1,2,3,4,5,6,7,8,9,10,11,12,13,14,15,16,17,18,19,20,21,22,23,24,25},D445,F445,H445,J445,L445,N445,P445,R445,T445,V445,X445,Z445,AB445,AD445,AF445,AH445,AJ445,AL445,AN445,AP445,AR445,AT445,AV445,AX445,AZ445),0)))</x:f>
      </x:c>
      <x:c r="BD445" s="14" t="n">
        <x:f>LET(m,MIN(IF(E445&gt;0,E445,1E+99),IF(G445&gt;0,G445,1E+99),IF(I445&gt;0,I445,1E+99),IF(K445&gt;0,K445,1E+99),IF(M445&gt;0,M445,1E+99),IF(O445&gt;0,O445,1E+99),IF(Q445&gt;0,Q445,1E+99),IF(S445&gt;0,S445,1E+99),IF(U445&gt;0,U445,1E+99),IF(W445&gt;0,W445,1E+99),IF(Y445&gt;0,Y445,1E+99),IF(AA445&gt;0,AA445,1E+99),IF(AC445&gt;0,AC445,1E+99),IF(AE445&gt;0,AE445,1E+99),IF(AG445&gt;0,AG445,1E+99),IF(AI445&gt;0,AI445,1E+99),IF(AK445&gt;0,AK445,1E+99),IF(AM445&gt;0,AM445,1E+99),IF(AO445&gt;0,AO445,1E+99),IF(AQ445&gt;0,AQ445,1E+99),IF(AS445&gt;0,AS445,1E+99),IF(AU445&gt;0,AU445,1E+99),IF(AW445&gt;0,AW445,1E+99),IF(AY445&gt;0,AY445,1E+99),IF(BA445&gt;0,BA445,1E+99)),IF(m=1E+99,"",m))</x:f>
        <x:v>5.186</x:v>
      </x:c>
      <x:c r="BE445" s="16" t="e">
        <x:f>IF(BD445="","",INDEX({"v1.4.20","v1.4.20","v1.4.21","v1.4.21","v1.4.23","v1.4.23","v1.4.26","v1.4.26","v1.4.26.1","v1.4.26.1","v1.4.27","v1.4.27","v1.4.29","v1.4.29","v1.4.30","v1.4.30","v1.4.31","v1.4.31","v1.4.33","v1.4.33","v1.4.35","v1.4.35.2","v1.5","v1.5.1","v1.5.1"},MATCH(BD445,CHOOSE({1,2,3,4,5,6,7,8,9,10,11,12,13,14,15,16,17,18,19,20,21,22,23,24,25},E445,G445,I445,K445,M445,O445,Q445,S445,U445,W445,Y445,AA445,AC445,AE445,AG445,AI445,AK445,AM445,AO445,AQ445,AS445,AU445,AW445,AY445,BA445),0)))</x:f>
      </x:c>
      <x:c r="BF445" s="10" t="n">
        <x:f>IFERROR((AX445-BB445)/BB445,"")</x:f>
        <x:v>0</x:v>
      </x:c>
      <x:c r="BG445" s="10" t="n">
        <x:f>IFERROR((AY445-BD445)/BD445,"")</x:f>
        <x:v>0</x:v>
      </x:c>
    </x:row>
    <x:row r="446">
      <x:c r="A446" t="str">
        <x:v>Demo P</x:v>
      </x:c>
      <x:c r="B446" t="str">
        <x:v>Process Demo P</x:v>
      </x:c>
      <x:c r="C446" t="str">
        <x:v>Demo P Working Source - populate Demo P update tracking columns | Rows Processed: 2118; Write Mode: in-memory only</x:v>
      </x:c>
      <x:c r="D446" s="8"/>
      <x:c r="E446" s="8"/>
      <x:c r="F446" s="8"/>
      <x:c r="G446" s="8"/>
      <x:c r="H446" s="8"/>
      <x:c r="I446" s="8"/>
      <x:c r="J446" s="8"/>
      <x:c r="K446" s="8"/>
      <x:c r="L446" s="8"/>
      <x:c r="M446" s="8"/>
      <x:c r="N446" s="8"/>
      <x:c r="O446" s="8"/>
      <x:c r="P446" s="8"/>
      <x:c r="Q446" s="8"/>
      <x:c r="R446" s="8"/>
      <x:c r="S446" s="8"/>
      <x:c r="T446" s="8"/>
      <x:c r="U446" s="8"/>
      <x:c r="V446" s="8"/>
      <x:c r="W446" s="8"/>
      <x:c r="X446" s="8"/>
      <x:c r="Y446" s="8"/>
      <x:c r="Z446" s="8"/>
      <x:c r="AA446" s="8"/>
      <x:c r="AB446" s="8"/>
      <x:c r="AC446" s="8"/>
      <x:c r="AD446" s="8"/>
      <x:c r="AE446" s="8"/>
      <x:c r="AF446" s="8"/>
      <x:c r="AG446" s="8"/>
      <x:c r="AH446" s="8"/>
      <x:c r="AI446" s="8"/>
      <x:c r="AJ446" s="8"/>
      <x:c r="AK446" s="8"/>
      <x:c r="AL446" s="8"/>
      <x:c r="AM446" s="8"/>
      <x:c r="AN446" s="8"/>
      <x:c r="AO446" s="8"/>
      <x:c r="AP446" s="8"/>
      <x:c r="AQ446" s="8"/>
      <x:c r="AR446" s="8"/>
      <x:c r="AS446" s="8"/>
      <x:c r="AT446" s="8"/>
      <x:c r="AU446" s="8"/>
      <x:c r="AV446" s="8" t="n">
        <x:v>104.328</x:v>
      </x:c>
      <x:c r="AW446" s="8" t="n">
        <x:v>110.319</x:v>
      </x:c>
      <x:c r="AX446" s="8" t="n">
        <x:v>75.568</x:v>
      </x:c>
      <x:c r="AY446" s="8" t="n">
        <x:v>80.754</x:v>
      </x:c>
      <x:c r="AZ446" s="8" t="n">
        <x:v>75.568</x:v>
      </x:c>
      <x:c r="BA446" s="8" t="n">
        <x:v>80.754</x:v>
      </x:c>
      <x:c r="BB446" s="8" t="n">
        <x:f>LET(m,MIN(IF(D446&gt;0,D446,1E+99),IF(F446&gt;0,F446,1E+99),IF(H446&gt;0,H446,1E+99),IF(J446&gt;0,J446,1E+99),IF(L446&gt;0,L446,1E+99),IF(N446&gt;0,N446,1E+99),IF(P446&gt;0,P446,1E+99),IF(R446&gt;0,R446,1E+99),IF(T446&gt;0,T446,1E+99),IF(V446&gt;0,V446,1E+99),IF(X446&gt;0,X446,1E+99),IF(Z446&gt;0,Z446,1E+99),IF(AB446&gt;0,AB446,1E+99),IF(AD446&gt;0,AD446,1E+99),IF(AF446&gt;0,AF446,1E+99),IF(AH446&gt;0,AH446,1E+99),IF(AJ446&gt;0,AJ446,1E+99),IF(AL446&gt;0,AL446,1E+99),IF(AN446&gt;0,AN446,1E+99),IF(AP446&gt;0,AP446,1E+99),IF(AR446&gt;0,AR446,1E+99),IF(AT446&gt;0,AT446,1E+99),IF(AV446&gt;0,AV446,1E+99),IF(AX446&gt;0,AX446,1E+99),IF(AZ446&gt;0,AZ446,1E+99)),IF(m=1E+99,"",m))</x:f>
        <x:v>75.568</x:v>
      </x:c>
      <x:c r="BC446" s="12" t="e">
        <x:f>IF(BB446="","",INDEX({"v1.4.20","v1.4.20","v1.4.21","v1.4.21","v1.4.23","v1.4.23","v1.4.26","v1.4.26","v1.4.26.1","v1.4.26.1","v1.4.27","v1.4.27","v1.4.29","v1.4.29","v1.4.30","v1.4.30","v1.4.31","v1.4.31","v1.4.33","v1.4.33","v1.4.35","v1.4.35.2","v1.5","v1.5.1","v1.5.1"},MATCH(BB446,CHOOSE({1,2,3,4,5,6,7,8,9,10,11,12,13,14,15,16,17,18,19,20,21,22,23,24,25},D446,F446,H446,J446,L446,N446,P446,R446,T446,V446,X446,Z446,AB446,AD446,AF446,AH446,AJ446,AL446,AN446,AP446,AR446,AT446,AV446,AX446,AZ446),0)))</x:f>
      </x:c>
      <x:c r="BD446" s="14" t="n">
        <x:f>LET(m,MIN(IF(E446&gt;0,E446,1E+99),IF(G446&gt;0,G446,1E+99),IF(I446&gt;0,I446,1E+99),IF(K446&gt;0,K446,1E+99),IF(M446&gt;0,M446,1E+99),IF(O446&gt;0,O446,1E+99),IF(Q446&gt;0,Q446,1E+99),IF(S446&gt;0,S446,1E+99),IF(U446&gt;0,U446,1E+99),IF(W446&gt;0,W446,1E+99),IF(Y446&gt;0,Y446,1E+99),IF(AA446&gt;0,AA446,1E+99),IF(AC446&gt;0,AC446,1E+99),IF(AE446&gt;0,AE446,1E+99),IF(AG446&gt;0,AG446,1E+99),IF(AI446&gt;0,AI446,1E+99),IF(AK446&gt;0,AK446,1E+99),IF(AM446&gt;0,AM446,1E+99),IF(AO446&gt;0,AO446,1E+99),IF(AQ446&gt;0,AQ446,1E+99),IF(AS446&gt;0,AS446,1E+99),IF(AU446&gt;0,AU446,1E+99),IF(AW446&gt;0,AW446,1E+99),IF(AY446&gt;0,AY446,1E+99),IF(BA446&gt;0,BA446,1E+99)),IF(m=1E+99,"",m))</x:f>
        <x:v>80.754</x:v>
      </x:c>
      <x:c r="BE446" s="16" t="e">
        <x:f>IF(BD446="","",INDEX({"v1.4.20","v1.4.20","v1.4.21","v1.4.21","v1.4.23","v1.4.23","v1.4.26","v1.4.26","v1.4.26.1","v1.4.26.1","v1.4.27","v1.4.27","v1.4.29","v1.4.29","v1.4.30","v1.4.30","v1.4.31","v1.4.31","v1.4.33","v1.4.33","v1.4.35","v1.4.35.2","v1.5","v1.5.1","v1.5.1"},MATCH(BD446,CHOOSE({1,2,3,4,5,6,7,8,9,10,11,12,13,14,15,16,17,18,19,20,21,22,23,24,25},E446,G446,I446,K446,M446,O446,Q446,S446,U446,W446,Y446,AA446,AC446,AE446,AG446,AI446,AK446,AM446,AO446,AQ446,AS446,AU446,AW446,AY446,BA446),0)))</x:f>
      </x:c>
      <x:c r="BF446" s="10" t="n">
        <x:f>IFERROR((AX446-BB446)/BB446,"")</x:f>
        <x:v>0</x:v>
      </x:c>
      <x:c r="BG446" s="10" t="n">
        <x:f>IFERROR((AY446-BD446)/BD446,"")</x:f>
        <x:v>0</x:v>
      </x:c>
    </x:row>
    <x:row r="447">
      <x:c r="A447" t="str">
        <x:v>Demo P</x:v>
      </x:c>
      <x:c r="B447" t="str">
        <x:v>Process Demo P</x:v>
      </x:c>
      <x:c r="C447" t="str">
        <x:v>Demo P Working Source - verify strict working-source headers</x:v>
      </x:c>
      <x:c r="D447" s="8"/>
      <x:c r="E447" s="8"/>
      <x:c r="F447" s="8"/>
      <x:c r="G447" s="8"/>
      <x:c r="H447" s="8"/>
      <x:c r="I447" s="8"/>
      <x:c r="J447" s="8"/>
      <x:c r="K447" s="8"/>
      <x:c r="L447" s="8" t="n">
        <x:v>3.912</x:v>
      </x:c>
      <x:c r="M447" s="8" t="n">
        <x:v>117.616</x:v>
      </x:c>
      <x:c r="N447" s="8" t="n">
        <x:v>3.912</x:v>
      </x:c>
      <x:c r="O447" s="8" t="n">
        <x:v>117.616</x:v>
      </x:c>
      <x:c r="P447" s="8"/>
      <x:c r="Q447" s="8"/>
      <x:c r="R447" s="8"/>
      <x:c r="S447" s="8"/>
      <x:c r="T447" s="8" t="n">
        <x:v>1.088</x:v>
      </x:c>
      <x:c r="U447" s="8" t="n">
        <x:v>102.036</x:v>
      </x:c>
      <x:c r="V447" s="8" t="n">
        <x:v>1.088</x:v>
      </x:c>
      <x:c r="W447" s="8" t="n">
        <x:v>102.036</x:v>
      </x:c>
      <x:c r="X447" s="8"/>
      <x:c r="Y447" s="8"/>
      <x:c r="Z447" s="8"/>
      <x:c r="AA447" s="8"/>
      <x:c r="AB447" s="8"/>
      <x:c r="AC447" s="8"/>
      <x:c r="AD447" s="8"/>
      <x:c r="AE447" s="8"/>
      <x:c r="AF447" s="8" t="n">
        <x:v>0.562</x:v>
      </x:c>
      <x:c r="AG447" s="8" t="n">
        <x:v>94.904</x:v>
      </x:c>
      <x:c r="AH447" s="8" t="n">
        <x:v>0.562</x:v>
      </x:c>
      <x:c r="AI447" s="8" t="n">
        <x:v>94.904</x:v>
      </x:c>
      <x:c r="AJ447" s="8" t="n">
        <x:v>0.51</x:v>
      </x:c>
      <x:c r="AK447" s="8" t="n">
        <x:v>122.793</x:v>
      </x:c>
      <x:c r="AL447" s="8" t="n">
        <x:v>0.51</x:v>
      </x:c>
      <x:c r="AM447" s="8" t="n">
        <x:v>122.793</x:v>
      </x:c>
      <x:c r="AN447" s="8" t="n">
        <x:v>0.606</x:v>
      </x:c>
      <x:c r="AO447" s="8" t="n">
        <x:v>125.749</x:v>
      </x:c>
      <x:c r="AP447" s="8" t="n">
        <x:v>0.606</x:v>
      </x:c>
      <x:c r="AQ447" s="8" t="n">
        <x:v>125.749</x:v>
      </x:c>
      <x:c r="AR447" s="8"/>
      <x:c r="AS447" s="8"/>
      <x:c r="AT447" s="8" t="n">
        <x:v>1.291</x:v>
      </x:c>
      <x:c r="AU447" s="8" t="n">
        <x:v>116.194</x:v>
      </x:c>
      <x:c r="AV447" s="8" t="n">
        <x:v>1.094</x:v>
      </x:c>
      <x:c r="AW447" s="8" t="n">
        <x:v>164.916</x:v>
      </x:c>
      <x:c r="AX447" s="8" t="n">
        <x:v>1.704</x:v>
      </x:c>
      <x:c r="AY447" s="8" t="n">
        <x:v>122.501</x:v>
      </x:c>
      <x:c r="AZ447" s="8" t="n">
        <x:v>1.704</x:v>
      </x:c>
      <x:c r="BA447" s="8" t="n">
        <x:v>122.501</x:v>
      </x:c>
      <x:c r="BB447" s="8" t="n">
        <x:f>LET(m,MIN(IF(D447&gt;0,D447,1E+99),IF(F447&gt;0,F447,1E+99),IF(H447&gt;0,H447,1E+99),IF(J447&gt;0,J447,1E+99),IF(L447&gt;0,L447,1E+99),IF(N447&gt;0,N447,1E+99),IF(P447&gt;0,P447,1E+99),IF(R447&gt;0,R447,1E+99),IF(T447&gt;0,T447,1E+99),IF(V447&gt;0,V447,1E+99),IF(X447&gt;0,X447,1E+99),IF(Z447&gt;0,Z447,1E+99),IF(AB447&gt;0,AB447,1E+99),IF(AD447&gt;0,AD447,1E+99),IF(AF447&gt;0,AF447,1E+99),IF(AH447&gt;0,AH447,1E+99),IF(AJ447&gt;0,AJ447,1E+99),IF(AL447&gt;0,AL447,1E+99),IF(AN447&gt;0,AN447,1E+99),IF(AP447&gt;0,AP447,1E+99),IF(AR447&gt;0,AR447,1E+99),IF(AT447&gt;0,AT447,1E+99),IF(AV447&gt;0,AV447,1E+99),IF(AX447&gt;0,AX447,1E+99),IF(AZ447&gt;0,AZ447,1E+99)),IF(m=1E+99,"",m))</x:f>
        <x:v>0.51</x:v>
      </x:c>
      <x:c r="BC447" s="12" t="e">
        <x:f>IF(BB447="","",INDEX({"v1.4.20","v1.4.20","v1.4.21","v1.4.21","v1.4.23","v1.4.23","v1.4.26","v1.4.26","v1.4.26.1","v1.4.26.1","v1.4.27","v1.4.27","v1.4.29","v1.4.29","v1.4.30","v1.4.30","v1.4.31","v1.4.31","v1.4.33","v1.4.33","v1.4.35","v1.4.35.2","v1.5","v1.5.1","v1.5.1"},MATCH(BB447,CHOOSE({1,2,3,4,5,6,7,8,9,10,11,12,13,14,15,16,17,18,19,20,21,22,23,24,25},D447,F447,H447,J447,L447,N447,P447,R447,T447,V447,X447,Z447,AB447,AD447,AF447,AH447,AJ447,AL447,AN447,AP447,AR447,AT447,AV447,AX447,AZ447),0)))</x:f>
      </x:c>
      <x:c r="BD447" s="14" t="n">
        <x:f>LET(m,MIN(IF(E447&gt;0,E447,1E+99),IF(G447&gt;0,G447,1E+99),IF(I447&gt;0,I447,1E+99),IF(K447&gt;0,K447,1E+99),IF(M447&gt;0,M447,1E+99),IF(O447&gt;0,O447,1E+99),IF(Q447&gt;0,Q447,1E+99),IF(S447&gt;0,S447,1E+99),IF(U447&gt;0,U447,1E+99),IF(W447&gt;0,W447,1E+99),IF(Y447&gt;0,Y447,1E+99),IF(AA447&gt;0,AA447,1E+99),IF(AC447&gt;0,AC447,1E+99),IF(AE447&gt;0,AE447,1E+99),IF(AG447&gt;0,AG447,1E+99),IF(AI447&gt;0,AI447,1E+99),IF(AK447&gt;0,AK447,1E+99),IF(AM447&gt;0,AM447,1E+99),IF(AO447&gt;0,AO447,1E+99),IF(AQ447&gt;0,AQ447,1E+99),IF(AS447&gt;0,AS447,1E+99),IF(AU447&gt;0,AU447,1E+99),IF(AW447&gt;0,AW447,1E+99),IF(AY447&gt;0,AY447,1E+99),IF(BA447&gt;0,BA447,1E+99)),IF(m=1E+99,"",m))</x:f>
        <x:v>94.904</x:v>
      </x:c>
      <x:c r="BE447" s="16" t="e">
        <x:f>IF(BD447="","",INDEX({"v1.4.20","v1.4.20","v1.4.21","v1.4.21","v1.4.23","v1.4.23","v1.4.26","v1.4.26","v1.4.26.1","v1.4.26.1","v1.4.27","v1.4.27","v1.4.29","v1.4.29","v1.4.30","v1.4.30","v1.4.31","v1.4.31","v1.4.33","v1.4.33","v1.4.35","v1.4.35.2","v1.5","v1.5.1","v1.5.1"},MATCH(BD447,CHOOSE({1,2,3,4,5,6,7,8,9,10,11,12,13,14,15,16,17,18,19,20,21,22,23,24,25},E447,G447,I447,K447,M447,O447,Q447,S447,U447,W447,Y447,AA447,AC447,AE447,AG447,AI447,AK447,AM447,AO447,AQ447,AS447,AU447,AW447,AY447,BA447),0)))</x:f>
      </x:c>
      <x:c r="BF447" s="10" t="n">
        <x:f>IFERROR((AX447-BB447)/BB447,"")</x:f>
        <x:v>2.341176470588235</x:v>
      </x:c>
      <x:c r="BG447" s="10" t="n">
        <x:f>IFERROR((AY447-BD447)/BD447,"")</x:f>
        <x:v>0.29078858636095434</x:v>
      </x:c>
    </x:row>
    <x:row r="448">
      <x:c r="A448" t="str">
        <x:v>Demo P</x:v>
      </x:c>
      <x:c r="B448" t="str">
        <x:v>Process Demo P</x:v>
      </x:c>
      <x:c r="C448" t="str">
        <x:v>Demo P Working Source - read Demo P data range</x:v>
      </x:c>
      <x:c r="D448" s="8"/>
      <x:c r="E448" s="8"/>
      <x:c r="F448" s="8"/>
      <x:c r="G448" s="8"/>
      <x:c r="H448" s="8"/>
      <x:c r="I448" s="8"/>
      <x:c r="J448" s="8"/>
      <x:c r="K448" s="8"/>
      <x:c r="L448" s="8" t="n">
        <x:v>2.053</x:v>
      </x:c>
      <x:c r="M448" s="8" t="n">
        <x:v>119.669</x:v>
      </x:c>
      <x:c r="N448" s="8" t="n">
        <x:v>2.053</x:v>
      </x:c>
      <x:c r="O448" s="8" t="n">
        <x:v>119.669</x:v>
      </x:c>
      <x:c r="P448" s="8"/>
      <x:c r="Q448" s="8"/>
      <x:c r="R448" s="8"/>
      <x:c r="S448" s="8"/>
      <x:c r="T448" s="8" t="n">
        <x:v>1.657</x:v>
      </x:c>
      <x:c r="U448" s="8" t="n">
        <x:v>103.693</x:v>
      </x:c>
      <x:c r="V448" s="8" t="n">
        <x:v>1.657</x:v>
      </x:c>
      <x:c r="W448" s="8" t="n">
        <x:v>103.693</x:v>
      </x:c>
      <x:c r="X448" s="8"/>
      <x:c r="Y448" s="8"/>
      <x:c r="Z448" s="8"/>
      <x:c r="AA448" s="8"/>
      <x:c r="AB448" s="8"/>
      <x:c r="AC448" s="8"/>
      <x:c r="AD448" s="8"/>
      <x:c r="AE448" s="8"/>
      <x:c r="AF448" s="8" t="n">
        <x:v>1.647</x:v>
      </x:c>
      <x:c r="AG448" s="8" t="n">
        <x:v>96.551</x:v>
      </x:c>
      <x:c r="AH448" s="8" t="n">
        <x:v>1.647</x:v>
      </x:c>
      <x:c r="AI448" s="8" t="n">
        <x:v>96.551</x:v>
      </x:c>
      <x:c r="AJ448" s="8" t="n">
        <x:v>3.033</x:v>
      </x:c>
      <x:c r="AK448" s="8" t="n">
        <x:v>125.826</x:v>
      </x:c>
      <x:c r="AL448" s="8" t="n">
        <x:v>3.033</x:v>
      </x:c>
      <x:c r="AM448" s="8" t="n">
        <x:v>125.826</x:v>
      </x:c>
      <x:c r="AN448" s="8" t="n">
        <x:v>2.149</x:v>
      </x:c>
      <x:c r="AO448" s="8" t="n">
        <x:v>127.898</x:v>
      </x:c>
      <x:c r="AP448" s="8" t="n">
        <x:v>2.149</x:v>
      </x:c>
      <x:c r="AQ448" s="8" t="n">
        <x:v>127.898</x:v>
      </x:c>
      <x:c r="AR448" s="8"/>
      <x:c r="AS448" s="8"/>
      <x:c r="AT448" s="8" t="n">
        <x:v>1.84</x:v>
      </x:c>
      <x:c r="AU448" s="8" t="n">
        <x:v>118.034</x:v>
      </x:c>
      <x:c r="AV448" s="8" t="n">
        <x:v>3.171</x:v>
      </x:c>
      <x:c r="AW448" s="8" t="n">
        <x:v>168.087</x:v>
      </x:c>
      <x:c r="AX448" s="8" t="n">
        <x:v>1.946</x:v>
      </x:c>
      <x:c r="AY448" s="8" t="n">
        <x:v>124.447</x:v>
      </x:c>
      <x:c r="AZ448" s="8" t="n">
        <x:v>1.946</x:v>
      </x:c>
      <x:c r="BA448" s="8" t="n">
        <x:v>124.447</x:v>
      </x:c>
      <x:c r="BB448" s="8" t="n">
        <x:f>LET(m,MIN(IF(D448&gt;0,D448,1E+99),IF(F448&gt;0,F448,1E+99),IF(H448&gt;0,H448,1E+99),IF(J448&gt;0,J448,1E+99),IF(L448&gt;0,L448,1E+99),IF(N448&gt;0,N448,1E+99),IF(P448&gt;0,P448,1E+99),IF(R448&gt;0,R448,1E+99),IF(T448&gt;0,T448,1E+99),IF(V448&gt;0,V448,1E+99),IF(X448&gt;0,X448,1E+99),IF(Z448&gt;0,Z448,1E+99),IF(AB448&gt;0,AB448,1E+99),IF(AD448&gt;0,AD448,1E+99),IF(AF448&gt;0,AF448,1E+99),IF(AH448&gt;0,AH448,1E+99),IF(AJ448&gt;0,AJ448,1E+99),IF(AL448&gt;0,AL448,1E+99),IF(AN448&gt;0,AN448,1E+99),IF(AP448&gt;0,AP448,1E+99),IF(AR448&gt;0,AR448,1E+99),IF(AT448&gt;0,AT448,1E+99),IF(AV448&gt;0,AV448,1E+99),IF(AX448&gt;0,AX448,1E+99),IF(AZ448&gt;0,AZ448,1E+99)),IF(m=1E+99,"",m))</x:f>
        <x:v>1.647</x:v>
      </x:c>
      <x:c r="BC448" s="12" t="e">
        <x:f>IF(BB448="","",INDEX({"v1.4.20","v1.4.20","v1.4.21","v1.4.21","v1.4.23","v1.4.23","v1.4.26","v1.4.26","v1.4.26.1","v1.4.26.1","v1.4.27","v1.4.27","v1.4.29","v1.4.29","v1.4.30","v1.4.30","v1.4.31","v1.4.31","v1.4.33","v1.4.33","v1.4.35","v1.4.35.2","v1.5","v1.5.1","v1.5.1"},MATCH(BB448,CHOOSE({1,2,3,4,5,6,7,8,9,10,11,12,13,14,15,16,17,18,19,20,21,22,23,24,25},D448,F448,H448,J448,L448,N448,P448,R448,T448,V448,X448,Z448,AB448,AD448,AF448,AH448,AJ448,AL448,AN448,AP448,AR448,AT448,AV448,AX448,AZ448),0)))</x:f>
      </x:c>
      <x:c r="BD448" s="14" t="n">
        <x:f>LET(m,MIN(IF(E448&gt;0,E448,1E+99),IF(G448&gt;0,G448,1E+99),IF(I448&gt;0,I448,1E+99),IF(K448&gt;0,K448,1E+99),IF(M448&gt;0,M448,1E+99),IF(O448&gt;0,O448,1E+99),IF(Q448&gt;0,Q448,1E+99),IF(S448&gt;0,S448,1E+99),IF(U448&gt;0,U448,1E+99),IF(W448&gt;0,W448,1E+99),IF(Y448&gt;0,Y448,1E+99),IF(AA448&gt;0,AA448,1E+99),IF(AC448&gt;0,AC448,1E+99),IF(AE448&gt;0,AE448,1E+99),IF(AG448&gt;0,AG448,1E+99),IF(AI448&gt;0,AI448,1E+99),IF(AK448&gt;0,AK448,1E+99),IF(AM448&gt;0,AM448,1E+99),IF(AO448&gt;0,AO448,1E+99),IF(AQ448&gt;0,AQ448,1E+99),IF(AS448&gt;0,AS448,1E+99),IF(AU448&gt;0,AU448,1E+99),IF(AW448&gt;0,AW448,1E+99),IF(AY448&gt;0,AY448,1E+99),IF(BA448&gt;0,BA448,1E+99)),IF(m=1E+99,"",m))</x:f>
        <x:v>96.551</x:v>
      </x:c>
      <x:c r="BE448" s="16" t="e">
        <x:f>IF(BD448="","",INDEX({"v1.4.20","v1.4.20","v1.4.21","v1.4.21","v1.4.23","v1.4.23","v1.4.26","v1.4.26","v1.4.26.1","v1.4.26.1","v1.4.27","v1.4.27","v1.4.29","v1.4.29","v1.4.30","v1.4.30","v1.4.31","v1.4.31","v1.4.33","v1.4.33","v1.4.35","v1.4.35.2","v1.5","v1.5.1","v1.5.1"},MATCH(BD448,CHOOSE({1,2,3,4,5,6,7,8,9,10,11,12,13,14,15,16,17,18,19,20,21,22,23,24,25},E448,G448,I448,K448,M448,O448,Q448,S448,U448,W448,Y448,AA448,AC448,AE448,AG448,AI448,AK448,AM448,AO448,AQ448,AS448,AU448,AW448,AY448,BA448),0)))</x:f>
      </x:c>
      <x:c r="BF448" s="10" t="n">
        <x:f>IFERROR((AX448-BB448)/BB448,"")</x:f>
        <x:v>0.18154219793564053</x:v>
      </x:c>
      <x:c r="BG448" s="10" t="n">
        <x:f>IFERROR((AY448-BD448)/BD448,"")</x:f>
        <x:v>0.2889250240805378</x:v>
      </x:c>
    </x:row>
    <x:row r="449">
      <x:c r="A449" t="str">
        <x:v>Demo P</x:v>
      </x:c>
      <x:c r="B449" t="str">
        <x:v>Process Demo P</x:v>
      </x:c>
      <x:c r="C449" t="str">
        <x:v>Demo P Working Source - build Banner Summary</x:v>
      </x:c>
      <x:c r="D449" s="8"/>
      <x:c r="E449" s="8"/>
      <x:c r="F449" s="8"/>
      <x:c r="G449" s="8"/>
      <x:c r="H449" s="8"/>
      <x:c r="I449" s="8"/>
      <x:c r="J449" s="8"/>
      <x:c r="K449" s="8"/>
      <x:c r="L449" s="8" t="n">
        <x:v>0.005</x:v>
      </x:c>
      <x:c r="M449" s="8" t="n">
        <x:v>119.674</x:v>
      </x:c>
      <x:c r="N449" s="8" t="n">
        <x:v>0.005</x:v>
      </x:c>
      <x:c r="O449" s="8" t="n">
        <x:v>119.674</x:v>
      </x:c>
      <x:c r="P449" s="8"/>
      <x:c r="Q449" s="8"/>
      <x:c r="R449" s="8"/>
      <x:c r="S449" s="8"/>
      <x:c r="T449" s="8" t="n">
        <x:v>0.003</x:v>
      </x:c>
      <x:c r="U449" s="8" t="n">
        <x:v>103.696</x:v>
      </x:c>
      <x:c r="V449" s="8" t="n">
        <x:v>0.003</x:v>
      </x:c>
      <x:c r="W449" s="8" t="n">
        <x:v>103.696</x:v>
      </x:c>
      <x:c r="X449" s="8"/>
      <x:c r="Y449" s="8"/>
      <x:c r="Z449" s="8"/>
      <x:c r="AA449" s="8"/>
      <x:c r="AB449" s="8"/>
      <x:c r="AC449" s="8"/>
      <x:c r="AD449" s="8"/>
      <x:c r="AE449" s="8"/>
      <x:c r="AF449" s="8" t="n">
        <x:v>0.004</x:v>
      </x:c>
      <x:c r="AG449" s="8" t="n">
        <x:v>96.555</x:v>
      </x:c>
      <x:c r="AH449" s="8" t="n">
        <x:v>0.004</x:v>
      </x:c>
      <x:c r="AI449" s="8" t="n">
        <x:v>96.555</x:v>
      </x:c>
      <x:c r="AJ449" s="8" t="n">
        <x:v>0.004</x:v>
      </x:c>
      <x:c r="AK449" s="8" t="n">
        <x:v>125.83</x:v>
      </x:c>
      <x:c r="AL449" s="8" t="n">
        <x:v>0.004</x:v>
      </x:c>
      <x:c r="AM449" s="8" t="n">
        <x:v>125.83</x:v>
      </x:c>
      <x:c r="AN449" s="8" t="n">
        <x:v>0.004</x:v>
      </x:c>
      <x:c r="AO449" s="8" t="n">
        <x:v>127.902</x:v>
      </x:c>
      <x:c r="AP449" s="8" t="n">
        <x:v>0.004</x:v>
      </x:c>
      <x:c r="AQ449" s="8" t="n">
        <x:v>127.902</x:v>
      </x:c>
      <x:c r="AR449" s="8"/>
      <x:c r="AS449" s="8"/>
      <x:c r="AT449" s="8" t="n">
        <x:v>0.003</x:v>
      </x:c>
      <x:c r="AU449" s="8" t="n">
        <x:v>118.037</x:v>
      </x:c>
      <x:c r="AV449" s="8" t="n">
        <x:v>0.007</x:v>
      </x:c>
      <x:c r="AW449" s="8" t="n">
        <x:v>168.094</x:v>
      </x:c>
      <x:c r="AX449" s="8" t="n">
        <x:v>0.003</x:v>
      </x:c>
      <x:c r="AY449" s="8" t="n">
        <x:v>124.45</x:v>
      </x:c>
      <x:c r="AZ449" s="8" t="n">
        <x:v>0.003</x:v>
      </x:c>
      <x:c r="BA449" s="8" t="n">
        <x:v>124.45</x:v>
      </x:c>
      <x:c r="BB449" s="8" t="n">
        <x:f>LET(m,MIN(IF(D449&gt;0,D449,1E+99),IF(F449&gt;0,F449,1E+99),IF(H449&gt;0,H449,1E+99),IF(J449&gt;0,J449,1E+99),IF(L449&gt;0,L449,1E+99),IF(N449&gt;0,N449,1E+99),IF(P449&gt;0,P449,1E+99),IF(R449&gt;0,R449,1E+99),IF(T449&gt;0,T449,1E+99),IF(V449&gt;0,V449,1E+99),IF(X449&gt;0,X449,1E+99),IF(Z449&gt;0,Z449,1E+99),IF(AB449&gt;0,AB449,1E+99),IF(AD449&gt;0,AD449,1E+99),IF(AF449&gt;0,AF449,1E+99),IF(AH449&gt;0,AH449,1E+99),IF(AJ449&gt;0,AJ449,1E+99),IF(AL449&gt;0,AL449,1E+99),IF(AN449&gt;0,AN449,1E+99),IF(AP449&gt;0,AP449,1E+99),IF(AR449&gt;0,AR449,1E+99),IF(AT449&gt;0,AT449,1E+99),IF(AV449&gt;0,AV449,1E+99),IF(AX449&gt;0,AX449,1E+99),IF(AZ449&gt;0,AZ449,1E+99)),IF(m=1E+99,"",m))</x:f>
        <x:v>0.003</x:v>
      </x:c>
      <x:c r="BC449" s="12" t="e">
        <x:f>IF(BB449="","",INDEX({"v1.4.20","v1.4.20","v1.4.21","v1.4.21","v1.4.23","v1.4.23","v1.4.26","v1.4.26","v1.4.26.1","v1.4.26.1","v1.4.27","v1.4.27","v1.4.29","v1.4.29","v1.4.30","v1.4.30","v1.4.31","v1.4.31","v1.4.33","v1.4.33","v1.4.35","v1.4.35.2","v1.5","v1.5.1","v1.5.1"},MATCH(BB449,CHOOSE({1,2,3,4,5,6,7,8,9,10,11,12,13,14,15,16,17,18,19,20,21,22,23,24,25},D449,F449,H449,J449,L449,N449,P449,R449,T449,V449,X449,Z449,AB449,AD449,AF449,AH449,AJ449,AL449,AN449,AP449,AR449,AT449,AV449,AX449,AZ449),0)))</x:f>
      </x:c>
      <x:c r="BD449" s="14" t="n">
        <x:f>LET(m,MIN(IF(E449&gt;0,E449,1E+99),IF(G449&gt;0,G449,1E+99),IF(I449&gt;0,I449,1E+99),IF(K449&gt;0,K449,1E+99),IF(M449&gt;0,M449,1E+99),IF(O449&gt;0,O449,1E+99),IF(Q449&gt;0,Q449,1E+99),IF(S449&gt;0,S449,1E+99),IF(U449&gt;0,U449,1E+99),IF(W449&gt;0,W449,1E+99),IF(Y449&gt;0,Y449,1E+99),IF(AA449&gt;0,AA449,1E+99),IF(AC449&gt;0,AC449,1E+99),IF(AE449&gt;0,AE449,1E+99),IF(AG449&gt;0,AG449,1E+99),IF(AI449&gt;0,AI449,1E+99),IF(AK449&gt;0,AK449,1E+99),IF(AM449&gt;0,AM449,1E+99),IF(AO449&gt;0,AO449,1E+99),IF(AQ449&gt;0,AQ449,1E+99),IF(AS449&gt;0,AS449,1E+99),IF(AU449&gt;0,AU449,1E+99),IF(AW449&gt;0,AW449,1E+99),IF(AY449&gt;0,AY449,1E+99),IF(BA449&gt;0,BA449,1E+99)),IF(m=1E+99,"",m))</x:f>
        <x:v>96.555</x:v>
      </x:c>
      <x:c r="BE449" s="16" t="e">
        <x:f>IF(BD449="","",INDEX({"v1.4.20","v1.4.20","v1.4.21","v1.4.21","v1.4.23","v1.4.23","v1.4.26","v1.4.26","v1.4.26.1","v1.4.26.1","v1.4.27","v1.4.27","v1.4.29","v1.4.29","v1.4.30","v1.4.30","v1.4.31","v1.4.31","v1.4.33","v1.4.33","v1.4.35","v1.4.35.2","v1.5","v1.5.1","v1.5.1"},MATCH(BD449,CHOOSE({1,2,3,4,5,6,7,8,9,10,11,12,13,14,15,16,17,18,19,20,21,22,23,24,25},E449,G449,I449,K449,M449,O449,Q449,S449,U449,W449,Y449,AA449,AC449,AE449,AG449,AI449,AK449,AM449,AO449,AQ449,AS449,AU449,AW449,AY449,BA449),0)))</x:f>
      </x:c>
      <x:c r="BF449" s="10" t="n">
        <x:f>IFERROR((AX449-BB449)/BB449,"")</x:f>
        <x:v>0</x:v>
      </x:c>
      <x:c r="BG449" s="10" t="n">
        <x:f>IFERROR((AY449-BD449)/BD449,"")</x:f>
        <x:v>0.28890269794417683</x:v>
      </x:c>
    </x:row>
    <x:row r="450">
      <x:c r="A450" t="str">
        <x:v>Demo P</x:v>
      </x:c>
      <x:c r="B450" t="str">
        <x:v>Process Demo P</x:v>
      </x:c>
      <x:c r="C450" t="str">
        <x:v>Demo P Working Source - combine address fields</x:v>
      </x:c>
      <x:c r="D450" s="8"/>
      <x:c r="E450" s="8"/>
      <x:c r="F450" s="8"/>
      <x:c r="G450" s="8"/>
      <x:c r="H450" s="8"/>
      <x:c r="I450" s="8"/>
      <x:c r="J450" s="8"/>
      <x:c r="K450" s="8"/>
      <x:c r="L450" s="8" t="n">
        <x:v>0.002</x:v>
      </x:c>
      <x:c r="M450" s="8" t="n">
        <x:v>119.676</x:v>
      </x:c>
      <x:c r="N450" s="8" t="n">
        <x:v>0.002</x:v>
      </x:c>
      <x:c r="O450" s="8" t="n">
        <x:v>119.676</x:v>
      </x:c>
      <x:c r="P450" s="8"/>
      <x:c r="Q450" s="8"/>
      <x:c r="R450" s="8"/>
      <x:c r="S450" s="8"/>
      <x:c r="T450" s="8" t="n">
        <x:v>0.002</x:v>
      </x:c>
      <x:c r="U450" s="8" t="n">
        <x:v>103.698</x:v>
      </x:c>
      <x:c r="V450" s="8" t="n">
        <x:v>0.002</x:v>
      </x:c>
      <x:c r="W450" s="8" t="n">
        <x:v>103.698</x:v>
      </x:c>
      <x:c r="X450" s="8"/>
      <x:c r="Y450" s="8"/>
      <x:c r="Z450" s="8"/>
      <x:c r="AA450" s="8"/>
      <x:c r="AB450" s="8"/>
      <x:c r="AC450" s="8"/>
      <x:c r="AD450" s="8"/>
      <x:c r="AE450" s="8"/>
      <x:c r="AF450" s="8" t="n">
        <x:v>0.004</x:v>
      </x:c>
      <x:c r="AG450" s="8" t="n">
        <x:v>96.559</x:v>
      </x:c>
      <x:c r="AH450" s="8" t="n">
        <x:v>0.004</x:v>
      </x:c>
      <x:c r="AI450" s="8" t="n">
        <x:v>96.559</x:v>
      </x:c>
      <x:c r="AJ450" s="8" t="n">
        <x:v>0.003</x:v>
      </x:c>
      <x:c r="AK450" s="8" t="n">
        <x:v>125.833</x:v>
      </x:c>
      <x:c r="AL450" s="8" t="n">
        <x:v>0.003</x:v>
      </x:c>
      <x:c r="AM450" s="8" t="n">
        <x:v>125.833</x:v>
      </x:c>
      <x:c r="AN450" s="8" t="n">
        <x:v>0.003</x:v>
      </x:c>
      <x:c r="AO450" s="8" t="n">
        <x:v>127.905</x:v>
      </x:c>
      <x:c r="AP450" s="8" t="n">
        <x:v>0.003</x:v>
      </x:c>
      <x:c r="AQ450" s="8" t="n">
        <x:v>127.905</x:v>
      </x:c>
      <x:c r="AR450" s="8"/>
      <x:c r="AS450" s="8"/>
      <x:c r="AT450" s="8" t="n">
        <x:v>0.003</x:v>
      </x:c>
      <x:c r="AU450" s="8" t="n">
        <x:v>118.04</x:v>
      </x:c>
      <x:c r="AV450" s="8" t="n">
        <x:v>0.003</x:v>
      </x:c>
      <x:c r="AW450" s="8" t="n">
        <x:v>168.097</x:v>
      </x:c>
      <x:c r="AX450" s="8" t="n">
        <x:v>0.003</x:v>
      </x:c>
      <x:c r="AY450" s="8" t="n">
        <x:v>124.453</x:v>
      </x:c>
      <x:c r="AZ450" s="8" t="n">
        <x:v>0.003</x:v>
      </x:c>
      <x:c r="BA450" s="8" t="n">
        <x:v>124.453</x:v>
      </x:c>
      <x:c r="BB450" s="8" t="n">
        <x:f>LET(m,MIN(IF(D450&gt;0,D450,1E+99),IF(F450&gt;0,F450,1E+99),IF(H450&gt;0,H450,1E+99),IF(J450&gt;0,J450,1E+99),IF(L450&gt;0,L450,1E+99),IF(N450&gt;0,N450,1E+99),IF(P450&gt;0,P450,1E+99),IF(R450&gt;0,R450,1E+99),IF(T450&gt;0,T450,1E+99),IF(V450&gt;0,V450,1E+99),IF(X450&gt;0,X450,1E+99),IF(Z450&gt;0,Z450,1E+99),IF(AB450&gt;0,AB450,1E+99),IF(AD450&gt;0,AD450,1E+99),IF(AF450&gt;0,AF450,1E+99),IF(AH450&gt;0,AH450,1E+99),IF(AJ450&gt;0,AJ450,1E+99),IF(AL450&gt;0,AL450,1E+99),IF(AN450&gt;0,AN450,1E+99),IF(AP450&gt;0,AP450,1E+99),IF(AR450&gt;0,AR450,1E+99),IF(AT450&gt;0,AT450,1E+99),IF(AV450&gt;0,AV450,1E+99),IF(AX450&gt;0,AX450,1E+99),IF(AZ450&gt;0,AZ450,1E+99)),IF(m=1E+99,"",m))</x:f>
        <x:v>0.002</x:v>
      </x:c>
      <x:c r="BC450" s="12" t="e">
        <x:f>IF(BB450="","",INDEX({"v1.4.20","v1.4.20","v1.4.21","v1.4.21","v1.4.23","v1.4.23","v1.4.26","v1.4.26","v1.4.26.1","v1.4.26.1","v1.4.27","v1.4.27","v1.4.29","v1.4.29","v1.4.30","v1.4.30","v1.4.31","v1.4.31","v1.4.33","v1.4.33","v1.4.35","v1.4.35.2","v1.5","v1.5.1","v1.5.1"},MATCH(BB450,CHOOSE({1,2,3,4,5,6,7,8,9,10,11,12,13,14,15,16,17,18,19,20,21,22,23,24,25},D450,F450,H450,J450,L450,N450,P450,R450,T450,V450,X450,Z450,AB450,AD450,AF450,AH450,AJ450,AL450,AN450,AP450,AR450,AT450,AV450,AX450,AZ450),0)))</x:f>
      </x:c>
      <x:c r="BD450" s="14" t="n">
        <x:f>LET(m,MIN(IF(E450&gt;0,E450,1E+99),IF(G450&gt;0,G450,1E+99),IF(I450&gt;0,I450,1E+99),IF(K450&gt;0,K450,1E+99),IF(M450&gt;0,M450,1E+99),IF(O450&gt;0,O450,1E+99),IF(Q450&gt;0,Q450,1E+99),IF(S450&gt;0,S450,1E+99),IF(U450&gt;0,U450,1E+99),IF(W450&gt;0,W450,1E+99),IF(Y450&gt;0,Y450,1E+99),IF(AA450&gt;0,AA450,1E+99),IF(AC450&gt;0,AC450,1E+99),IF(AE450&gt;0,AE450,1E+99),IF(AG450&gt;0,AG450,1E+99),IF(AI450&gt;0,AI450,1E+99),IF(AK450&gt;0,AK450,1E+99),IF(AM450&gt;0,AM450,1E+99),IF(AO450&gt;0,AO450,1E+99),IF(AQ450&gt;0,AQ450,1E+99),IF(AS450&gt;0,AS450,1E+99),IF(AU450&gt;0,AU450,1E+99),IF(AW450&gt;0,AW450,1E+99),IF(AY450&gt;0,AY450,1E+99),IF(BA450&gt;0,BA450,1E+99)),IF(m=1E+99,"",m))</x:f>
        <x:v>96.559</x:v>
      </x:c>
      <x:c r="BE450" s="16" t="e">
        <x:f>IF(BD450="","",INDEX({"v1.4.20","v1.4.20","v1.4.21","v1.4.21","v1.4.23","v1.4.23","v1.4.26","v1.4.26","v1.4.26.1","v1.4.26.1","v1.4.27","v1.4.27","v1.4.29","v1.4.29","v1.4.30","v1.4.30","v1.4.31","v1.4.31","v1.4.33","v1.4.33","v1.4.35","v1.4.35.2","v1.5","v1.5.1","v1.5.1"},MATCH(BD450,CHOOSE({1,2,3,4,5,6,7,8,9,10,11,12,13,14,15,16,17,18,19,20,21,22,23,24,25},E450,G450,I450,K450,M450,O450,Q450,S450,U450,W450,Y450,AA450,AC450,AE450,AG450,AI450,AK450,AM450,AO450,AQ450,AS450,AU450,AW450,AY450,BA450),0)))</x:f>
      </x:c>
      <x:c r="BF450" s="10" t="n">
        <x:f>IFERROR((AX450-BB450)/BB450,"")</x:f>
        <x:v>0.5</x:v>
      </x:c>
      <x:c r="BG450" s="10" t="n">
        <x:f>IFERROR((AY450-BD450)/BD450,"")</x:f>
        <x:v>0.2888803736575566</x:v>
      </x:c>
    </x:row>
    <x:row r="451">
      <x:c r="A451" t="str">
        <x:v>Demo P</x:v>
      </x:c>
      <x:c r="B451" t="str">
        <x:v>Process Demo P</x:v>
      </x:c>
      <x:c r="C451" t="str">
        <x:v>Demo P Working Source - process language fields</x:v>
      </x:c>
      <x:c r="D451" s="8"/>
      <x:c r="E451" s="8"/>
      <x:c r="F451" s="8"/>
      <x:c r="G451" s="8"/>
      <x:c r="H451" s="8"/>
      <x:c r="I451" s="8"/>
      <x:c r="J451" s="8"/>
      <x:c r="K451" s="8"/>
      <x:c r="L451" s="8" t="n">
        <x:v>0.003</x:v>
      </x:c>
      <x:c r="M451" s="8" t="n">
        <x:v>119.679</x:v>
      </x:c>
      <x:c r="N451" s="8" t="n">
        <x:v>0.003</x:v>
      </x:c>
      <x:c r="O451" s="8" t="n">
        <x:v>119.679</x:v>
      </x:c>
      <x:c r="P451" s="8"/>
      <x:c r="Q451" s="8"/>
      <x:c r="R451" s="8"/>
      <x:c r="S451" s="8"/>
      <x:c r="T451" s="8" t="n">
        <x:v>0.002</x:v>
      </x:c>
      <x:c r="U451" s="8" t="n">
        <x:v>103.7</x:v>
      </x:c>
      <x:c r="V451" s="8" t="n">
        <x:v>0.002</x:v>
      </x:c>
      <x:c r="W451" s="8" t="n">
        <x:v>103.7</x:v>
      </x:c>
      <x:c r="X451" s="8"/>
      <x:c r="Y451" s="8"/>
      <x:c r="Z451" s="8"/>
      <x:c r="AA451" s="8"/>
      <x:c r="AB451" s="8"/>
      <x:c r="AC451" s="8"/>
      <x:c r="AD451" s="8"/>
      <x:c r="AE451" s="8"/>
      <x:c r="AF451" s="8" t="n">
        <x:v>0.005</x:v>
      </x:c>
      <x:c r="AG451" s="8" t="n">
        <x:v>96.564</x:v>
      </x:c>
      <x:c r="AH451" s="8" t="n">
        <x:v>0.005</x:v>
      </x:c>
      <x:c r="AI451" s="8" t="n">
        <x:v>96.564</x:v>
      </x:c>
      <x:c r="AJ451" s="8" t="n">
        <x:v>0.004</x:v>
      </x:c>
      <x:c r="AK451" s="8" t="n">
        <x:v>125.837</x:v>
      </x:c>
      <x:c r="AL451" s="8" t="n">
        <x:v>0.004</x:v>
      </x:c>
      <x:c r="AM451" s="8" t="n">
        <x:v>125.837</x:v>
      </x:c>
      <x:c r="AN451" s="8" t="n">
        <x:v>0.003</x:v>
      </x:c>
      <x:c r="AO451" s="8" t="n">
        <x:v>127.908</x:v>
      </x:c>
      <x:c r="AP451" s="8" t="n">
        <x:v>0.003</x:v>
      </x:c>
      <x:c r="AQ451" s="8" t="n">
        <x:v>127.908</x:v>
      </x:c>
      <x:c r="AR451" s="8"/>
      <x:c r="AS451" s="8"/>
      <x:c r="AT451" s="8" t="n">
        <x:v>0.003</x:v>
      </x:c>
      <x:c r="AU451" s="8" t="n">
        <x:v>118.043</x:v>
      </x:c>
      <x:c r="AV451" s="8" t="n">
        <x:v>0.002</x:v>
      </x:c>
      <x:c r="AW451" s="8" t="n">
        <x:v>168.099</x:v>
      </x:c>
      <x:c r="AX451" s="8" t="n">
        <x:v>0.002</x:v>
      </x:c>
      <x:c r="AY451" s="8" t="n">
        <x:v>124.455</x:v>
      </x:c>
      <x:c r="AZ451" s="8" t="n">
        <x:v>0.002</x:v>
      </x:c>
      <x:c r="BA451" s="8" t="n">
        <x:v>124.455</x:v>
      </x:c>
      <x:c r="BB451" s="8" t="n">
        <x:f>LET(m,MIN(IF(D451&gt;0,D451,1E+99),IF(F451&gt;0,F451,1E+99),IF(H451&gt;0,H451,1E+99),IF(J451&gt;0,J451,1E+99),IF(L451&gt;0,L451,1E+99),IF(N451&gt;0,N451,1E+99),IF(P451&gt;0,P451,1E+99),IF(R451&gt;0,R451,1E+99),IF(T451&gt;0,T451,1E+99),IF(V451&gt;0,V451,1E+99),IF(X451&gt;0,X451,1E+99),IF(Z451&gt;0,Z451,1E+99),IF(AB451&gt;0,AB451,1E+99),IF(AD451&gt;0,AD451,1E+99),IF(AF451&gt;0,AF451,1E+99),IF(AH451&gt;0,AH451,1E+99),IF(AJ451&gt;0,AJ451,1E+99),IF(AL451&gt;0,AL451,1E+99),IF(AN451&gt;0,AN451,1E+99),IF(AP451&gt;0,AP451,1E+99),IF(AR451&gt;0,AR451,1E+99),IF(AT451&gt;0,AT451,1E+99),IF(AV451&gt;0,AV451,1E+99),IF(AX451&gt;0,AX451,1E+99),IF(AZ451&gt;0,AZ451,1E+99)),IF(m=1E+99,"",m))</x:f>
        <x:v>0.002</x:v>
      </x:c>
      <x:c r="BC451" s="12" t="e">
        <x:f>IF(BB451="","",INDEX({"v1.4.20","v1.4.20","v1.4.21","v1.4.21","v1.4.23","v1.4.23","v1.4.26","v1.4.26","v1.4.26.1","v1.4.26.1","v1.4.27","v1.4.27","v1.4.29","v1.4.29","v1.4.30","v1.4.30","v1.4.31","v1.4.31","v1.4.33","v1.4.33","v1.4.35","v1.4.35.2","v1.5","v1.5.1","v1.5.1"},MATCH(BB451,CHOOSE({1,2,3,4,5,6,7,8,9,10,11,12,13,14,15,16,17,18,19,20,21,22,23,24,25},D451,F451,H451,J451,L451,N451,P451,R451,T451,V451,X451,Z451,AB451,AD451,AF451,AH451,AJ451,AL451,AN451,AP451,AR451,AT451,AV451,AX451,AZ451),0)))</x:f>
      </x:c>
      <x:c r="BD451" s="14" t="n">
        <x:f>LET(m,MIN(IF(E451&gt;0,E451,1E+99),IF(G451&gt;0,G451,1E+99),IF(I451&gt;0,I451,1E+99),IF(K451&gt;0,K451,1E+99),IF(M451&gt;0,M451,1E+99),IF(O451&gt;0,O451,1E+99),IF(Q451&gt;0,Q451,1E+99),IF(S451&gt;0,S451,1E+99),IF(U451&gt;0,U451,1E+99),IF(W451&gt;0,W451,1E+99),IF(Y451&gt;0,Y451,1E+99),IF(AA451&gt;0,AA451,1E+99),IF(AC451&gt;0,AC451,1E+99),IF(AE451&gt;0,AE451,1E+99),IF(AG451&gt;0,AG451,1E+99),IF(AI451&gt;0,AI451,1E+99),IF(AK451&gt;0,AK451,1E+99),IF(AM451&gt;0,AM451,1E+99),IF(AO451&gt;0,AO451,1E+99),IF(AQ451&gt;0,AQ451,1E+99),IF(AS451&gt;0,AS451,1E+99),IF(AU451&gt;0,AU451,1E+99),IF(AW451&gt;0,AW451,1E+99),IF(AY451&gt;0,AY451,1E+99),IF(BA451&gt;0,BA451,1E+99)),IF(m=1E+99,"",m))</x:f>
        <x:v>96.564</x:v>
      </x:c>
      <x:c r="BE451" s="16" t="e">
        <x:f>IF(BD451="","",INDEX({"v1.4.20","v1.4.20","v1.4.21","v1.4.21","v1.4.23","v1.4.23","v1.4.26","v1.4.26","v1.4.26.1","v1.4.26.1","v1.4.27","v1.4.27","v1.4.29","v1.4.29","v1.4.30","v1.4.30","v1.4.31","v1.4.31","v1.4.33","v1.4.33","v1.4.35","v1.4.35.2","v1.5","v1.5.1","v1.5.1"},MATCH(BD451,CHOOSE({1,2,3,4,5,6,7,8,9,10,11,12,13,14,15,16,17,18,19,20,21,22,23,24,25},E451,G451,I451,K451,M451,O451,Q451,S451,U451,W451,Y451,AA451,AC451,AE451,AG451,AI451,AK451,AM451,AO451,AQ451,AS451,AU451,AW451,AY451,BA451),0)))</x:f>
      </x:c>
      <x:c r="BF451" s="10" t="n">
        <x:f>IFERROR((AX451-BB451)/BB451,"")</x:f>
        <x:v>0</x:v>
      </x:c>
      <x:c r="BG451" s="10" t="n">
        <x:f>IFERROR((AY451-BD451)/BD451,"")</x:f>
        <x:v>0.2888343482042998</x:v>
      </x:c>
    </x:row>
    <x:row r="452">
      <x:c r="A452" t="str">
        <x:v>Demo P</x:v>
      </x:c>
      <x:c r="B452" t="str">
        <x:v>Process Demo P</x:v>
      </x:c>
      <x:c r="C452" t="str">
        <x:v>Demo P Working Source - split phone fields</x:v>
      </x:c>
      <x:c r="D452" s="8"/>
      <x:c r="E452" s="8"/>
      <x:c r="F452" s="8"/>
      <x:c r="G452" s="8"/>
      <x:c r="H452" s="8"/>
      <x:c r="I452" s="8"/>
      <x:c r="J452" s="8"/>
      <x:c r="K452" s="8"/>
      <x:c r="L452" s="8" t="n">
        <x:v>0.005</x:v>
      </x:c>
      <x:c r="M452" s="8" t="n">
        <x:v>119.684</x:v>
      </x:c>
      <x:c r="N452" s="8" t="n">
        <x:v>0.005</x:v>
      </x:c>
      <x:c r="O452" s="8" t="n">
        <x:v>119.684</x:v>
      </x:c>
      <x:c r="P452" s="8"/>
      <x:c r="Q452" s="8"/>
      <x:c r="R452" s="8"/>
      <x:c r="S452" s="8"/>
      <x:c r="T452" s="8" t="n">
        <x:v>0.003</x:v>
      </x:c>
      <x:c r="U452" s="8" t="n">
        <x:v>103.703</x:v>
      </x:c>
      <x:c r="V452" s="8" t="n">
        <x:v>0.003</x:v>
      </x:c>
      <x:c r="W452" s="8" t="n">
        <x:v>103.703</x:v>
      </x:c>
      <x:c r="X452" s="8"/>
      <x:c r="Y452" s="8"/>
      <x:c r="Z452" s="8"/>
      <x:c r="AA452" s="8"/>
      <x:c r="AB452" s="8"/>
      <x:c r="AC452" s="8"/>
      <x:c r="AD452" s="8"/>
      <x:c r="AE452" s="8"/>
      <x:c r="AF452" s="8" t="n">
        <x:v>0.003</x:v>
      </x:c>
      <x:c r="AG452" s="8" t="n">
        <x:v>96.567</x:v>
      </x:c>
      <x:c r="AH452" s="8" t="n">
        <x:v>0.003</x:v>
      </x:c>
      <x:c r="AI452" s="8" t="n">
        <x:v>96.567</x:v>
      </x:c>
      <x:c r="AJ452" s="8" t="n">
        <x:v>0.003</x:v>
      </x:c>
      <x:c r="AK452" s="8" t="n">
        <x:v>125.84</x:v>
      </x:c>
      <x:c r="AL452" s="8" t="n">
        <x:v>0.003</x:v>
      </x:c>
      <x:c r="AM452" s="8" t="n">
        <x:v>125.84</x:v>
      </x:c>
      <x:c r="AN452" s="8" t="n">
        <x:v>0.002</x:v>
      </x:c>
      <x:c r="AO452" s="8" t="n">
        <x:v>127.91</x:v>
      </x:c>
      <x:c r="AP452" s="8" t="n">
        <x:v>0.002</x:v>
      </x:c>
      <x:c r="AQ452" s="8" t="n">
        <x:v>127.91</x:v>
      </x:c>
      <x:c r="AR452" s="8"/>
      <x:c r="AS452" s="8"/>
      <x:c r="AT452" s="8" t="n">
        <x:v>0.003</x:v>
      </x:c>
      <x:c r="AU452" s="8" t="n">
        <x:v>118.046</x:v>
      </x:c>
      <x:c r="AV452" s="8" t="n">
        <x:v>0.002</x:v>
      </x:c>
      <x:c r="AW452" s="8" t="n">
        <x:v>168.101</x:v>
      </x:c>
      <x:c r="AX452" s="8" t="n">
        <x:v>0.001</x:v>
      </x:c>
      <x:c r="AY452" s="8" t="n">
        <x:v>124.456</x:v>
      </x:c>
      <x:c r="AZ452" s="8" t="n">
        <x:v>0.001</x:v>
      </x:c>
      <x:c r="BA452" s="8" t="n">
        <x:v>124.456</x:v>
      </x:c>
      <x:c r="BB452" s="8" t="n">
        <x:f>LET(m,MIN(IF(D452&gt;0,D452,1E+99),IF(F452&gt;0,F452,1E+99),IF(H452&gt;0,H452,1E+99),IF(J452&gt;0,J452,1E+99),IF(L452&gt;0,L452,1E+99),IF(N452&gt;0,N452,1E+99),IF(P452&gt;0,P452,1E+99),IF(R452&gt;0,R452,1E+99),IF(T452&gt;0,T452,1E+99),IF(V452&gt;0,V452,1E+99),IF(X452&gt;0,X452,1E+99),IF(Z452&gt;0,Z452,1E+99),IF(AB452&gt;0,AB452,1E+99),IF(AD452&gt;0,AD452,1E+99),IF(AF452&gt;0,AF452,1E+99),IF(AH452&gt;0,AH452,1E+99),IF(AJ452&gt;0,AJ452,1E+99),IF(AL452&gt;0,AL452,1E+99),IF(AN452&gt;0,AN452,1E+99),IF(AP452&gt;0,AP452,1E+99),IF(AR452&gt;0,AR452,1E+99),IF(AT452&gt;0,AT452,1E+99),IF(AV452&gt;0,AV452,1E+99),IF(AX452&gt;0,AX452,1E+99),IF(AZ452&gt;0,AZ452,1E+99)),IF(m=1E+99,"",m))</x:f>
        <x:v>0.001</x:v>
      </x:c>
      <x:c r="BC452" s="12" t="e">
        <x:f>IF(BB452="","",INDEX({"v1.4.20","v1.4.20","v1.4.21","v1.4.21","v1.4.23","v1.4.23","v1.4.26","v1.4.26","v1.4.26.1","v1.4.26.1","v1.4.27","v1.4.27","v1.4.29","v1.4.29","v1.4.30","v1.4.30","v1.4.31","v1.4.31","v1.4.33","v1.4.33","v1.4.35","v1.4.35.2","v1.5","v1.5.1","v1.5.1"},MATCH(BB452,CHOOSE({1,2,3,4,5,6,7,8,9,10,11,12,13,14,15,16,17,18,19,20,21,22,23,24,25},D452,F452,H452,J452,L452,N452,P452,R452,T452,V452,X452,Z452,AB452,AD452,AF452,AH452,AJ452,AL452,AN452,AP452,AR452,AT452,AV452,AX452,AZ452),0)))</x:f>
      </x:c>
      <x:c r="BD452" s="14" t="n">
        <x:f>LET(m,MIN(IF(E452&gt;0,E452,1E+99),IF(G452&gt;0,G452,1E+99),IF(I452&gt;0,I452,1E+99),IF(K452&gt;0,K452,1E+99),IF(M452&gt;0,M452,1E+99),IF(O452&gt;0,O452,1E+99),IF(Q452&gt;0,Q452,1E+99),IF(S452&gt;0,S452,1E+99),IF(U452&gt;0,U452,1E+99),IF(W452&gt;0,W452,1E+99),IF(Y452&gt;0,Y452,1E+99),IF(AA452&gt;0,AA452,1E+99),IF(AC452&gt;0,AC452,1E+99),IF(AE452&gt;0,AE452,1E+99),IF(AG452&gt;0,AG452,1E+99),IF(AI452&gt;0,AI452,1E+99),IF(AK452&gt;0,AK452,1E+99),IF(AM452&gt;0,AM452,1E+99),IF(AO452&gt;0,AO452,1E+99),IF(AQ452&gt;0,AQ452,1E+99),IF(AS452&gt;0,AS452,1E+99),IF(AU452&gt;0,AU452,1E+99),IF(AW452&gt;0,AW452,1E+99),IF(AY452&gt;0,AY452,1E+99),IF(BA452&gt;0,BA452,1E+99)),IF(m=1E+99,"",m))</x:f>
        <x:v>96.567</x:v>
      </x:c>
      <x:c r="BE452" s="16" t="e">
        <x:f>IF(BD452="","",INDEX({"v1.4.20","v1.4.20","v1.4.21","v1.4.21","v1.4.23","v1.4.23","v1.4.26","v1.4.26","v1.4.26.1","v1.4.26.1","v1.4.27","v1.4.27","v1.4.29","v1.4.29","v1.4.30","v1.4.30","v1.4.31","v1.4.31","v1.4.33","v1.4.33","v1.4.35","v1.4.35.2","v1.5","v1.5.1","v1.5.1"},MATCH(BD452,CHOOSE({1,2,3,4,5,6,7,8,9,10,11,12,13,14,15,16,17,18,19,20,21,22,23,24,25},E452,G452,I452,K452,M452,O452,Q452,S452,U452,W452,Y452,AA452,AC452,AE452,AG452,AI452,AK452,AM452,AO452,AQ452,AS452,AU452,AW452,AY452,BA452),0)))</x:f>
      </x:c>
      <x:c r="BF452" s="10" t="n">
        <x:f>IFERROR((AX452-BB452)/BB452,"")</x:f>
        <x:v>0</x:v>
      </x:c>
      <x:c r="BG452" s="10" t="n">
        <x:f>IFERROR((AY452-BD452)/BD452,"")</x:f>
        <x:v>0.2888046641192127</x:v>
      </x:c>
    </x:row>
    <x:row r="453">
      <x:c r="A453" t="str">
        <x:v>Demo P</x:v>
      </x:c>
      <x:c r="B453" t="str">
        <x:v>Process Demo P</x:v>
      </x:c>
      <x:c r="C453" t="str">
        <x:v>Demo P Working Source - process contacts</x:v>
      </x:c>
      <x:c r="D453" s="8"/>
      <x:c r="E453" s="8"/>
      <x:c r="F453" s="8"/>
      <x:c r="G453" s="8"/>
      <x:c r="H453" s="8"/>
      <x:c r="I453" s="8"/>
      <x:c r="J453" s="8"/>
      <x:c r="K453" s="8"/>
      <x:c r="L453" s="8" t="n">
        <x:v>0.057</x:v>
      </x:c>
      <x:c r="M453" s="8" t="n">
        <x:v>119.741</x:v>
      </x:c>
      <x:c r="N453" s="8" t="n">
        <x:v>0.057</x:v>
      </x:c>
      <x:c r="O453" s="8" t="n">
        <x:v>119.741</x:v>
      </x:c>
      <x:c r="P453" s="8"/>
      <x:c r="Q453" s="8"/>
      <x:c r="R453" s="8"/>
      <x:c r="S453" s="8"/>
      <x:c r="T453" s="8" t="n">
        <x:v>0.049</x:v>
      </x:c>
      <x:c r="U453" s="8" t="n">
        <x:v>103.752</x:v>
      </x:c>
      <x:c r="V453" s="8" t="n">
        <x:v>0.049</x:v>
      </x:c>
      <x:c r="W453" s="8" t="n">
        <x:v>103.752</x:v>
      </x:c>
      <x:c r="X453" s="8"/>
      <x:c r="Y453" s="8"/>
      <x:c r="Z453" s="8"/>
      <x:c r="AA453" s="8"/>
      <x:c r="AB453" s="8"/>
      <x:c r="AC453" s="8"/>
      <x:c r="AD453" s="8"/>
      <x:c r="AE453" s="8"/>
      <x:c r="AF453" s="8" t="n">
        <x:v>0.042</x:v>
      </x:c>
      <x:c r="AG453" s="8" t="n">
        <x:v>96.609</x:v>
      </x:c>
      <x:c r="AH453" s="8" t="n">
        <x:v>0.042</x:v>
      </x:c>
      <x:c r="AI453" s="8" t="n">
        <x:v>96.609</x:v>
      </x:c>
      <x:c r="AJ453" s="8" t="n">
        <x:v>0.051</x:v>
      </x:c>
      <x:c r="AK453" s="8" t="n">
        <x:v>125.891</x:v>
      </x:c>
      <x:c r="AL453" s="8" t="n">
        <x:v>0.051</x:v>
      </x:c>
      <x:c r="AM453" s="8" t="n">
        <x:v>125.891</x:v>
      </x:c>
      <x:c r="AN453" s="8" t="n">
        <x:v>0.031</x:v>
      </x:c>
      <x:c r="AO453" s="8" t="n">
        <x:v>127.941</x:v>
      </x:c>
      <x:c r="AP453" s="8" t="n">
        <x:v>0.031</x:v>
      </x:c>
      <x:c r="AQ453" s="8" t="n">
        <x:v>127.941</x:v>
      </x:c>
      <x:c r="AR453" s="8"/>
      <x:c r="AS453" s="8"/>
      <x:c r="AT453" s="8" t="n">
        <x:v>0.054</x:v>
      </x:c>
      <x:c r="AU453" s="8" t="n">
        <x:v>118.1</x:v>
      </x:c>
      <x:c r="AV453" s="8" t="n">
        <x:v>0.036</x:v>
      </x:c>
      <x:c r="AW453" s="8" t="n">
        <x:v>168.137</x:v>
      </x:c>
      <x:c r="AX453" s="8" t="n">
        <x:v>0.041</x:v>
      </x:c>
      <x:c r="AY453" s="8" t="n">
        <x:v>124.497</x:v>
      </x:c>
      <x:c r="AZ453" s="8" t="n">
        <x:v>0.041</x:v>
      </x:c>
      <x:c r="BA453" s="8" t="n">
        <x:v>124.497</x:v>
      </x:c>
      <x:c r="BB453" s="8" t="n">
        <x:f>LET(m,MIN(IF(D453&gt;0,D453,1E+99),IF(F453&gt;0,F453,1E+99),IF(H453&gt;0,H453,1E+99),IF(J453&gt;0,J453,1E+99),IF(L453&gt;0,L453,1E+99),IF(N453&gt;0,N453,1E+99),IF(P453&gt;0,P453,1E+99),IF(R453&gt;0,R453,1E+99),IF(T453&gt;0,T453,1E+99),IF(V453&gt;0,V453,1E+99),IF(X453&gt;0,X453,1E+99),IF(Z453&gt;0,Z453,1E+99),IF(AB453&gt;0,AB453,1E+99),IF(AD453&gt;0,AD453,1E+99),IF(AF453&gt;0,AF453,1E+99),IF(AH453&gt;0,AH453,1E+99),IF(AJ453&gt;0,AJ453,1E+99),IF(AL453&gt;0,AL453,1E+99),IF(AN453&gt;0,AN453,1E+99),IF(AP453&gt;0,AP453,1E+99),IF(AR453&gt;0,AR453,1E+99),IF(AT453&gt;0,AT453,1E+99),IF(AV453&gt;0,AV453,1E+99),IF(AX453&gt;0,AX453,1E+99),IF(AZ453&gt;0,AZ453,1E+99)),IF(m=1E+99,"",m))</x:f>
        <x:v>0.031</x:v>
      </x:c>
      <x:c r="BC453" s="12" t="e">
        <x:f>IF(BB453="","",INDEX({"v1.4.20","v1.4.20","v1.4.21","v1.4.21","v1.4.23","v1.4.23","v1.4.26","v1.4.26","v1.4.26.1","v1.4.26.1","v1.4.27","v1.4.27","v1.4.29","v1.4.29","v1.4.30","v1.4.30","v1.4.31","v1.4.31","v1.4.33","v1.4.33","v1.4.35","v1.4.35.2","v1.5","v1.5.1","v1.5.1"},MATCH(BB453,CHOOSE({1,2,3,4,5,6,7,8,9,10,11,12,13,14,15,16,17,18,19,20,21,22,23,24,25},D453,F453,H453,J453,L453,N453,P453,R453,T453,V453,X453,Z453,AB453,AD453,AF453,AH453,AJ453,AL453,AN453,AP453,AR453,AT453,AV453,AX453,AZ453),0)))</x:f>
      </x:c>
      <x:c r="BD453" s="14" t="n">
        <x:f>LET(m,MIN(IF(E453&gt;0,E453,1E+99),IF(G453&gt;0,G453,1E+99),IF(I453&gt;0,I453,1E+99),IF(K453&gt;0,K453,1E+99),IF(M453&gt;0,M453,1E+99),IF(O453&gt;0,O453,1E+99),IF(Q453&gt;0,Q453,1E+99),IF(S453&gt;0,S453,1E+99),IF(U453&gt;0,U453,1E+99),IF(W453&gt;0,W453,1E+99),IF(Y453&gt;0,Y453,1E+99),IF(AA453&gt;0,AA453,1E+99),IF(AC453&gt;0,AC453,1E+99),IF(AE453&gt;0,AE453,1E+99),IF(AG453&gt;0,AG453,1E+99),IF(AI453&gt;0,AI453,1E+99),IF(AK453&gt;0,AK453,1E+99),IF(AM453&gt;0,AM453,1E+99),IF(AO453&gt;0,AO453,1E+99),IF(AQ453&gt;0,AQ453,1E+99),IF(AS453&gt;0,AS453,1E+99),IF(AU453&gt;0,AU453,1E+99),IF(AW453&gt;0,AW453,1E+99),IF(AY453&gt;0,AY453,1E+99),IF(BA453&gt;0,BA453,1E+99)),IF(m=1E+99,"",m))</x:f>
        <x:v>96.609</x:v>
      </x:c>
      <x:c r="BE453" s="16" t="e">
        <x:f>IF(BD453="","",INDEX({"v1.4.20","v1.4.20","v1.4.21","v1.4.21","v1.4.23","v1.4.23","v1.4.26","v1.4.26","v1.4.26.1","v1.4.26.1","v1.4.27","v1.4.27","v1.4.29","v1.4.29","v1.4.30","v1.4.30","v1.4.31","v1.4.31","v1.4.33","v1.4.33","v1.4.35","v1.4.35.2","v1.5","v1.5.1","v1.5.1"},MATCH(BD453,CHOOSE({1,2,3,4,5,6,7,8,9,10,11,12,13,14,15,16,17,18,19,20,21,22,23,24,25},E453,G453,I453,K453,M453,O453,Q453,S453,U453,W453,Y453,AA453,AC453,AE453,AG453,AI453,AK453,AM453,AO453,AQ453,AS453,AU453,AW453,AY453,BA453),0)))</x:f>
      </x:c>
      <x:c r="BF453" s="10" t="n">
        <x:f>IFERROR((AX453-BB453)/BB453,"")</x:f>
        <x:v>0.32258064516129037</x:v>
      </x:c>
      <x:c r="BG453" s="10" t="n">
        <x:f>IFERROR((AY453-BD453)/BD453,"")</x:f>
        <x:v>0.28866875756917065</x:v>
      </x:c>
    </x:row>
    <x:row r="454">
      <x:c r="A454" t="str">
        <x:v>Demo P</x:v>
      </x:c>
      <x:c r="B454" t="str">
        <x:v>Process Demo P</x:v>
      </x:c>
      <x:c r="C454" t="str">
        <x:v>Demo P Working Source - combine Notes Summary</x:v>
      </x:c>
      <x:c r="D454" s="8"/>
      <x:c r="E454" s="8"/>
      <x:c r="F454" s="8"/>
      <x:c r="G454" s="8"/>
      <x:c r="H454" s="8"/>
      <x:c r="I454" s="8"/>
      <x:c r="J454" s="8"/>
      <x:c r="K454" s="8"/>
      <x:c r="L454" s="8" t="n">
        <x:v>0.003</x:v>
      </x:c>
      <x:c r="M454" s="8" t="n">
        <x:v>119.744</x:v>
      </x:c>
      <x:c r="N454" s="8" t="n">
        <x:v>0.003</x:v>
      </x:c>
      <x:c r="O454" s="8" t="n">
        <x:v>119.744</x:v>
      </x:c>
      <x:c r="P454" s="8"/>
      <x:c r="Q454" s="8"/>
      <x:c r="R454" s="8"/>
      <x:c r="S454" s="8"/>
      <x:c r="T454" s="8" t="n">
        <x:v>0.003</x:v>
      </x:c>
      <x:c r="U454" s="8" t="n">
        <x:v>103.755</x:v>
      </x:c>
      <x:c r="V454" s="8" t="n">
        <x:v>0.003</x:v>
      </x:c>
      <x:c r="W454" s="8" t="n">
        <x:v>103.755</x:v>
      </x:c>
      <x:c r="X454" s="8"/>
      <x:c r="Y454" s="8"/>
      <x:c r="Z454" s="8"/>
      <x:c r="AA454" s="8"/>
      <x:c r="AB454" s="8"/>
      <x:c r="AC454" s="8"/>
      <x:c r="AD454" s="8"/>
      <x:c r="AE454" s="8"/>
      <x:c r="AF454" s="8" t="n">
        <x:v>0.003</x:v>
      </x:c>
      <x:c r="AG454" s="8" t="n">
        <x:v>96.612</x:v>
      </x:c>
      <x:c r="AH454" s="8" t="n">
        <x:v>0.003</x:v>
      </x:c>
      <x:c r="AI454" s="8" t="n">
        <x:v>96.612</x:v>
      </x:c>
      <x:c r="AJ454" s="8" t="n">
        <x:v>0.004</x:v>
      </x:c>
      <x:c r="AK454" s="8" t="n">
        <x:v>125.895</x:v>
      </x:c>
      <x:c r="AL454" s="8" t="n">
        <x:v>0.004</x:v>
      </x:c>
      <x:c r="AM454" s="8" t="n">
        <x:v>125.895</x:v>
      </x:c>
      <x:c r="AN454" s="8" t="n">
        <x:v>0.002</x:v>
      </x:c>
      <x:c r="AO454" s="8" t="n">
        <x:v>127.943</x:v>
      </x:c>
      <x:c r="AP454" s="8" t="n">
        <x:v>0.002</x:v>
      </x:c>
      <x:c r="AQ454" s="8" t="n">
        <x:v>127.943</x:v>
      </x:c>
      <x:c r="AR454" s="8"/>
      <x:c r="AS454" s="8"/>
      <x:c r="AT454" s="8" t="n">
        <x:v>0.006</x:v>
      </x:c>
      <x:c r="AU454" s="8" t="n">
        <x:v>118.106</x:v>
      </x:c>
      <x:c r="AV454" s="8" t="n">
        <x:v>0.004</x:v>
      </x:c>
      <x:c r="AW454" s="8" t="n">
        <x:v>168.141</x:v>
      </x:c>
      <x:c r="AX454" s="8" t="n">
        <x:v>0.003</x:v>
      </x:c>
      <x:c r="AY454" s="8" t="n">
        <x:v>124.5</x:v>
      </x:c>
      <x:c r="AZ454" s="8" t="n">
        <x:v>0.003</x:v>
      </x:c>
      <x:c r="BA454" s="8" t="n">
        <x:v>124.5</x:v>
      </x:c>
      <x:c r="BB454" s="8" t="n">
        <x:f>LET(m,MIN(IF(D454&gt;0,D454,1E+99),IF(F454&gt;0,F454,1E+99),IF(H454&gt;0,H454,1E+99),IF(J454&gt;0,J454,1E+99),IF(L454&gt;0,L454,1E+99),IF(N454&gt;0,N454,1E+99),IF(P454&gt;0,P454,1E+99),IF(R454&gt;0,R454,1E+99),IF(T454&gt;0,T454,1E+99),IF(V454&gt;0,V454,1E+99),IF(X454&gt;0,X454,1E+99),IF(Z454&gt;0,Z454,1E+99),IF(AB454&gt;0,AB454,1E+99),IF(AD454&gt;0,AD454,1E+99),IF(AF454&gt;0,AF454,1E+99),IF(AH454&gt;0,AH454,1E+99),IF(AJ454&gt;0,AJ454,1E+99),IF(AL454&gt;0,AL454,1E+99),IF(AN454&gt;0,AN454,1E+99),IF(AP454&gt;0,AP454,1E+99),IF(AR454&gt;0,AR454,1E+99),IF(AT454&gt;0,AT454,1E+99),IF(AV454&gt;0,AV454,1E+99),IF(AX454&gt;0,AX454,1E+99),IF(AZ454&gt;0,AZ454,1E+99)),IF(m=1E+99,"",m))</x:f>
        <x:v>0.002</x:v>
      </x:c>
      <x:c r="BC454" s="12" t="e">
        <x:f>IF(BB454="","",INDEX({"v1.4.20","v1.4.20","v1.4.21","v1.4.21","v1.4.23","v1.4.23","v1.4.26","v1.4.26","v1.4.26.1","v1.4.26.1","v1.4.27","v1.4.27","v1.4.29","v1.4.29","v1.4.30","v1.4.30","v1.4.31","v1.4.31","v1.4.33","v1.4.33","v1.4.35","v1.4.35.2","v1.5","v1.5.1","v1.5.1"},MATCH(BB454,CHOOSE({1,2,3,4,5,6,7,8,9,10,11,12,13,14,15,16,17,18,19,20,21,22,23,24,25},D454,F454,H454,J454,L454,N454,P454,R454,T454,V454,X454,Z454,AB454,AD454,AF454,AH454,AJ454,AL454,AN454,AP454,AR454,AT454,AV454,AX454,AZ454),0)))</x:f>
      </x:c>
      <x:c r="BD454" s="14" t="n">
        <x:f>LET(m,MIN(IF(E454&gt;0,E454,1E+99),IF(G454&gt;0,G454,1E+99),IF(I454&gt;0,I454,1E+99),IF(K454&gt;0,K454,1E+99),IF(M454&gt;0,M454,1E+99),IF(O454&gt;0,O454,1E+99),IF(Q454&gt;0,Q454,1E+99),IF(S454&gt;0,S454,1E+99),IF(U454&gt;0,U454,1E+99),IF(W454&gt;0,W454,1E+99),IF(Y454&gt;0,Y454,1E+99),IF(AA454&gt;0,AA454,1E+99),IF(AC454&gt;0,AC454,1E+99),IF(AE454&gt;0,AE454,1E+99),IF(AG454&gt;0,AG454,1E+99),IF(AI454&gt;0,AI454,1E+99),IF(AK454&gt;0,AK454,1E+99),IF(AM454&gt;0,AM454,1E+99),IF(AO454&gt;0,AO454,1E+99),IF(AQ454&gt;0,AQ454,1E+99),IF(AS454&gt;0,AS454,1E+99),IF(AU454&gt;0,AU454,1E+99),IF(AW454&gt;0,AW454,1E+99),IF(AY454&gt;0,AY454,1E+99),IF(BA454&gt;0,BA454,1E+99)),IF(m=1E+99,"",m))</x:f>
        <x:v>96.612</x:v>
      </x:c>
      <x:c r="BE454" s="16" t="e">
        <x:f>IF(BD454="","",INDEX({"v1.4.20","v1.4.20","v1.4.21","v1.4.21","v1.4.23","v1.4.23","v1.4.26","v1.4.26","v1.4.26.1","v1.4.26.1","v1.4.27","v1.4.27","v1.4.29","v1.4.29","v1.4.30","v1.4.30","v1.4.31","v1.4.31","v1.4.33","v1.4.33","v1.4.35","v1.4.35.2","v1.5","v1.5.1","v1.5.1"},MATCH(BD454,CHOOSE({1,2,3,4,5,6,7,8,9,10,11,12,13,14,15,16,17,18,19,20,21,22,23,24,25},E454,G454,I454,K454,M454,O454,Q454,S454,U454,W454,Y454,AA454,AC454,AE454,AG454,AI454,AK454,AM454,AO454,AQ454,AS454,AU454,AW454,AY454,BA454),0)))</x:f>
      </x:c>
      <x:c r="BF454" s="10" t="n">
        <x:f>IFERROR((AX454-BB454)/BB454,"")</x:f>
        <x:v>0.5</x:v>
      </x:c>
      <x:c r="BG454" s="10" t="n">
        <x:f>IFERROR((AY454-BD454)/BD454,"")</x:f>
        <x:v>0.2886597938144331</x:v>
      </x:c>
    </x:row>
    <x:row r="455">
      <x:c r="A455" t="str">
        <x:v>Demo P</x:v>
      </x:c>
      <x:c r="B455" t="str">
        <x:v>Process Demo P</x:v>
      </x:c>
      <x:c r="C455" t="str">
        <x:v>Demo P Working Source - single write processed Demo P data</x:v>
      </x:c>
      <x:c r="D455" s="8"/>
      <x:c r="E455" s="8"/>
      <x:c r="F455" s="8"/>
      <x:c r="G455" s="8"/>
      <x:c r="H455" s="8"/>
      <x:c r="I455" s="8"/>
      <x:c r="J455" s="8"/>
      <x:c r="K455" s="8"/>
      <x:c r="L455" s="8" t="n">
        <x:v>26.703</x:v>
      </x:c>
      <x:c r="M455" s="8" t="n">
        <x:v>146.447</x:v>
      </x:c>
      <x:c r="N455" s="8" t="n">
        <x:v>26.703</x:v>
      </x:c>
      <x:c r="O455" s="8" t="n">
        <x:v>146.447</x:v>
      </x:c>
      <x:c r="P455" s="8"/>
      <x:c r="Q455" s="8"/>
      <x:c r="R455" s="8"/>
      <x:c r="S455" s="8"/>
      <x:c r="T455" s="8" t="n">
        <x:v>19.96</x:v>
      </x:c>
      <x:c r="U455" s="8" t="n">
        <x:v>123.715</x:v>
      </x:c>
      <x:c r="V455" s="8" t="n">
        <x:v>19.96</x:v>
      </x:c>
      <x:c r="W455" s="8" t="n">
        <x:v>123.715</x:v>
      </x:c>
      <x:c r="X455" s="8"/>
      <x:c r="Y455" s="8"/>
      <x:c r="Z455" s="8"/>
      <x:c r="AA455" s="8"/>
      <x:c r="AB455" s="8"/>
      <x:c r="AC455" s="8"/>
      <x:c r="AD455" s="8"/>
      <x:c r="AE455" s="8"/>
      <x:c r="AF455" s="8" t="n">
        <x:v>16.16</x:v>
      </x:c>
      <x:c r="AG455" s="8" t="n">
        <x:v>112.772</x:v>
      </x:c>
      <x:c r="AH455" s="8" t="n">
        <x:v>16.16</x:v>
      </x:c>
      <x:c r="AI455" s="8" t="n">
        <x:v>112.772</x:v>
      </x:c>
      <x:c r="AJ455" s="8" t="n">
        <x:v>22.667</x:v>
      </x:c>
      <x:c r="AK455" s="8" t="n">
        <x:v>148.562</x:v>
      </x:c>
      <x:c r="AL455" s="8" t="n">
        <x:v>22.667</x:v>
      </x:c>
      <x:c r="AM455" s="8" t="n">
        <x:v>148.562</x:v>
      </x:c>
      <x:c r="AN455" s="8" t="n">
        <x:v>21.193</x:v>
      </x:c>
      <x:c r="AO455" s="8" t="n">
        <x:v>149.136</x:v>
      </x:c>
      <x:c r="AP455" s="8" t="n">
        <x:v>21.193</x:v>
      </x:c>
      <x:c r="AQ455" s="8" t="n">
        <x:v>149.136</x:v>
      </x:c>
      <x:c r="AR455" s="8"/>
      <x:c r="AS455" s="8"/>
      <x:c r="AT455" s="8" t="n">
        <x:v>17.788</x:v>
      </x:c>
      <x:c r="AU455" s="8" t="n">
        <x:v>135.894</x:v>
      </x:c>
      <x:c r="AV455" s="8" t="n">
        <x:v>22.695</x:v>
      </x:c>
      <x:c r="AW455" s="8" t="n">
        <x:v>190.836</x:v>
      </x:c>
      <x:c r="AX455" s="8" t="n">
        <x:v>19.11</x:v>
      </x:c>
      <x:c r="AY455" s="8" t="n">
        <x:v>143.61</x:v>
      </x:c>
      <x:c r="AZ455" s="8" t="n">
        <x:v>19.11</x:v>
      </x:c>
      <x:c r="BA455" s="8" t="n">
        <x:v>143.61</x:v>
      </x:c>
      <x:c r="BB455" s="8" t="n">
        <x:f>LET(m,MIN(IF(D455&gt;0,D455,1E+99),IF(F455&gt;0,F455,1E+99),IF(H455&gt;0,H455,1E+99),IF(J455&gt;0,J455,1E+99),IF(L455&gt;0,L455,1E+99),IF(N455&gt;0,N455,1E+99),IF(P455&gt;0,P455,1E+99),IF(R455&gt;0,R455,1E+99),IF(T455&gt;0,T455,1E+99),IF(V455&gt;0,V455,1E+99),IF(X455&gt;0,X455,1E+99),IF(Z455&gt;0,Z455,1E+99),IF(AB455&gt;0,AB455,1E+99),IF(AD455&gt;0,AD455,1E+99),IF(AF455&gt;0,AF455,1E+99),IF(AH455&gt;0,AH455,1E+99),IF(AJ455&gt;0,AJ455,1E+99),IF(AL455&gt;0,AL455,1E+99),IF(AN455&gt;0,AN455,1E+99),IF(AP455&gt;0,AP455,1E+99),IF(AR455&gt;0,AR455,1E+99),IF(AT455&gt;0,AT455,1E+99),IF(AV455&gt;0,AV455,1E+99),IF(AX455&gt;0,AX455,1E+99),IF(AZ455&gt;0,AZ455,1E+99)),IF(m=1E+99,"",m))</x:f>
        <x:v>16.16</x:v>
      </x:c>
      <x:c r="BC455" s="12" t="e">
        <x:f>IF(BB455="","",INDEX({"v1.4.20","v1.4.20","v1.4.21","v1.4.21","v1.4.23","v1.4.23","v1.4.26","v1.4.26","v1.4.26.1","v1.4.26.1","v1.4.27","v1.4.27","v1.4.29","v1.4.29","v1.4.30","v1.4.30","v1.4.31","v1.4.31","v1.4.33","v1.4.33","v1.4.35","v1.4.35.2","v1.5","v1.5.1","v1.5.1"},MATCH(BB455,CHOOSE({1,2,3,4,5,6,7,8,9,10,11,12,13,14,15,16,17,18,19,20,21,22,23,24,25},D455,F455,H455,J455,L455,N455,P455,R455,T455,V455,X455,Z455,AB455,AD455,AF455,AH455,AJ455,AL455,AN455,AP455,AR455,AT455,AV455,AX455,AZ455),0)))</x:f>
      </x:c>
      <x:c r="BD455" s="14" t="n">
        <x:f>LET(m,MIN(IF(E455&gt;0,E455,1E+99),IF(G455&gt;0,G455,1E+99),IF(I455&gt;0,I455,1E+99),IF(K455&gt;0,K455,1E+99),IF(M455&gt;0,M455,1E+99),IF(O455&gt;0,O455,1E+99),IF(Q455&gt;0,Q455,1E+99),IF(S455&gt;0,S455,1E+99),IF(U455&gt;0,U455,1E+99),IF(W455&gt;0,W455,1E+99),IF(Y455&gt;0,Y455,1E+99),IF(AA455&gt;0,AA455,1E+99),IF(AC455&gt;0,AC455,1E+99),IF(AE455&gt;0,AE455,1E+99),IF(AG455&gt;0,AG455,1E+99),IF(AI455&gt;0,AI455,1E+99),IF(AK455&gt;0,AK455,1E+99),IF(AM455&gt;0,AM455,1E+99),IF(AO455&gt;0,AO455,1E+99),IF(AQ455&gt;0,AQ455,1E+99),IF(AS455&gt;0,AS455,1E+99),IF(AU455&gt;0,AU455,1E+99),IF(AW455&gt;0,AW455,1E+99),IF(AY455&gt;0,AY455,1E+99),IF(BA455&gt;0,BA455,1E+99)),IF(m=1E+99,"",m))</x:f>
        <x:v>112.772</x:v>
      </x:c>
      <x:c r="BE455" s="16" t="e">
        <x:f>IF(BD455="","",INDEX({"v1.4.20","v1.4.20","v1.4.21","v1.4.21","v1.4.23","v1.4.23","v1.4.26","v1.4.26","v1.4.26.1","v1.4.26.1","v1.4.27","v1.4.27","v1.4.29","v1.4.29","v1.4.30","v1.4.30","v1.4.31","v1.4.31","v1.4.33","v1.4.33","v1.4.35","v1.4.35.2","v1.5","v1.5.1","v1.5.1"},MATCH(BD455,CHOOSE({1,2,3,4,5,6,7,8,9,10,11,12,13,14,15,16,17,18,19,20,21,22,23,24,25},E455,G455,I455,K455,M455,O455,Q455,S455,U455,W455,Y455,AA455,AC455,AE455,AG455,AI455,AK455,AM455,AO455,AQ455,AS455,AU455,AW455,AY455,BA455),0)))</x:f>
      </x:c>
      <x:c r="BF455" s="10" t="n">
        <x:f>IFERROR((AX455-BB455)/BB455,"")</x:f>
        <x:v>0.18254950495049502</x:v>
      </x:c>
      <x:c r="BG455" s="10" t="n">
        <x:f>IFERROR((AY455-BD455)/BD455,"")</x:f>
        <x:v>0.27345440357535566</x:v>
      </x:c>
    </x:row>
    <x:row r="456">
      <x:c r="A456" t="str">
        <x:v>Demo P</x:v>
      </x:c>
      <x:c r="B456" t="str">
        <x:v>Process Demo P</x:v>
      </x:c>
      <x:c r="C456" t="str">
        <x:v>Prepare Demo P title/header rows</x:v>
      </x:c>
      <x:c r="D456" s="8" t="n">
        <x:v>0.384</x:v>
      </x:c>
      <x:c r="E456" s="8" t="n">
        <x:v>75.915</x:v>
      </x:c>
      <x:c r="F456" s="8" t="n">
        <x:v>0.384</x:v>
      </x:c>
      <x:c r="G456" s="8" t="n">
        <x:v>75.915</x:v>
      </x:c>
      <x:c r="H456" s="8" t="n">
        <x:v>0.633</x:v>
      </x:c>
      <x:c r="I456" s="8" t="n">
        <x:v>120.015</x:v>
      </x:c>
      <x:c r="J456" s="8" t="n">
        <x:v>0.633</x:v>
      </x:c>
      <x:c r="K456" s="8" t="n">
        <x:v>120.015</x:v>
      </x:c>
      <x:c r="L456" s="8" t="n">
        <x:v>6.274</x:v>
      </x:c>
      <x:c r="M456" s="8" t="n">
        <x:v>152.753</x:v>
      </x:c>
      <x:c r="N456" s="8" t="n">
        <x:v>6.274</x:v>
      </x:c>
      <x:c r="O456" s="8" t="n">
        <x:v>152.753</x:v>
      </x:c>
      <x:c r="P456" s="8"/>
      <x:c r="Q456" s="8"/>
      <x:c r="R456" s="8"/>
      <x:c r="S456" s="8"/>
      <x:c r="T456" s="8" t="n">
        <x:v>5.03</x:v>
      </x:c>
      <x:c r="U456" s="8" t="n">
        <x:v>128.775</x:v>
      </x:c>
      <x:c r="V456" s="8" t="n">
        <x:v>5.03</x:v>
      </x:c>
      <x:c r="W456" s="8" t="n">
        <x:v>128.775</x:v>
      </x:c>
      <x:c r="X456" s="8"/>
      <x:c r="Y456" s="8"/>
      <x:c r="Z456" s="8"/>
      <x:c r="AA456" s="8"/>
      <x:c r="AB456" s="8"/>
      <x:c r="AC456" s="8"/>
      <x:c r="AD456" s="8"/>
      <x:c r="AE456" s="8"/>
      <x:c r="AF456" s="8" t="n">
        <x:v>4.228</x:v>
      </x:c>
      <x:c r="AG456" s="8" t="n">
        <x:v>117.041</x:v>
      </x:c>
      <x:c r="AH456" s="8" t="n">
        <x:v>4.228</x:v>
      </x:c>
      <x:c r="AI456" s="8" t="n">
        <x:v>117.041</x:v>
      </x:c>
      <x:c r="AJ456" s="8" t="n">
        <x:v>6.136</x:v>
      </x:c>
      <x:c r="AK456" s="8" t="n">
        <x:v>154.735</x:v>
      </x:c>
      <x:c r="AL456" s="8" t="n">
        <x:v>6.136</x:v>
      </x:c>
      <x:c r="AM456" s="8" t="n">
        <x:v>154.735</x:v>
      </x:c>
      <x:c r="AN456" s="8" t="n">
        <x:v>5.282</x:v>
      </x:c>
      <x:c r="AO456" s="8" t="n">
        <x:v>154.449</x:v>
      </x:c>
      <x:c r="AP456" s="8" t="n">
        <x:v>5.282</x:v>
      </x:c>
      <x:c r="AQ456" s="8" t="n">
        <x:v>154.449</x:v>
      </x:c>
      <x:c r="AR456" s="8"/>
      <x:c r="AS456" s="8"/>
      <x:c r="AT456" s="8" t="n">
        <x:v>4.255</x:v>
      </x:c>
      <x:c r="AU456" s="8" t="n">
        <x:v>140.185</x:v>
      </x:c>
      <x:c r="AV456" s="8" t="n">
        <x:v>5.942</x:v>
      </x:c>
      <x:c r="AW456" s="8" t="n">
        <x:v>196.81</x:v>
      </x:c>
      <x:c r="AX456" s="8" t="n">
        <x:v>5.253</x:v>
      </x:c>
      <x:c r="AY456" s="8" t="n">
        <x:v>148.902</x:v>
      </x:c>
      <x:c r="AZ456" s="8" t="n">
        <x:v>5.253</x:v>
      </x:c>
      <x:c r="BA456" s="8" t="n">
        <x:v>148.902</x:v>
      </x:c>
      <x:c r="BB456" s="8" t="n">
        <x:f>LET(m,MIN(IF(D456&gt;0,D456,1E+99),IF(F456&gt;0,F456,1E+99),IF(H456&gt;0,H456,1E+99),IF(J456&gt;0,J456,1E+99),IF(L456&gt;0,L456,1E+99),IF(N456&gt;0,N456,1E+99),IF(P456&gt;0,P456,1E+99),IF(R456&gt;0,R456,1E+99),IF(T456&gt;0,T456,1E+99),IF(V456&gt;0,V456,1E+99),IF(X456&gt;0,X456,1E+99),IF(Z456&gt;0,Z456,1E+99),IF(AB456&gt;0,AB456,1E+99),IF(AD456&gt;0,AD456,1E+99),IF(AF456&gt;0,AF456,1E+99),IF(AH456&gt;0,AH456,1E+99),IF(AJ456&gt;0,AJ456,1E+99),IF(AL456&gt;0,AL456,1E+99),IF(AN456&gt;0,AN456,1E+99),IF(AP456&gt;0,AP456,1E+99),IF(AR456&gt;0,AR456,1E+99),IF(AT456&gt;0,AT456,1E+99),IF(AV456&gt;0,AV456,1E+99),IF(AX456&gt;0,AX456,1E+99),IF(AZ456&gt;0,AZ456,1E+99)),IF(m=1E+99,"",m))</x:f>
        <x:v>0.384</x:v>
      </x:c>
      <x:c r="BC456" s="12" t="str">
        <x:f>IF(BB456="","",INDEX({"v1.4.20","v1.4.20","v1.4.21","v1.4.21","v1.4.23","v1.4.23","v1.4.26","v1.4.26","v1.4.26.1","v1.4.26.1","v1.4.27","v1.4.27","v1.4.29","v1.4.29","v1.4.30","v1.4.30","v1.4.31","v1.4.31","v1.4.33","v1.4.33","v1.4.35","v1.4.35.2","v1.5","v1.5.1","v1.5.1"},MATCH(BB456,CHOOSE({1,2,3,4,5,6,7,8,9,10,11,12,13,14,15,16,17,18,19,20,21,22,23,24,25},D456,F456,H456,J456,L456,N456,P456,R456,T456,V456,X456,Z456,AB456,AD456,AF456,AH456,AJ456,AL456,AN456,AP456,AR456,AT456,AV456,AX456,AZ456),0)))</x:f>
        <x:v>v1.4.20</x:v>
      </x:c>
      <x:c r="BD456" s="14" t="n">
        <x:f>LET(m,MIN(IF(E456&gt;0,E456,1E+99),IF(G456&gt;0,G456,1E+99),IF(I456&gt;0,I456,1E+99),IF(K456&gt;0,K456,1E+99),IF(M456&gt;0,M456,1E+99),IF(O456&gt;0,O456,1E+99),IF(Q456&gt;0,Q456,1E+99),IF(S456&gt;0,S456,1E+99),IF(U456&gt;0,U456,1E+99),IF(W456&gt;0,W456,1E+99),IF(Y456&gt;0,Y456,1E+99),IF(AA456&gt;0,AA456,1E+99),IF(AC456&gt;0,AC456,1E+99),IF(AE456&gt;0,AE456,1E+99),IF(AG456&gt;0,AG456,1E+99),IF(AI456&gt;0,AI456,1E+99),IF(AK456&gt;0,AK456,1E+99),IF(AM456&gt;0,AM456,1E+99),IF(AO456&gt;0,AO456,1E+99),IF(AQ456&gt;0,AQ456,1E+99),IF(AS456&gt;0,AS456,1E+99),IF(AU456&gt;0,AU456,1E+99),IF(AW456&gt;0,AW456,1E+99),IF(AY456&gt;0,AY456,1E+99),IF(BA456&gt;0,BA456,1E+99)),IF(m=1E+99,"",m))</x:f>
        <x:v>75.915</x:v>
      </x:c>
      <x:c r="BE456" s="16" t="str">
        <x:f>IF(BD456="","",INDEX({"v1.4.20","v1.4.20","v1.4.21","v1.4.21","v1.4.23","v1.4.23","v1.4.26","v1.4.26","v1.4.26.1","v1.4.26.1","v1.4.27","v1.4.27","v1.4.29","v1.4.29","v1.4.30","v1.4.30","v1.4.31","v1.4.31","v1.4.33","v1.4.33","v1.4.35","v1.4.35.2","v1.5","v1.5.1","v1.5.1"},MATCH(BD456,CHOOSE({1,2,3,4,5,6,7,8,9,10,11,12,13,14,15,16,17,18,19,20,21,22,23,24,25},E456,G456,I456,K456,M456,O456,Q456,S456,U456,W456,Y456,AA456,AC456,AE456,AG456,AI456,AK456,AM456,AO456,AQ456,AS456,AU456,AW456,AY456,BA456),0)))</x:f>
        <x:v>v1.4.20</x:v>
      </x:c>
      <x:c r="BF456" s="10" t="n">
        <x:f>IFERROR((AX456-BB456)/BB456,"")</x:f>
        <x:v>12.6796875</x:v>
      </x:c>
      <x:c r="BG456" s="10" t="n">
        <x:f>IFERROR((AY456-BD456)/BD456,"")</x:f>
        <x:v>0.9614305473226632</x:v>
      </x:c>
    </x:row>
    <x:row r="457">
      <x:c r="A457" t="str">
        <x:v>Demo P</x:v>
      </x:c>
      <x:c r="B457" t="str">
        <x:v>Process Demo P</x:v>
      </x:c>
      <x:c r="C457" t="str">
        <x:v>Enforce Demo P strict dashboard schema and clear caches</x:v>
      </x:c>
      <x:c r="D457" s="8" t="n">
        <x:v>1.213</x:v>
      </x:c>
      <x:c r="E457" s="8" t="n">
        <x:v>77.128</x:v>
      </x:c>
      <x:c r="F457" s="8" t="n">
        <x:v>1.213</x:v>
      </x:c>
      <x:c r="G457" s="8" t="n">
        <x:v>77.128</x:v>
      </x:c>
      <x:c r="H457" s="8" t="n">
        <x:v>0.682</x:v>
      </x:c>
      <x:c r="I457" s="8" t="n">
        <x:v>120.697</x:v>
      </x:c>
      <x:c r="J457" s="8" t="n">
        <x:v>0.682</x:v>
      </x:c>
      <x:c r="K457" s="8" t="n">
        <x:v>120.697</x:v>
      </x:c>
      <x:c r="L457" s="8" t="n">
        <x:v>0.343</x:v>
      </x:c>
      <x:c r="M457" s="8" t="n">
        <x:v>153.096</x:v>
      </x:c>
      <x:c r="N457" s="8" t="n">
        <x:v>0.343</x:v>
      </x:c>
      <x:c r="O457" s="8" t="n">
        <x:v>153.096</x:v>
      </x:c>
      <x:c r="P457" s="8"/>
      <x:c r="Q457" s="8"/>
      <x:c r="R457" s="8"/>
      <x:c r="S457" s="8"/>
      <x:c r="T457" s="8" t="n">
        <x:v>0.284</x:v>
      </x:c>
      <x:c r="U457" s="8" t="n">
        <x:v>129.059</x:v>
      </x:c>
      <x:c r="V457" s="8" t="n">
        <x:v>0.284</x:v>
      </x:c>
      <x:c r="W457" s="8" t="n">
        <x:v>129.059</x:v>
      </x:c>
      <x:c r="X457" s="8"/>
      <x:c r="Y457" s="8"/>
      <x:c r="Z457" s="8"/>
      <x:c r="AA457" s="8"/>
      <x:c r="AB457" s="8"/>
      <x:c r="AC457" s="8"/>
      <x:c r="AD457" s="8"/>
      <x:c r="AE457" s="8"/>
      <x:c r="AF457" s="8" t="n">
        <x:v>0.181</x:v>
      </x:c>
      <x:c r="AG457" s="8" t="n">
        <x:v>117.222</x:v>
      </x:c>
      <x:c r="AH457" s="8" t="n">
        <x:v>0.181</x:v>
      </x:c>
      <x:c r="AI457" s="8" t="n">
        <x:v>117.222</x:v>
      </x:c>
      <x:c r="AJ457" s="8" t="n">
        <x:v>0.29</x:v>
      </x:c>
      <x:c r="AK457" s="8" t="n">
        <x:v>155.025</x:v>
      </x:c>
      <x:c r="AL457" s="8" t="n">
        <x:v>0.29</x:v>
      </x:c>
      <x:c r="AM457" s="8" t="n">
        <x:v>155.025</x:v>
      </x:c>
      <x:c r="AN457" s="8" t="n">
        <x:v>0.337</x:v>
      </x:c>
      <x:c r="AO457" s="8" t="n">
        <x:v>154.786</x:v>
      </x:c>
      <x:c r="AP457" s="8" t="n">
        <x:v>0.337</x:v>
      </x:c>
      <x:c r="AQ457" s="8" t="n">
        <x:v>154.786</x:v>
      </x:c>
      <x:c r="AR457" s="8"/>
      <x:c r="AS457" s="8"/>
      <x:c r="AT457" s="8" t="n">
        <x:v>0.705</x:v>
      </x:c>
      <x:c r="AU457" s="8" t="n">
        <x:v>140.89</x:v>
      </x:c>
      <x:c r="AV457" s="8" t="n">
        <x:v>0.563</x:v>
      </x:c>
      <x:c r="AW457" s="8" t="n">
        <x:v>197.373</x:v>
      </x:c>
      <x:c r="AX457" s="8" t="n">
        <x:v>0.595</x:v>
      </x:c>
      <x:c r="AY457" s="8" t="n">
        <x:v>149.497</x:v>
      </x:c>
      <x:c r="AZ457" s="8" t="n">
        <x:v>0.595</x:v>
      </x:c>
      <x:c r="BA457" s="8" t="n">
        <x:v>149.497</x:v>
      </x:c>
      <x:c r="BB457" s="8" t="n">
        <x:f>LET(m,MIN(IF(D457&gt;0,D457,1E+99),IF(F457&gt;0,F457,1E+99),IF(H457&gt;0,H457,1E+99),IF(J457&gt;0,J457,1E+99),IF(L457&gt;0,L457,1E+99),IF(N457&gt;0,N457,1E+99),IF(P457&gt;0,P457,1E+99),IF(R457&gt;0,R457,1E+99),IF(T457&gt;0,T457,1E+99),IF(V457&gt;0,V457,1E+99),IF(X457&gt;0,X457,1E+99),IF(Z457&gt;0,Z457,1E+99),IF(AB457&gt;0,AB457,1E+99),IF(AD457&gt;0,AD457,1E+99),IF(AF457&gt;0,AF457,1E+99),IF(AH457&gt;0,AH457,1E+99),IF(AJ457&gt;0,AJ457,1E+99),IF(AL457&gt;0,AL457,1E+99),IF(AN457&gt;0,AN457,1E+99),IF(AP457&gt;0,AP457,1E+99),IF(AR457&gt;0,AR457,1E+99),IF(AT457&gt;0,AT457,1E+99),IF(AV457&gt;0,AV457,1E+99),IF(AX457&gt;0,AX457,1E+99),IF(AZ457&gt;0,AZ457,1E+99)),IF(m=1E+99,"",m))</x:f>
        <x:v>0.181</x:v>
      </x:c>
      <x:c r="BC457" s="12" t="e">
        <x:f>IF(BB457="","",INDEX({"v1.4.20","v1.4.20","v1.4.21","v1.4.21","v1.4.23","v1.4.23","v1.4.26","v1.4.26","v1.4.26.1","v1.4.26.1","v1.4.27","v1.4.27","v1.4.29","v1.4.29","v1.4.30","v1.4.30","v1.4.31","v1.4.31","v1.4.33","v1.4.33","v1.4.35","v1.4.35.2","v1.5","v1.5.1","v1.5.1"},MATCH(BB457,CHOOSE({1,2,3,4,5,6,7,8,9,10,11,12,13,14,15,16,17,18,19,20,21,22,23,24,25},D457,F457,H457,J457,L457,N457,P457,R457,T457,V457,X457,Z457,AB457,AD457,AF457,AH457,AJ457,AL457,AN457,AP457,AR457,AT457,AV457,AX457,AZ457),0)))</x:f>
      </x:c>
      <x:c r="BD457" s="14" t="n">
        <x:f>LET(m,MIN(IF(E457&gt;0,E457,1E+99),IF(G457&gt;0,G457,1E+99),IF(I457&gt;0,I457,1E+99),IF(K457&gt;0,K457,1E+99),IF(M457&gt;0,M457,1E+99),IF(O457&gt;0,O457,1E+99),IF(Q457&gt;0,Q457,1E+99),IF(S457&gt;0,S457,1E+99),IF(U457&gt;0,U457,1E+99),IF(W457&gt;0,W457,1E+99),IF(Y457&gt;0,Y457,1E+99),IF(AA457&gt;0,AA457,1E+99),IF(AC457&gt;0,AC457,1E+99),IF(AE457&gt;0,AE457,1E+99),IF(AG457&gt;0,AG457,1E+99),IF(AI457&gt;0,AI457,1E+99),IF(AK457&gt;0,AK457,1E+99),IF(AM457&gt;0,AM457,1E+99),IF(AO457&gt;0,AO457,1E+99),IF(AQ457&gt;0,AQ457,1E+99),IF(AS457&gt;0,AS457,1E+99),IF(AU457&gt;0,AU457,1E+99),IF(AW457&gt;0,AW457,1E+99),IF(AY457&gt;0,AY457,1E+99),IF(BA457&gt;0,BA457,1E+99)),IF(m=1E+99,"",m))</x:f>
        <x:v>77.128</x:v>
      </x:c>
      <x:c r="BE457" s="16" t="str">
        <x:f>IF(BD457="","",INDEX({"v1.4.20","v1.4.20","v1.4.21","v1.4.21","v1.4.23","v1.4.23","v1.4.26","v1.4.26","v1.4.26.1","v1.4.26.1","v1.4.27","v1.4.27","v1.4.29","v1.4.29","v1.4.30","v1.4.30","v1.4.31","v1.4.31","v1.4.33","v1.4.33","v1.4.35","v1.4.35.2","v1.5","v1.5.1","v1.5.1"},MATCH(BD457,CHOOSE({1,2,3,4,5,6,7,8,9,10,11,12,13,14,15,16,17,18,19,20,21,22,23,24,25},E457,G457,I457,K457,M457,O457,Q457,S457,U457,W457,Y457,AA457,AC457,AE457,AG457,AI457,AK457,AM457,AO457,AQ457,AS457,AU457,AW457,AY457,BA457),0)))</x:f>
        <x:v>v1.4.20</x:v>
      </x:c>
      <x:c r="BF457" s="10" t="n">
        <x:f>IFERROR((AX457-BB457)/BB457,"")</x:f>
        <x:v>2.287292817679558</x:v>
      </x:c>
      <x:c r="BG457" s="10" t="n">
        <x:f>IFERROR((AY457-BD457)/BD457,"")</x:f>
        <x:v>0.9382973757908932</x:v>
      </x:c>
    </x:row>
    <x:row r="458">
      <x:c r="A458" t="str">
        <x:v>Demo P</x:v>
      </x:c>
      <x:c r="B458" t="str">
        <x:v>Process Demo P</x:v>
      </x:c>
      <x:c r="C458" t="str">
        <x:v>Apply Demo P dashboard template formatting skipped - template copy already formatted</x:v>
      </x:c>
      <x:c r="D458" s="8" t="n">
        <x:v>0</x:v>
      </x:c>
      <x:c r="E458" s="8" t="n">
        <x:v>77.13</x:v>
      </x:c>
      <x:c r="F458" s="8" t="n">
        <x:v>0</x:v>
      </x:c>
      <x:c r="G458" s="8" t="n">
        <x:v>77.13</x:v>
      </x:c>
      <x:c r="H458" s="8" t="n">
        <x:v>0.002</x:v>
      </x:c>
      <x:c r="I458" s="8" t="n">
        <x:v>120.702</x:v>
      </x:c>
      <x:c r="J458" s="8" t="n">
        <x:v>0.002</x:v>
      </x:c>
      <x:c r="K458" s="8" t="n">
        <x:v>120.702</x:v>
      </x:c>
      <x:c r="L458" s="8" t="n">
        <x:v>0.001</x:v>
      </x:c>
      <x:c r="M458" s="8" t="n">
        <x:v>153.1</x:v>
      </x:c>
      <x:c r="N458" s="8" t="n">
        <x:v>0.001</x:v>
      </x:c>
      <x:c r="O458" s="8" t="n">
        <x:v>153.1</x:v>
      </x:c>
      <x:c r="P458" s="8"/>
      <x:c r="Q458" s="8"/>
      <x:c r="R458" s="8"/>
      <x:c r="S458" s="8"/>
      <x:c r="T458" s="8" t="n">
        <x:v>0.001</x:v>
      </x:c>
      <x:c r="U458" s="8" t="n">
        <x:v>129.063</x:v>
      </x:c>
      <x:c r="V458" s="8" t="n">
        <x:v>0.001</x:v>
      </x:c>
      <x:c r="W458" s="8" t="n">
        <x:v>129.063</x:v>
      </x:c>
      <x:c r="X458" s="8"/>
      <x:c r="Y458" s="8"/>
      <x:c r="Z458" s="8"/>
      <x:c r="AA458" s="8"/>
      <x:c r="AB458" s="8"/>
      <x:c r="AC458" s="8"/>
      <x:c r="AD458" s="8"/>
      <x:c r="AE458" s="8"/>
      <x:c r="AF458" s="8" t="n">
        <x:v>0.001</x:v>
      </x:c>
      <x:c r="AG458" s="8" t="n">
        <x:v>117.225</x:v>
      </x:c>
      <x:c r="AH458" s="8" t="n">
        <x:v>0.001</x:v>
      </x:c>
      <x:c r="AI458" s="8" t="n">
        <x:v>117.225</x:v>
      </x:c>
      <x:c r="AJ458" s="8" t="n">
        <x:v>0.001</x:v>
      </x:c>
      <x:c r="AK458" s="8" t="n">
        <x:v>155.03</x:v>
      </x:c>
      <x:c r="AL458" s="8" t="n">
        <x:v>0.001</x:v>
      </x:c>
      <x:c r="AM458" s="8" t="n">
        <x:v>155.03</x:v>
      </x:c>
      <x:c r="AN458" s="8" t="n">
        <x:v>0.001</x:v>
      </x:c>
      <x:c r="AO458" s="8" t="n">
        <x:v>154.791</x:v>
      </x:c>
      <x:c r="AP458" s="8" t="n">
        <x:v>0.001</x:v>
      </x:c>
      <x:c r="AQ458" s="8" t="n">
        <x:v>154.791</x:v>
      </x:c>
      <x:c r="AR458" s="8"/>
      <x:c r="AS458" s="8"/>
      <x:c r="AT458" s="8" t="n">
        <x:v>0.002</x:v>
      </x:c>
      <x:c r="AU458" s="8" t="n">
        <x:v>140.895</x:v>
      </x:c>
      <x:c r="AV458" s="8" t="n">
        <x:v>0.001</x:v>
      </x:c>
      <x:c r="AW458" s="8" t="n">
        <x:v>197.376</x:v>
      </x:c>
      <x:c r="AX458" s="8" t="n">
        <x:v>0.001</x:v>
      </x:c>
      <x:c r="AY458" s="8" t="n">
        <x:v>149.5</x:v>
      </x:c>
      <x:c r="AZ458" s="8" t="n">
        <x:v>0.001</x:v>
      </x:c>
      <x:c r="BA458" s="8" t="n">
        <x:v>149.5</x:v>
      </x:c>
      <x:c r="BB458" s="8" t="n">
        <x:f>LET(m,MIN(IF(D458&gt;0,D458,1E+99),IF(F458&gt;0,F458,1E+99),IF(H458&gt;0,H458,1E+99),IF(J458&gt;0,J458,1E+99),IF(L458&gt;0,L458,1E+99),IF(N458&gt;0,N458,1E+99),IF(P458&gt;0,P458,1E+99),IF(R458&gt;0,R458,1E+99),IF(T458&gt;0,T458,1E+99),IF(V458&gt;0,V458,1E+99),IF(X458&gt;0,X458,1E+99),IF(Z458&gt;0,Z458,1E+99),IF(AB458&gt;0,AB458,1E+99),IF(AD458&gt;0,AD458,1E+99),IF(AF458&gt;0,AF458,1E+99),IF(AH458&gt;0,AH458,1E+99),IF(AJ458&gt;0,AJ458,1E+99),IF(AL458&gt;0,AL458,1E+99),IF(AN458&gt;0,AN458,1E+99),IF(AP458&gt;0,AP458,1E+99),IF(AR458&gt;0,AR458,1E+99),IF(AT458&gt;0,AT458,1E+99),IF(AV458&gt;0,AV458,1E+99),IF(AX458&gt;0,AX458,1E+99),IF(AZ458&gt;0,AZ458,1E+99)),IF(m=1E+99,"",m))</x:f>
        <x:v>0.001</x:v>
      </x:c>
      <x:c r="BC458" s="12" t="e">
        <x:f>IF(BB458="","",INDEX({"v1.4.20","v1.4.20","v1.4.21","v1.4.21","v1.4.23","v1.4.23","v1.4.26","v1.4.26","v1.4.26.1","v1.4.26.1","v1.4.27","v1.4.27","v1.4.29","v1.4.29","v1.4.30","v1.4.30","v1.4.31","v1.4.31","v1.4.33","v1.4.33","v1.4.35","v1.4.35.2","v1.5","v1.5.1","v1.5.1"},MATCH(BB458,CHOOSE({1,2,3,4,5,6,7,8,9,10,11,12,13,14,15,16,17,18,19,20,21,22,23,24,25},D458,F458,H458,J458,L458,N458,P458,R458,T458,V458,X458,Z458,AB458,AD458,AF458,AH458,AJ458,AL458,AN458,AP458,AR458,AT458,AV458,AX458,AZ458),0)))</x:f>
      </x:c>
      <x:c r="BD458" s="14" t="n">
        <x:f>LET(m,MIN(IF(E458&gt;0,E458,1E+99),IF(G458&gt;0,G458,1E+99),IF(I458&gt;0,I458,1E+99),IF(K458&gt;0,K458,1E+99),IF(M458&gt;0,M458,1E+99),IF(O458&gt;0,O458,1E+99),IF(Q458&gt;0,Q458,1E+99),IF(S458&gt;0,S458,1E+99),IF(U458&gt;0,U458,1E+99),IF(W458&gt;0,W458,1E+99),IF(Y458&gt;0,Y458,1E+99),IF(AA458&gt;0,AA458,1E+99),IF(AC458&gt;0,AC458,1E+99),IF(AE458&gt;0,AE458,1E+99),IF(AG458&gt;0,AG458,1E+99),IF(AI458&gt;0,AI458,1E+99),IF(AK458&gt;0,AK458,1E+99),IF(AM458&gt;0,AM458,1E+99),IF(AO458&gt;0,AO458,1E+99),IF(AQ458&gt;0,AQ458,1E+99),IF(AS458&gt;0,AS458,1E+99),IF(AU458&gt;0,AU458,1E+99),IF(AW458&gt;0,AW458,1E+99),IF(AY458&gt;0,AY458,1E+99),IF(BA458&gt;0,BA458,1E+99)),IF(m=1E+99,"",m))</x:f>
        <x:v>77.13</x:v>
      </x:c>
      <x:c r="BE458" s="16" t="str">
        <x:f>IF(BD458="","",INDEX({"v1.4.20","v1.4.20","v1.4.21","v1.4.21","v1.4.23","v1.4.23","v1.4.26","v1.4.26","v1.4.26.1","v1.4.26.1","v1.4.27","v1.4.27","v1.4.29","v1.4.29","v1.4.30","v1.4.30","v1.4.31","v1.4.31","v1.4.33","v1.4.33","v1.4.35","v1.4.35.2","v1.5","v1.5.1","v1.5.1"},MATCH(BD458,CHOOSE({1,2,3,4,5,6,7,8,9,10,11,12,13,14,15,16,17,18,19,20,21,22,23,24,25},E458,G458,I458,K458,M458,O458,Q458,S458,U458,W458,Y458,AA458,AC458,AE458,AG458,AI458,AK458,AM458,AO458,AQ458,AS458,AU458,AW458,AY458,BA458),0)))</x:f>
        <x:v>v1.4.20</x:v>
      </x:c>
      <x:c r="BF458" s="10" t="n">
        <x:f>IFERROR((AX458-BB458)/BB458,"")</x:f>
        <x:v>0</x:v>
      </x:c>
      <x:c r="BG458" s="10" t="n">
        <x:f>IFERROR((AY458-BD458)/BD458,"")</x:f>
        <x:v>0.9382860106314016</x:v>
      </x:c>
    </x:row>
    <x:row r="459">
      <x:c r="A459" t="str">
        <x:v>Demo P</x:v>
      </x:c>
      <x:c r="B459" t="str">
        <x:v>Process Demo P</x:v>
      </x:c>
      <x:c r="C459" t="str">
        <x:v>Rename processed Demo P sheet</x:v>
      </x:c>
      <x:c r="D459" s="8" t="n">
        <x:v>0.003</x:v>
      </x:c>
      <x:c r="E459" s="8" t="n">
        <x:v>77.133</x:v>
      </x:c>
      <x:c r="F459" s="8" t="n">
        <x:v>0.003</x:v>
      </x:c>
      <x:c r="G459" s="8" t="n">
        <x:v>77.133</x:v>
      </x:c>
      <x:c r="H459" s="8" t="n">
        <x:v>0.006</x:v>
      </x:c>
      <x:c r="I459" s="8" t="n">
        <x:v>120.708</x:v>
      </x:c>
      <x:c r="J459" s="8" t="n">
        <x:v>0.006</x:v>
      </x:c>
      <x:c r="K459" s="8" t="n">
        <x:v>120.708</x:v>
      </x:c>
      <x:c r="L459" s="8" t="n">
        <x:v>0.004</x:v>
      </x:c>
      <x:c r="M459" s="8" t="n">
        <x:v>153.104</x:v>
      </x:c>
      <x:c r="N459" s="8" t="n">
        <x:v>0.004</x:v>
      </x:c>
      <x:c r="O459" s="8" t="n">
        <x:v>153.104</x:v>
      </x:c>
      <x:c r="P459" s="8"/>
      <x:c r="Q459" s="8"/>
      <x:c r="R459" s="8"/>
      <x:c r="S459" s="8"/>
      <x:c r="T459" s="8" t="n">
        <x:v>0.005</x:v>
      </x:c>
      <x:c r="U459" s="8" t="n">
        <x:v>129.068</x:v>
      </x:c>
      <x:c r="V459" s="8" t="n">
        <x:v>0.005</x:v>
      </x:c>
      <x:c r="W459" s="8" t="n">
        <x:v>129.068</x:v>
      </x:c>
      <x:c r="X459" s="8"/>
      <x:c r="Y459" s="8"/>
      <x:c r="Z459" s="8"/>
      <x:c r="AA459" s="8"/>
      <x:c r="AB459" s="8"/>
      <x:c r="AC459" s="8"/>
      <x:c r="AD459" s="8"/>
      <x:c r="AE459" s="8"/>
      <x:c r="AF459" s="8" t="n">
        <x:v>0.004</x:v>
      </x:c>
      <x:c r="AG459" s="8" t="n">
        <x:v>117.229</x:v>
      </x:c>
      <x:c r="AH459" s="8" t="n">
        <x:v>0.004</x:v>
      </x:c>
      <x:c r="AI459" s="8" t="n">
        <x:v>117.229</x:v>
      </x:c>
      <x:c r="AJ459" s="8" t="n">
        <x:v>0.007</x:v>
      </x:c>
      <x:c r="AK459" s="8" t="n">
        <x:v>155.037</x:v>
      </x:c>
      <x:c r="AL459" s="8" t="n">
        <x:v>0.007</x:v>
      </x:c>
      <x:c r="AM459" s="8" t="n">
        <x:v>155.037</x:v>
      </x:c>
      <x:c r="AN459" s="8" t="n">
        <x:v>0.007</x:v>
      </x:c>
      <x:c r="AO459" s="8" t="n">
        <x:v>154.798</x:v>
      </x:c>
      <x:c r="AP459" s="8" t="n">
        <x:v>0.007</x:v>
      </x:c>
      <x:c r="AQ459" s="8" t="n">
        <x:v>154.798</x:v>
      </x:c>
      <x:c r="AR459" s="8"/>
      <x:c r="AS459" s="8"/>
      <x:c r="AT459" s="8" t="n">
        <x:v>0.006</x:v>
      </x:c>
      <x:c r="AU459" s="8" t="n">
        <x:v>140.901</x:v>
      </x:c>
      <x:c r="AV459" s="8" t="n">
        <x:v>0.004</x:v>
      </x:c>
      <x:c r="AW459" s="8" t="n">
        <x:v>197.38</x:v>
      </x:c>
      <x:c r="AX459" s="8" t="n">
        <x:v>0.004</x:v>
      </x:c>
      <x:c r="AY459" s="8" t="n">
        <x:v>149.504</x:v>
      </x:c>
      <x:c r="AZ459" s="8" t="n">
        <x:v>0.004</x:v>
      </x:c>
      <x:c r="BA459" s="8" t="n">
        <x:v>149.504</x:v>
      </x:c>
      <x:c r="BB459" s="8" t="n">
        <x:f>LET(m,MIN(IF(D459&gt;0,D459,1E+99),IF(F459&gt;0,F459,1E+99),IF(H459&gt;0,H459,1E+99),IF(J459&gt;0,J459,1E+99),IF(L459&gt;0,L459,1E+99),IF(N459&gt;0,N459,1E+99),IF(P459&gt;0,P459,1E+99),IF(R459&gt;0,R459,1E+99),IF(T459&gt;0,T459,1E+99),IF(V459&gt;0,V459,1E+99),IF(X459&gt;0,X459,1E+99),IF(Z459&gt;0,Z459,1E+99),IF(AB459&gt;0,AB459,1E+99),IF(AD459&gt;0,AD459,1E+99),IF(AF459&gt;0,AF459,1E+99),IF(AH459&gt;0,AH459,1E+99),IF(AJ459&gt;0,AJ459,1E+99),IF(AL459&gt;0,AL459,1E+99),IF(AN459&gt;0,AN459,1E+99),IF(AP459&gt;0,AP459,1E+99),IF(AR459&gt;0,AR459,1E+99),IF(AT459&gt;0,AT459,1E+99),IF(AV459&gt;0,AV459,1E+99),IF(AX459&gt;0,AX459,1E+99),IF(AZ459&gt;0,AZ459,1E+99)),IF(m=1E+99,"",m))</x:f>
        <x:v>0.003</x:v>
      </x:c>
      <x:c r="BC459" s="12" t="str">
        <x:f>IF(BB459="","",INDEX({"v1.4.20","v1.4.20","v1.4.21","v1.4.21","v1.4.23","v1.4.23","v1.4.26","v1.4.26","v1.4.26.1","v1.4.26.1","v1.4.27","v1.4.27","v1.4.29","v1.4.29","v1.4.30","v1.4.30","v1.4.31","v1.4.31","v1.4.33","v1.4.33","v1.4.35","v1.4.35.2","v1.5","v1.5.1","v1.5.1"},MATCH(BB459,CHOOSE({1,2,3,4,5,6,7,8,9,10,11,12,13,14,15,16,17,18,19,20,21,22,23,24,25},D459,F459,H459,J459,L459,N459,P459,R459,T459,V459,X459,Z459,AB459,AD459,AF459,AH459,AJ459,AL459,AN459,AP459,AR459,AT459,AV459,AX459,AZ459),0)))</x:f>
        <x:v>v1.4.20</x:v>
      </x:c>
      <x:c r="BD459" s="14" t="n">
        <x:f>LET(m,MIN(IF(E459&gt;0,E459,1E+99),IF(G459&gt;0,G459,1E+99),IF(I459&gt;0,I459,1E+99),IF(K459&gt;0,K459,1E+99),IF(M459&gt;0,M459,1E+99),IF(O459&gt;0,O459,1E+99),IF(Q459&gt;0,Q459,1E+99),IF(S459&gt;0,S459,1E+99),IF(U459&gt;0,U459,1E+99),IF(W459&gt;0,W459,1E+99),IF(Y459&gt;0,Y459,1E+99),IF(AA459&gt;0,AA459,1E+99),IF(AC459&gt;0,AC459,1E+99),IF(AE459&gt;0,AE459,1E+99),IF(AG459&gt;0,AG459,1E+99),IF(AI459&gt;0,AI459,1E+99),IF(AK459&gt;0,AK459,1E+99),IF(AM459&gt;0,AM459,1E+99),IF(AO459&gt;0,AO459,1E+99),IF(AQ459&gt;0,AQ459,1E+99),IF(AS459&gt;0,AS459,1E+99),IF(AU459&gt;0,AU459,1E+99),IF(AW459&gt;0,AW459,1E+99),IF(AY459&gt;0,AY459,1E+99),IF(BA459&gt;0,BA459,1E+99)),IF(m=1E+99,"",m))</x:f>
        <x:v>77.133</x:v>
      </x:c>
      <x:c r="BE459" s="16" t="str">
        <x:f>IF(BD459="","",INDEX({"v1.4.20","v1.4.20","v1.4.21","v1.4.21","v1.4.23","v1.4.23","v1.4.26","v1.4.26","v1.4.26.1","v1.4.26.1","v1.4.27","v1.4.27","v1.4.29","v1.4.29","v1.4.30","v1.4.30","v1.4.31","v1.4.31","v1.4.33","v1.4.33","v1.4.35","v1.4.35.2","v1.5","v1.5.1","v1.5.1"},MATCH(BD459,CHOOSE({1,2,3,4,5,6,7,8,9,10,11,12,13,14,15,16,17,18,19,20,21,22,23,24,25},E459,G459,I459,K459,M459,O459,Q459,S459,U459,W459,Y459,AA459,AC459,AE459,AG459,AI459,AK459,AM459,AO459,AQ459,AS459,AU459,AW459,AY459,BA459),0)))</x:f>
        <x:v>v1.4.20</x:v>
      </x:c>
      <x:c r="BF459" s="10" t="n">
        <x:f>IFERROR((AX459-BB459)/BB459,"")</x:f>
        <x:v>0.3333333333333333</x:v>
      </x:c>
      <x:c r="BG459" s="10" t="n">
        <x:f>IFERROR((AY459-BD459)/BD459,"")</x:f>
        <x:v>0.9382624816874748</x:v>
      </x:c>
    </x:row>
    <x:row r="460">
      <x:c r="A460" t="str">
        <x:v>Demo P</x:v>
      </x:c>
      <x:c r="B460" t="str">
        <x:v>Process Demo P</x:v>
      </x:c>
      <x:c r="C460" t="str">
        <x:v>Lock Demo P final row heights</x:v>
      </x:c>
      <x:c r="D460" s="8" t="n">
        <x:v>0.129</x:v>
      </x:c>
      <x:c r="E460" s="8" t="n">
        <x:v>77.262</x:v>
      </x:c>
      <x:c r="F460" s="8" t="n">
        <x:v>0.129</x:v>
      </x:c>
      <x:c r="G460" s="8" t="n">
        <x:v>77.262</x:v>
      </x:c>
      <x:c r="H460" s="8" t="n">
        <x:v>1.408</x:v>
      </x:c>
      <x:c r="I460" s="8" t="n">
        <x:v>122.116</x:v>
      </x:c>
      <x:c r="J460" s="8" t="n">
        <x:v>1.408</x:v>
      </x:c>
      <x:c r="K460" s="8" t="n">
        <x:v>122.116</x:v>
      </x:c>
      <x:c r="L460" s="8" t="n">
        <x:v>0.167</x:v>
      </x:c>
      <x:c r="M460" s="8" t="n">
        <x:v>153.271</x:v>
      </x:c>
      <x:c r="N460" s="8" t="n">
        <x:v>0.167</x:v>
      </x:c>
      <x:c r="O460" s="8" t="n">
        <x:v>153.271</x:v>
      </x:c>
      <x:c r="P460" s="8"/>
      <x:c r="Q460" s="8"/>
      <x:c r="R460" s="8"/>
      <x:c r="S460" s="8"/>
      <x:c r="T460" s="8" t="n">
        <x:v>0.267</x:v>
      </x:c>
      <x:c r="U460" s="8" t="n">
        <x:v>129.335</x:v>
      </x:c>
      <x:c r="V460" s="8" t="n">
        <x:v>0.267</x:v>
      </x:c>
      <x:c r="W460" s="8" t="n">
        <x:v>129.335</x:v>
      </x:c>
      <x:c r="X460" s="8"/>
      <x:c r="Y460" s="8"/>
      <x:c r="Z460" s="8"/>
      <x:c r="AA460" s="8"/>
      <x:c r="AB460" s="8"/>
      <x:c r="AC460" s="8"/>
      <x:c r="AD460" s="8"/>
      <x:c r="AE460" s="8"/>
      <x:c r="AF460" s="8" t="n">
        <x:v>0.123</x:v>
      </x:c>
      <x:c r="AG460" s="8" t="n">
        <x:v>117.352</x:v>
      </x:c>
      <x:c r="AH460" s="8" t="n">
        <x:v>0.123</x:v>
      </x:c>
      <x:c r="AI460" s="8" t="n">
        <x:v>117.352</x:v>
      </x:c>
      <x:c r="AJ460" s="8" t="n">
        <x:v>0.207</x:v>
      </x:c>
      <x:c r="AK460" s="8" t="n">
        <x:v>155.244</x:v>
      </x:c>
      <x:c r="AL460" s="8" t="n">
        <x:v>0.207</x:v>
      </x:c>
      <x:c r="AM460" s="8" t="n">
        <x:v>155.244</x:v>
      </x:c>
      <x:c r="AN460" s="8" t="n">
        <x:v>0.74</x:v>
      </x:c>
      <x:c r="AO460" s="8" t="n">
        <x:v>155.538</x:v>
      </x:c>
      <x:c r="AP460" s="8" t="n">
        <x:v>0.74</x:v>
      </x:c>
      <x:c r="AQ460" s="8" t="n">
        <x:v>155.538</x:v>
      </x:c>
      <x:c r="AR460" s="8"/>
      <x:c r="AS460" s="8"/>
      <x:c r="AT460" s="8" t="n">
        <x:v>0.195</x:v>
      </x:c>
      <x:c r="AU460" s="8" t="n">
        <x:v>141.096</x:v>
      </x:c>
      <x:c r="AV460" s="8" t="n">
        <x:v>0.51</x:v>
      </x:c>
      <x:c r="AW460" s="8" t="n">
        <x:v>197.89</x:v>
      </x:c>
      <x:c r="AX460" s="8" t="n">
        <x:v>0.194</x:v>
      </x:c>
      <x:c r="AY460" s="8" t="n">
        <x:v>149.698</x:v>
      </x:c>
      <x:c r="AZ460" s="8" t="n">
        <x:v>0.194</x:v>
      </x:c>
      <x:c r="BA460" s="8" t="n">
        <x:v>149.698</x:v>
      </x:c>
      <x:c r="BB460" s="8" t="n">
        <x:f>LET(m,MIN(IF(D460&gt;0,D460,1E+99),IF(F460&gt;0,F460,1E+99),IF(H460&gt;0,H460,1E+99),IF(J460&gt;0,J460,1E+99),IF(L460&gt;0,L460,1E+99),IF(N460&gt;0,N460,1E+99),IF(P460&gt;0,P460,1E+99),IF(R460&gt;0,R460,1E+99),IF(T460&gt;0,T460,1E+99),IF(V460&gt;0,V460,1E+99),IF(X460&gt;0,X460,1E+99),IF(Z460&gt;0,Z460,1E+99),IF(AB460&gt;0,AB460,1E+99),IF(AD460&gt;0,AD460,1E+99),IF(AF460&gt;0,AF460,1E+99),IF(AH460&gt;0,AH460,1E+99),IF(AJ460&gt;0,AJ460,1E+99),IF(AL460&gt;0,AL460,1E+99),IF(AN460&gt;0,AN460,1E+99),IF(AP460&gt;0,AP460,1E+99),IF(AR460&gt;0,AR460,1E+99),IF(AT460&gt;0,AT460,1E+99),IF(AV460&gt;0,AV460,1E+99),IF(AX460&gt;0,AX460,1E+99),IF(AZ460&gt;0,AZ460,1E+99)),IF(m=1E+99,"",m))</x:f>
        <x:v>0.123</x:v>
      </x:c>
      <x:c r="BC460" s="12" t="e">
        <x:f>IF(BB460="","",INDEX({"v1.4.20","v1.4.20","v1.4.21","v1.4.21","v1.4.23","v1.4.23","v1.4.26","v1.4.26","v1.4.26.1","v1.4.26.1","v1.4.27","v1.4.27","v1.4.29","v1.4.29","v1.4.30","v1.4.30","v1.4.31","v1.4.31","v1.4.33","v1.4.33","v1.4.35","v1.4.35.2","v1.5","v1.5.1","v1.5.1"},MATCH(BB460,CHOOSE({1,2,3,4,5,6,7,8,9,10,11,12,13,14,15,16,17,18,19,20,21,22,23,24,25},D460,F460,H460,J460,L460,N460,P460,R460,T460,V460,X460,Z460,AB460,AD460,AF460,AH460,AJ460,AL460,AN460,AP460,AR460,AT460,AV460,AX460,AZ460),0)))</x:f>
      </x:c>
      <x:c r="BD460" s="14" t="n">
        <x:f>LET(m,MIN(IF(E460&gt;0,E460,1E+99),IF(G460&gt;0,G460,1E+99),IF(I460&gt;0,I460,1E+99),IF(K460&gt;0,K460,1E+99),IF(M460&gt;0,M460,1E+99),IF(O460&gt;0,O460,1E+99),IF(Q460&gt;0,Q460,1E+99),IF(S460&gt;0,S460,1E+99),IF(U460&gt;0,U460,1E+99),IF(W460&gt;0,W460,1E+99),IF(Y460&gt;0,Y460,1E+99),IF(AA460&gt;0,AA460,1E+99),IF(AC460&gt;0,AC460,1E+99),IF(AE460&gt;0,AE460,1E+99),IF(AG460&gt;0,AG460,1E+99),IF(AI460&gt;0,AI460,1E+99),IF(AK460&gt;0,AK460,1E+99),IF(AM460&gt;0,AM460,1E+99),IF(AO460&gt;0,AO460,1E+99),IF(AQ460&gt;0,AQ460,1E+99),IF(AS460&gt;0,AS460,1E+99),IF(AU460&gt;0,AU460,1E+99),IF(AW460&gt;0,AW460,1E+99),IF(AY460&gt;0,AY460,1E+99),IF(BA460&gt;0,BA460,1E+99)),IF(m=1E+99,"",m))</x:f>
        <x:v>77.262</x:v>
      </x:c>
      <x:c r="BE460" s="16" t="str">
        <x:f>IF(BD460="","",INDEX({"v1.4.20","v1.4.20","v1.4.21","v1.4.21","v1.4.23","v1.4.23","v1.4.26","v1.4.26","v1.4.26.1","v1.4.26.1","v1.4.27","v1.4.27","v1.4.29","v1.4.29","v1.4.30","v1.4.30","v1.4.31","v1.4.31","v1.4.33","v1.4.33","v1.4.35","v1.4.35.2","v1.5","v1.5.1","v1.5.1"},MATCH(BD460,CHOOSE({1,2,3,4,5,6,7,8,9,10,11,12,13,14,15,16,17,18,19,20,21,22,23,24,25},E460,G460,I460,K460,M460,O460,Q460,S460,U460,W460,Y460,AA460,AC460,AE460,AG460,AI460,AK460,AM460,AO460,AQ460,AS460,AU460,AW460,AY460,BA460),0)))</x:f>
        <x:v>v1.4.20</x:v>
      </x:c>
      <x:c r="BF460" s="10" t="n">
        <x:f>IFERROR((AX460-BB460)/BB460,"")</x:f>
        <x:v>0.5772357723577236</x:v>
      </x:c>
      <x:c r="BG460" s="10" t="n">
        <x:f>IFERROR((AY460-BD460)/BD460,"")</x:f>
        <x:v>0.937537211048122</x:v>
      </x:c>
    </x:row>
    <x:row r="461">
      <x:c r="A461" t="str">
        <x:v>Demo P</x:v>
      </x:c>
      <x:c r="B461" t="str">
        <x:v>Process Demo P</x:v>
      </x:c>
      <x:c r="C461" t="str">
        <x:v>Demo P Working Source - build Banner Summary in memory</x:v>
      </x:c>
      <x:c r="D461" s="8" t="n">
        <x:v>0.003</x:v>
      </x:c>
      <x:c r="E461" s="8" t="n">
        <x:v>42.614</x:v>
      </x:c>
      <x:c r="F461" s="8" t="n">
        <x:v>0.003</x:v>
      </x:c>
      <x:c r="G461" s="8" t="n">
        <x:v>42.614</x:v>
      </x:c>
      <x:c r="H461" s="8" t="n">
        <x:v>0.003</x:v>
      </x:c>
      <x:c r="I461" s="8" t="n">
        <x:v>77.573</x:v>
      </x:c>
      <x:c r="J461" s="8" t="n">
        <x:v>0.003</x:v>
      </x:c>
      <x:c r="K461" s="8" t="n">
        <x:v>77.573</x:v>
      </x:c>
      <x:c r="L461" s="8"/>
      <x:c r="M461" s="8"/>
      <x:c r="N461" s="8"/>
      <x:c r="O461" s="8"/>
      <x:c r="P461" s="8"/>
      <x:c r="Q461" s="8"/>
      <x:c r="R461" s="8"/>
      <x:c r="S461" s="8"/>
      <x:c r="T461" s="8"/>
      <x:c r="U461" s="8"/>
      <x:c r="V461" s="8"/>
      <x:c r="W461" s="8"/>
      <x:c r="X461" s="8"/>
      <x:c r="Y461" s="8"/>
      <x:c r="Z461" s="8"/>
      <x:c r="AA461" s="8"/>
      <x:c r="AB461" s="8"/>
      <x:c r="AC461" s="8"/>
      <x:c r="AD461" s="8"/>
      <x:c r="AE461" s="8"/>
      <x:c r="AF461" s="8"/>
      <x:c r="AG461" s="8"/>
      <x:c r="AH461" s="8"/>
      <x:c r="AI461" s="8"/>
      <x:c r="AJ461" s="8"/>
      <x:c r="AK461" s="8"/>
      <x:c r="AL461" s="8"/>
      <x:c r="AM461" s="8"/>
      <x:c r="AN461" s="8"/>
      <x:c r="AO461" s="8"/>
      <x:c r="AP461" s="8"/>
      <x:c r="AQ461" s="8"/>
      <x:c r="AR461" s="8"/>
      <x:c r="AS461" s="8"/>
      <x:c r="AT461" s="8"/>
      <x:c r="AU461" s="8"/>
      <x:c r="AV461" s="8"/>
      <x:c r="AW461" s="8"/>
      <x:c r="AX461" s="8"/>
      <x:c r="AY461" s="8"/>
      <x:c r="AZ461" s="8"/>
      <x:c r="BA461" s="8"/>
      <x:c r="BB461" s="8" t="n">
        <x:f>LET(m,MIN(IF(D461&gt;0,D461,1E+99),IF(F461&gt;0,F461,1E+99),IF(H461&gt;0,H461,1E+99),IF(J461&gt;0,J461,1E+99),IF(L461&gt;0,L461,1E+99),IF(N461&gt;0,N461,1E+99),IF(P461&gt;0,P461,1E+99),IF(R461&gt;0,R461,1E+99),IF(T461&gt;0,T461,1E+99),IF(V461&gt;0,V461,1E+99),IF(X461&gt;0,X461,1E+99),IF(Z461&gt;0,Z461,1E+99),IF(AB461&gt;0,AB461,1E+99),IF(AD461&gt;0,AD461,1E+99),IF(AF461&gt;0,AF461,1E+99),IF(AH461&gt;0,AH461,1E+99),IF(AJ461&gt;0,AJ461,1E+99),IF(AL461&gt;0,AL461,1E+99),IF(AN461&gt;0,AN461,1E+99),IF(AP461&gt;0,AP461,1E+99),IF(AR461&gt;0,AR461,1E+99),IF(AT461&gt;0,AT461,1E+99),IF(AV461&gt;0,AV461,1E+99),IF(AX461&gt;0,AX461,1E+99),IF(AZ461&gt;0,AZ461,1E+99)),IF(m=1E+99,"",m))</x:f>
        <x:v>0.003</x:v>
      </x:c>
      <x:c r="BC461" s="12" t="str">
        <x:f>IF(BB461="","",INDEX({"v1.4.20","v1.4.20","v1.4.21","v1.4.21","v1.4.23","v1.4.23","v1.4.26","v1.4.26","v1.4.26.1","v1.4.26.1","v1.4.27","v1.4.27","v1.4.29","v1.4.29","v1.4.30","v1.4.30","v1.4.31","v1.4.31","v1.4.33","v1.4.33","v1.4.35","v1.4.35.2","v1.5","v1.5.1","v1.5.1"},MATCH(BB461,CHOOSE({1,2,3,4,5,6,7,8,9,10,11,12,13,14,15,16,17,18,19,20,21,22,23,24,25},D461,F461,H461,J461,L461,N461,P461,R461,T461,V461,X461,Z461,AB461,AD461,AF461,AH461,AJ461,AL461,AN461,AP461,AR461,AT461,AV461,AX461,AZ461),0)))</x:f>
        <x:v>v1.4.20</x:v>
      </x:c>
      <x:c r="BD461" s="14" t="n">
        <x:f>LET(m,MIN(IF(E461&gt;0,E461,1E+99),IF(G461&gt;0,G461,1E+99),IF(I461&gt;0,I461,1E+99),IF(K461&gt;0,K461,1E+99),IF(M461&gt;0,M461,1E+99),IF(O461&gt;0,O461,1E+99),IF(Q461&gt;0,Q461,1E+99),IF(S461&gt;0,S461,1E+99),IF(U461&gt;0,U461,1E+99),IF(W461&gt;0,W461,1E+99),IF(Y461&gt;0,Y461,1E+99),IF(AA461&gt;0,AA461,1E+99),IF(AC461&gt;0,AC461,1E+99),IF(AE461&gt;0,AE461,1E+99),IF(AG461&gt;0,AG461,1E+99),IF(AI461&gt;0,AI461,1E+99),IF(AK461&gt;0,AK461,1E+99),IF(AM461&gt;0,AM461,1E+99),IF(AO461&gt;0,AO461,1E+99),IF(AQ461&gt;0,AQ461,1E+99),IF(AS461&gt;0,AS461,1E+99),IF(AU461&gt;0,AU461,1E+99),IF(AW461&gt;0,AW461,1E+99),IF(AY461&gt;0,AY461,1E+99),IF(BA461&gt;0,BA461,1E+99)),IF(m=1E+99,"",m))</x:f>
        <x:v>42.614</x:v>
      </x:c>
      <x:c r="BE461" s="16" t="str">
        <x:f>IF(BD461="","",INDEX({"v1.4.20","v1.4.20","v1.4.21","v1.4.21","v1.4.23","v1.4.23","v1.4.26","v1.4.26","v1.4.26.1","v1.4.26.1","v1.4.27","v1.4.27","v1.4.29","v1.4.29","v1.4.30","v1.4.30","v1.4.31","v1.4.31","v1.4.33","v1.4.33","v1.4.35","v1.4.35.2","v1.5","v1.5.1","v1.5.1"},MATCH(BD461,CHOOSE({1,2,3,4,5,6,7,8,9,10,11,12,13,14,15,16,17,18,19,20,21,22,23,24,25},E461,G461,I461,K461,M461,O461,Q461,S461,U461,W461,Y461,AA461,AC461,AE461,AG461,AI461,AK461,AM461,AO461,AQ461,AS461,AU461,AW461,AY461,BA461),0)))</x:f>
        <x:v>v1.4.20</x:v>
      </x:c>
      <x:c r="BF461" s="10" t="n">
        <x:f>IFERROR((AX461-BB461)/BB461,"")</x:f>
        <x:v>-1</x:v>
      </x:c>
      <x:c r="BG461" s="10" t="n">
        <x:f>IFERROR((AY461-BD461)/BD461,"")</x:f>
        <x:v>-1</x:v>
      </x:c>
    </x:row>
    <x:row r="462">
      <x:c r="A462" t="str">
        <x:v>Demo P</x:v>
      </x:c>
      <x:c r="B462" t="str">
        <x:v>Process Demo P</x:v>
      </x:c>
      <x:c r="C462" t="str">
        <x:v>Demo P Working Source - combine Notes Summary in memory</x:v>
      </x:c>
      <x:c r="D462" s="8" t="n">
        <x:v>0.003</x:v>
      </x:c>
      <x:c r="E462" s="8" t="n">
        <x:v>42.676</x:v>
      </x:c>
      <x:c r="F462" s="8" t="n">
        <x:v>0.003</x:v>
      </x:c>
      <x:c r="G462" s="8" t="n">
        <x:v>42.676</x:v>
      </x:c>
      <x:c r="H462" s="8" t="n">
        <x:v>0.003</x:v>
      </x:c>
      <x:c r="I462" s="8" t="n">
        <x:v>77.613</x:v>
      </x:c>
      <x:c r="J462" s="8" t="n">
        <x:v>0.003</x:v>
      </x:c>
      <x:c r="K462" s="8" t="n">
        <x:v>77.613</x:v>
      </x:c>
      <x:c r="L462" s="8"/>
      <x:c r="M462" s="8"/>
      <x:c r="N462" s="8"/>
      <x:c r="O462" s="8"/>
      <x:c r="P462" s="8"/>
      <x:c r="Q462" s="8"/>
      <x:c r="R462" s="8"/>
      <x:c r="S462" s="8"/>
      <x:c r="T462" s="8"/>
      <x:c r="U462" s="8"/>
      <x:c r="V462" s="8"/>
      <x:c r="W462" s="8"/>
      <x:c r="X462" s="8"/>
      <x:c r="Y462" s="8"/>
      <x:c r="Z462" s="8"/>
      <x:c r="AA462" s="8"/>
      <x:c r="AB462" s="8"/>
      <x:c r="AC462" s="8"/>
      <x:c r="AD462" s="8"/>
      <x:c r="AE462" s="8"/>
      <x:c r="AF462" s="8"/>
      <x:c r="AG462" s="8"/>
      <x:c r="AH462" s="8"/>
      <x:c r="AI462" s="8"/>
      <x:c r="AJ462" s="8"/>
      <x:c r="AK462" s="8"/>
      <x:c r="AL462" s="8"/>
      <x:c r="AM462" s="8"/>
      <x:c r="AN462" s="8"/>
      <x:c r="AO462" s="8"/>
      <x:c r="AP462" s="8"/>
      <x:c r="AQ462" s="8"/>
      <x:c r="AR462" s="8"/>
      <x:c r="AS462" s="8"/>
      <x:c r="AT462" s="8"/>
      <x:c r="AU462" s="8"/>
      <x:c r="AV462" s="8"/>
      <x:c r="AW462" s="8"/>
      <x:c r="AX462" s="8"/>
      <x:c r="AY462" s="8"/>
      <x:c r="AZ462" s="8"/>
      <x:c r="BA462" s="8"/>
      <x:c r="BB462" s="8" t="n">
        <x:f>LET(m,MIN(IF(D462&gt;0,D462,1E+99),IF(F462&gt;0,F462,1E+99),IF(H462&gt;0,H462,1E+99),IF(J462&gt;0,J462,1E+99),IF(L462&gt;0,L462,1E+99),IF(N462&gt;0,N462,1E+99),IF(P462&gt;0,P462,1E+99),IF(R462&gt;0,R462,1E+99),IF(T462&gt;0,T462,1E+99),IF(V462&gt;0,V462,1E+99),IF(X462&gt;0,X462,1E+99),IF(Z462&gt;0,Z462,1E+99),IF(AB462&gt;0,AB462,1E+99),IF(AD462&gt;0,AD462,1E+99),IF(AF462&gt;0,AF462,1E+99),IF(AH462&gt;0,AH462,1E+99),IF(AJ462&gt;0,AJ462,1E+99),IF(AL462&gt;0,AL462,1E+99),IF(AN462&gt;0,AN462,1E+99),IF(AP462&gt;0,AP462,1E+99),IF(AR462&gt;0,AR462,1E+99),IF(AT462&gt;0,AT462,1E+99),IF(AV462&gt;0,AV462,1E+99),IF(AX462&gt;0,AX462,1E+99),IF(AZ462&gt;0,AZ462,1E+99)),IF(m=1E+99,"",m))</x:f>
        <x:v>0.003</x:v>
      </x:c>
      <x:c r="BC462" s="12" t="str">
        <x:f>IF(BB462="","",INDEX({"v1.4.20","v1.4.20","v1.4.21","v1.4.21","v1.4.23","v1.4.23","v1.4.26","v1.4.26","v1.4.26.1","v1.4.26.1","v1.4.27","v1.4.27","v1.4.29","v1.4.29","v1.4.30","v1.4.30","v1.4.31","v1.4.31","v1.4.33","v1.4.33","v1.4.35","v1.4.35.2","v1.5","v1.5.1","v1.5.1"},MATCH(BB462,CHOOSE({1,2,3,4,5,6,7,8,9,10,11,12,13,14,15,16,17,18,19,20,21,22,23,24,25},D462,F462,H462,J462,L462,N462,P462,R462,T462,V462,X462,Z462,AB462,AD462,AF462,AH462,AJ462,AL462,AN462,AP462,AR462,AT462,AV462,AX462,AZ462),0)))</x:f>
        <x:v>v1.4.20</x:v>
      </x:c>
      <x:c r="BD462" s="14" t="n">
        <x:f>LET(m,MIN(IF(E462&gt;0,E462,1E+99),IF(G462&gt;0,G462,1E+99),IF(I462&gt;0,I462,1E+99),IF(K462&gt;0,K462,1E+99),IF(M462&gt;0,M462,1E+99),IF(O462&gt;0,O462,1E+99),IF(Q462&gt;0,Q462,1E+99),IF(S462&gt;0,S462,1E+99),IF(U462&gt;0,U462,1E+99),IF(W462&gt;0,W462,1E+99),IF(Y462&gt;0,Y462,1E+99),IF(AA462&gt;0,AA462,1E+99),IF(AC462&gt;0,AC462,1E+99),IF(AE462&gt;0,AE462,1E+99),IF(AG462&gt;0,AG462,1E+99),IF(AI462&gt;0,AI462,1E+99),IF(AK462&gt;0,AK462,1E+99),IF(AM462&gt;0,AM462,1E+99),IF(AO462&gt;0,AO462,1E+99),IF(AQ462&gt;0,AQ462,1E+99),IF(AS462&gt;0,AS462,1E+99),IF(AU462&gt;0,AU462,1E+99),IF(AW462&gt;0,AW462,1E+99),IF(AY462&gt;0,AY462,1E+99),IF(BA462&gt;0,BA462,1E+99)),IF(m=1E+99,"",m))</x:f>
        <x:v>42.676</x:v>
      </x:c>
      <x:c r="BE462" s="16" t="str">
        <x:f>IF(BD462="","",INDEX({"v1.4.20","v1.4.20","v1.4.21","v1.4.21","v1.4.23","v1.4.23","v1.4.26","v1.4.26","v1.4.26.1","v1.4.26.1","v1.4.27","v1.4.27","v1.4.29","v1.4.29","v1.4.30","v1.4.30","v1.4.31","v1.4.31","v1.4.33","v1.4.33","v1.4.35","v1.4.35.2","v1.5","v1.5.1","v1.5.1"},MATCH(BD462,CHOOSE({1,2,3,4,5,6,7,8,9,10,11,12,13,14,15,16,17,18,19,20,21,22,23,24,25},E462,G462,I462,K462,M462,O462,Q462,S462,U462,W462,Y462,AA462,AC462,AE462,AG462,AI462,AK462,AM462,AO462,AQ462,AS462,AU462,AW462,AY462,BA462),0)))</x:f>
        <x:v>v1.4.20</x:v>
      </x:c>
      <x:c r="BF462" s="10" t="n">
        <x:f>IFERROR((AX462-BB462)/BB462,"")</x:f>
        <x:v>-1</x:v>
      </x:c>
      <x:c r="BG462" s="10" t="n">
        <x:f>IFERROR((AY462-BD462)/BD462,"")</x:f>
        <x:v>-1</x:v>
      </x:c>
    </x:row>
    <x:row r="463">
      <x:c r="A463" t="str">
        <x:v>Demo P</x:v>
      </x:c>
      <x:c r="B463" t="str">
        <x:v>Process Demo P</x:v>
      </x:c>
      <x:c r="C463" t="str">
        <x:v>Demo P Working Source - combine address fields in memory</x:v>
      </x:c>
      <x:c r="D463" s="8" t="n">
        <x:v>0.002</x:v>
      </x:c>
      <x:c r="E463" s="8" t="n">
        <x:v>42.616</x:v>
      </x:c>
      <x:c r="F463" s="8" t="n">
        <x:v>0.002</x:v>
      </x:c>
      <x:c r="G463" s="8" t="n">
        <x:v>42.616</x:v>
      </x:c>
      <x:c r="H463" s="8" t="n">
        <x:v>0.003</x:v>
      </x:c>
      <x:c r="I463" s="8" t="n">
        <x:v>77.576</x:v>
      </x:c>
      <x:c r="J463" s="8" t="n">
        <x:v>0.003</x:v>
      </x:c>
      <x:c r="K463" s="8" t="n">
        <x:v>77.576</x:v>
      </x:c>
      <x:c r="L463" s="8"/>
      <x:c r="M463" s="8"/>
      <x:c r="N463" s="8"/>
      <x:c r="O463" s="8"/>
      <x:c r="P463" s="8"/>
      <x:c r="Q463" s="8"/>
      <x:c r="R463" s="8"/>
      <x:c r="S463" s="8"/>
      <x:c r="T463" s="8"/>
      <x:c r="U463" s="8"/>
      <x:c r="V463" s="8"/>
      <x:c r="W463" s="8"/>
      <x:c r="X463" s="8"/>
      <x:c r="Y463" s="8"/>
      <x:c r="Z463" s="8"/>
      <x:c r="AA463" s="8"/>
      <x:c r="AB463" s="8"/>
      <x:c r="AC463" s="8"/>
      <x:c r="AD463" s="8"/>
      <x:c r="AE463" s="8"/>
      <x:c r="AF463" s="8"/>
      <x:c r="AG463" s="8"/>
      <x:c r="AH463" s="8"/>
      <x:c r="AI463" s="8"/>
      <x:c r="AJ463" s="8"/>
      <x:c r="AK463" s="8"/>
      <x:c r="AL463" s="8"/>
      <x:c r="AM463" s="8"/>
      <x:c r="AN463" s="8"/>
      <x:c r="AO463" s="8"/>
      <x:c r="AP463" s="8"/>
      <x:c r="AQ463" s="8"/>
      <x:c r="AR463" s="8"/>
      <x:c r="AS463" s="8"/>
      <x:c r="AT463" s="8"/>
      <x:c r="AU463" s="8"/>
      <x:c r="AV463" s="8"/>
      <x:c r="AW463" s="8"/>
      <x:c r="AX463" s="8"/>
      <x:c r="AY463" s="8"/>
      <x:c r="AZ463" s="8"/>
      <x:c r="BA463" s="8"/>
      <x:c r="BB463" s="8" t="n">
        <x:f>LET(m,MIN(IF(D463&gt;0,D463,1E+99),IF(F463&gt;0,F463,1E+99),IF(H463&gt;0,H463,1E+99),IF(J463&gt;0,J463,1E+99),IF(L463&gt;0,L463,1E+99),IF(N463&gt;0,N463,1E+99),IF(P463&gt;0,P463,1E+99),IF(R463&gt;0,R463,1E+99),IF(T463&gt;0,T463,1E+99),IF(V463&gt;0,V463,1E+99),IF(X463&gt;0,X463,1E+99),IF(Z463&gt;0,Z463,1E+99),IF(AB463&gt;0,AB463,1E+99),IF(AD463&gt;0,AD463,1E+99),IF(AF463&gt;0,AF463,1E+99),IF(AH463&gt;0,AH463,1E+99),IF(AJ463&gt;0,AJ463,1E+99),IF(AL463&gt;0,AL463,1E+99),IF(AN463&gt;0,AN463,1E+99),IF(AP463&gt;0,AP463,1E+99),IF(AR463&gt;0,AR463,1E+99),IF(AT463&gt;0,AT463,1E+99),IF(AV463&gt;0,AV463,1E+99),IF(AX463&gt;0,AX463,1E+99),IF(AZ463&gt;0,AZ463,1E+99)),IF(m=1E+99,"",m))</x:f>
        <x:v>0.002</x:v>
      </x:c>
      <x:c r="BC463" s="12" t="str">
        <x:f>IF(BB463="","",INDEX({"v1.4.20","v1.4.20","v1.4.21","v1.4.21","v1.4.23","v1.4.23","v1.4.26","v1.4.26","v1.4.26.1","v1.4.26.1","v1.4.27","v1.4.27","v1.4.29","v1.4.29","v1.4.30","v1.4.30","v1.4.31","v1.4.31","v1.4.33","v1.4.33","v1.4.35","v1.4.35.2","v1.5","v1.5.1","v1.5.1"},MATCH(BB463,CHOOSE({1,2,3,4,5,6,7,8,9,10,11,12,13,14,15,16,17,18,19,20,21,22,23,24,25},D463,F463,H463,J463,L463,N463,P463,R463,T463,V463,X463,Z463,AB463,AD463,AF463,AH463,AJ463,AL463,AN463,AP463,AR463,AT463,AV463,AX463,AZ463),0)))</x:f>
        <x:v>v1.4.20</x:v>
      </x:c>
      <x:c r="BD463" s="14" t="n">
        <x:f>LET(m,MIN(IF(E463&gt;0,E463,1E+99),IF(G463&gt;0,G463,1E+99),IF(I463&gt;0,I463,1E+99),IF(K463&gt;0,K463,1E+99),IF(M463&gt;0,M463,1E+99),IF(O463&gt;0,O463,1E+99),IF(Q463&gt;0,Q463,1E+99),IF(S463&gt;0,S463,1E+99),IF(U463&gt;0,U463,1E+99),IF(W463&gt;0,W463,1E+99),IF(Y463&gt;0,Y463,1E+99),IF(AA463&gt;0,AA463,1E+99),IF(AC463&gt;0,AC463,1E+99),IF(AE463&gt;0,AE463,1E+99),IF(AG463&gt;0,AG463,1E+99),IF(AI463&gt;0,AI463,1E+99),IF(AK463&gt;0,AK463,1E+99),IF(AM463&gt;0,AM463,1E+99),IF(AO463&gt;0,AO463,1E+99),IF(AQ463&gt;0,AQ463,1E+99),IF(AS463&gt;0,AS463,1E+99),IF(AU463&gt;0,AU463,1E+99),IF(AW463&gt;0,AW463,1E+99),IF(AY463&gt;0,AY463,1E+99),IF(BA463&gt;0,BA463,1E+99)),IF(m=1E+99,"",m))</x:f>
        <x:v>42.616</x:v>
      </x:c>
      <x:c r="BE463" s="16" t="str">
        <x:f>IF(BD463="","",INDEX({"v1.4.20","v1.4.20","v1.4.21","v1.4.21","v1.4.23","v1.4.23","v1.4.26","v1.4.26","v1.4.26.1","v1.4.26.1","v1.4.27","v1.4.27","v1.4.29","v1.4.29","v1.4.30","v1.4.30","v1.4.31","v1.4.31","v1.4.33","v1.4.33","v1.4.35","v1.4.35.2","v1.5","v1.5.1","v1.5.1"},MATCH(BD463,CHOOSE({1,2,3,4,5,6,7,8,9,10,11,12,13,14,15,16,17,18,19,20,21,22,23,24,25},E463,G463,I463,K463,M463,O463,Q463,S463,U463,W463,Y463,AA463,AC463,AE463,AG463,AI463,AK463,AM463,AO463,AQ463,AS463,AU463,AW463,AY463,BA463),0)))</x:f>
        <x:v>v1.4.20</x:v>
      </x:c>
      <x:c r="BF463" s="10" t="n">
        <x:f>IFERROR((AX463-BB463)/BB463,"")</x:f>
        <x:v>-1</x:v>
      </x:c>
      <x:c r="BG463" s="10" t="n">
        <x:f>IFERROR((AY463-BD463)/BD463,"")</x:f>
        <x:v>-1</x:v>
      </x:c>
    </x:row>
    <x:row r="464">
      <x:c r="A464" t="str">
        <x:v>Demo P</x:v>
      </x:c>
      <x:c r="B464" t="str">
        <x:v>Process Demo P</x:v>
      </x:c>
      <x:c r="C464" t="str">
        <x:v>Demo P Working Source - populate Demo P update tracking columns</x:v>
      </x:c>
      <x:c r="D464" s="8"/>
      <x:c r="E464" s="8"/>
      <x:c r="F464" s="8"/>
      <x:c r="G464" s="8"/>
      <x:c r="H464" s="8" t="n">
        <x:v>70.84</x:v>
      </x:c>
      <x:c r="I464" s="8" t="n">
        <x:v>76.761</x:v>
      </x:c>
      <x:c r="J464" s="8" t="n">
        <x:v>70.84</x:v>
      </x:c>
      <x:c r="K464" s="8" t="n">
        <x:v>76.761</x:v>
      </x:c>
      <x:c r="L464" s="8" t="n">
        <x:v>49.501</x:v>
      </x:c>
      <x:c r="M464" s="8" t="n">
        <x:v>57.633</x:v>
      </x:c>
      <x:c r="N464" s="8" t="n">
        <x:v>49.501</x:v>
      </x:c>
      <x:c r="O464" s="8" t="n">
        <x:v>57.633</x:v>
      </x:c>
      <x:c r="P464" s="8"/>
      <x:c r="Q464" s="8"/>
      <x:c r="R464" s="8"/>
      <x:c r="S464" s="8"/>
      <x:c r="T464" s="8" t="n">
        <x:v>57.694</x:v>
      </x:c>
      <x:c r="U464" s="8" t="n">
        <x:v>62.728</x:v>
      </x:c>
      <x:c r="V464" s="8" t="n">
        <x:v>57.694</x:v>
      </x:c>
      <x:c r="W464" s="8" t="n">
        <x:v>62.728</x:v>
      </x:c>
      <x:c r="X464" s="8"/>
      <x:c r="Y464" s="8"/>
      <x:c r="Z464" s="8"/>
      <x:c r="AA464" s="8"/>
      <x:c r="AB464" s="8"/>
      <x:c r="AC464" s="8"/>
      <x:c r="AD464" s="8"/>
      <x:c r="AE464" s="8"/>
      <x:c r="AF464" s="8" t="n">
        <x:v>53.592</x:v>
      </x:c>
      <x:c r="AG464" s="8" t="n">
        <x:v>59.523</x:v>
      </x:c>
      <x:c r="AH464" s="8" t="n">
        <x:v>53.592</x:v>
      </x:c>
      <x:c r="AI464" s="8" t="n">
        <x:v>59.523</x:v>
      </x:c>
      <x:c r="AJ464" s="8" t="n">
        <x:v>72.426</x:v>
      </x:c>
      <x:c r="AK464" s="8" t="n">
        <x:v>78.856</x:v>
      </x:c>
      <x:c r="AL464" s="8" t="n">
        <x:v>72.426</x:v>
      </x:c>
      <x:c r="AM464" s="8" t="n">
        <x:v>78.856</x:v>
      </x:c>
      <x:c r="AN464" s="8" t="n">
        <x:v>82.833</x:v>
      </x:c>
      <x:c r="AO464" s="8" t="n">
        <x:v>89.678</x:v>
      </x:c>
      <x:c r="AP464" s="8" t="n">
        <x:v>82.833</x:v>
      </x:c>
      <x:c r="AQ464" s="8" t="n">
        <x:v>89.678</x:v>
      </x:c>
      <x:c r="AR464" s="8"/>
      <x:c r="AS464" s="8"/>
      <x:c r="AT464" s="8" t="n">
        <x:v>73.41</x:v>
      </x:c>
      <x:c r="AU464" s="8" t="n">
        <x:v>77.658</x:v>
      </x:c>
      <x:c r="AV464" s="8"/>
      <x:c r="AW464" s="8"/>
      <x:c r="AX464" s="8"/>
      <x:c r="AY464" s="8"/>
      <x:c r="AZ464" s="8"/>
      <x:c r="BA464" s="8"/>
      <x:c r="BB464" s="8" t="n">
        <x:f>LET(m,MIN(IF(D464&gt;0,D464,1E+99),IF(F464&gt;0,F464,1E+99),IF(H464&gt;0,H464,1E+99),IF(J464&gt;0,J464,1E+99),IF(L464&gt;0,L464,1E+99),IF(N464&gt;0,N464,1E+99),IF(P464&gt;0,P464,1E+99),IF(R464&gt;0,R464,1E+99),IF(T464&gt;0,T464,1E+99),IF(V464&gt;0,V464,1E+99),IF(X464&gt;0,X464,1E+99),IF(Z464&gt;0,Z464,1E+99),IF(AB464&gt;0,AB464,1E+99),IF(AD464&gt;0,AD464,1E+99),IF(AF464&gt;0,AF464,1E+99),IF(AH464&gt;0,AH464,1E+99),IF(AJ464&gt;0,AJ464,1E+99),IF(AL464&gt;0,AL464,1E+99),IF(AN464&gt;0,AN464,1E+99),IF(AP464&gt;0,AP464,1E+99),IF(AR464&gt;0,AR464,1E+99),IF(AT464&gt;0,AT464,1E+99),IF(AV464&gt;0,AV464,1E+99),IF(AX464&gt;0,AX464,1E+99),IF(AZ464&gt;0,AZ464,1E+99)),IF(m=1E+99,"",m))</x:f>
        <x:v>49.501</x:v>
      </x:c>
      <x:c r="BC464" s="12" t="e">
        <x:f>IF(BB464="","",INDEX({"v1.4.20","v1.4.20","v1.4.21","v1.4.21","v1.4.23","v1.4.23","v1.4.26","v1.4.26","v1.4.26.1","v1.4.26.1","v1.4.27","v1.4.27","v1.4.29","v1.4.29","v1.4.30","v1.4.30","v1.4.31","v1.4.31","v1.4.33","v1.4.33","v1.4.35","v1.4.35.2","v1.5","v1.5.1","v1.5.1"},MATCH(BB464,CHOOSE({1,2,3,4,5,6,7,8,9,10,11,12,13,14,15,16,17,18,19,20,21,22,23,24,25},D464,F464,H464,J464,L464,N464,P464,R464,T464,V464,X464,Z464,AB464,AD464,AF464,AH464,AJ464,AL464,AN464,AP464,AR464,AT464,AV464,AX464,AZ464),0)))</x:f>
      </x:c>
      <x:c r="BD464" s="14" t="n">
        <x:f>LET(m,MIN(IF(E464&gt;0,E464,1E+99),IF(G464&gt;0,G464,1E+99),IF(I464&gt;0,I464,1E+99),IF(K464&gt;0,K464,1E+99),IF(M464&gt;0,M464,1E+99),IF(O464&gt;0,O464,1E+99),IF(Q464&gt;0,Q464,1E+99),IF(S464&gt;0,S464,1E+99),IF(U464&gt;0,U464,1E+99),IF(W464&gt;0,W464,1E+99),IF(Y464&gt;0,Y464,1E+99),IF(AA464&gt;0,AA464,1E+99),IF(AC464&gt;0,AC464,1E+99),IF(AE464&gt;0,AE464,1E+99),IF(AG464&gt;0,AG464,1E+99),IF(AI464&gt;0,AI464,1E+99),IF(AK464&gt;0,AK464,1E+99),IF(AM464&gt;0,AM464,1E+99),IF(AO464&gt;0,AO464,1E+99),IF(AQ464&gt;0,AQ464,1E+99),IF(AS464&gt;0,AS464,1E+99),IF(AU464&gt;0,AU464,1E+99),IF(AW464&gt;0,AW464,1E+99),IF(AY464&gt;0,AY464,1E+99),IF(BA464&gt;0,BA464,1E+99)),IF(m=1E+99,"",m))</x:f>
        <x:v>57.633</x:v>
      </x:c>
      <x:c r="BE464" s="16" t="e">
        <x:f>IF(BD464="","",INDEX({"v1.4.20","v1.4.20","v1.4.21","v1.4.21","v1.4.23","v1.4.23","v1.4.26","v1.4.26","v1.4.26.1","v1.4.26.1","v1.4.27","v1.4.27","v1.4.29","v1.4.29","v1.4.30","v1.4.30","v1.4.31","v1.4.31","v1.4.33","v1.4.33","v1.4.35","v1.4.35.2","v1.5","v1.5.1","v1.5.1"},MATCH(BD464,CHOOSE({1,2,3,4,5,6,7,8,9,10,11,12,13,14,15,16,17,18,19,20,21,22,23,24,25},E464,G464,I464,K464,M464,O464,Q464,S464,U464,W464,Y464,AA464,AC464,AE464,AG464,AI464,AK464,AM464,AO464,AQ464,AS464,AU464,AW464,AY464,BA464),0)))</x:f>
      </x:c>
      <x:c r="BF464" s="10" t="n">
        <x:f>IFERROR((AX464-BB464)/BB464,"")</x:f>
        <x:v>-1</x:v>
      </x:c>
      <x:c r="BG464" s="10" t="n">
        <x:f>IFERROR((AY464-BD464)/BD464,"")</x:f>
        <x:v>-1</x:v>
      </x:c>
    </x:row>
    <x:row r="465">
      <x:c r="A465" t="str">
        <x:v>Demo P</x:v>
      </x:c>
      <x:c r="B465" t="str">
        <x:v>Process Demo P</x:v>
      </x:c>
      <x:c r="C465" t="str">
        <x:v>Demo P Working Source - process contacts in memory</x:v>
      </x:c>
      <x:c r="D465" s="8" t="n">
        <x:v>0.052</x:v>
      </x:c>
      <x:c r="E465" s="8" t="n">
        <x:v>42.673</x:v>
      </x:c>
      <x:c r="F465" s="8" t="n">
        <x:v>0.052</x:v>
      </x:c>
      <x:c r="G465" s="8" t="n">
        <x:v>42.673</x:v>
      </x:c>
      <x:c r="H465" s="8" t="n">
        <x:v>0.028</x:v>
      </x:c>
      <x:c r="I465" s="8" t="n">
        <x:v>77.61</x:v>
      </x:c>
      <x:c r="J465" s="8" t="n">
        <x:v>0.028</x:v>
      </x:c>
      <x:c r="K465" s="8" t="n">
        <x:v>77.61</x:v>
      </x:c>
      <x:c r="L465" s="8"/>
      <x:c r="M465" s="8"/>
      <x:c r="N465" s="8"/>
      <x:c r="O465" s="8"/>
      <x:c r="P465" s="8"/>
      <x:c r="Q465" s="8"/>
      <x:c r="R465" s="8"/>
      <x:c r="S465" s="8"/>
      <x:c r="T465" s="8"/>
      <x:c r="U465" s="8"/>
      <x:c r="V465" s="8"/>
      <x:c r="W465" s="8"/>
      <x:c r="X465" s="8"/>
      <x:c r="Y465" s="8"/>
      <x:c r="Z465" s="8"/>
      <x:c r="AA465" s="8"/>
      <x:c r="AB465" s="8"/>
      <x:c r="AC465" s="8"/>
      <x:c r="AD465" s="8"/>
      <x:c r="AE465" s="8"/>
      <x:c r="AF465" s="8"/>
      <x:c r="AG465" s="8"/>
      <x:c r="AH465" s="8"/>
      <x:c r="AI465" s="8"/>
      <x:c r="AJ465" s="8"/>
      <x:c r="AK465" s="8"/>
      <x:c r="AL465" s="8"/>
      <x:c r="AM465" s="8"/>
      <x:c r="AN465" s="8"/>
      <x:c r="AO465" s="8"/>
      <x:c r="AP465" s="8"/>
      <x:c r="AQ465" s="8"/>
      <x:c r="AR465" s="8"/>
      <x:c r="AS465" s="8"/>
      <x:c r="AT465" s="8"/>
      <x:c r="AU465" s="8"/>
      <x:c r="AV465" s="8"/>
      <x:c r="AW465" s="8"/>
      <x:c r="AX465" s="8"/>
      <x:c r="AY465" s="8"/>
      <x:c r="AZ465" s="8"/>
      <x:c r="BA465" s="8"/>
      <x:c r="BB465" s="8" t="n">
        <x:f>LET(m,MIN(IF(D465&gt;0,D465,1E+99),IF(F465&gt;0,F465,1E+99),IF(H465&gt;0,H465,1E+99),IF(J465&gt;0,J465,1E+99),IF(L465&gt;0,L465,1E+99),IF(N465&gt;0,N465,1E+99),IF(P465&gt;0,P465,1E+99),IF(R465&gt;0,R465,1E+99),IF(T465&gt;0,T465,1E+99),IF(V465&gt;0,V465,1E+99),IF(X465&gt;0,X465,1E+99),IF(Z465&gt;0,Z465,1E+99),IF(AB465&gt;0,AB465,1E+99),IF(AD465&gt;0,AD465,1E+99),IF(AF465&gt;0,AF465,1E+99),IF(AH465&gt;0,AH465,1E+99),IF(AJ465&gt;0,AJ465,1E+99),IF(AL465&gt;0,AL465,1E+99),IF(AN465&gt;0,AN465,1E+99),IF(AP465&gt;0,AP465,1E+99),IF(AR465&gt;0,AR465,1E+99),IF(AT465&gt;0,AT465,1E+99),IF(AV465&gt;0,AV465,1E+99),IF(AX465&gt;0,AX465,1E+99),IF(AZ465&gt;0,AZ465,1E+99)),IF(m=1E+99,"",m))</x:f>
        <x:v>0.028</x:v>
      </x:c>
      <x:c r="BC465" s="12" t="e">
        <x:f>IF(BB465="","",INDEX({"v1.4.20","v1.4.20","v1.4.21","v1.4.21","v1.4.23","v1.4.23","v1.4.26","v1.4.26","v1.4.26.1","v1.4.26.1","v1.4.27","v1.4.27","v1.4.29","v1.4.29","v1.4.30","v1.4.30","v1.4.31","v1.4.31","v1.4.33","v1.4.33","v1.4.35","v1.4.35.2","v1.5","v1.5.1","v1.5.1"},MATCH(BB465,CHOOSE({1,2,3,4,5,6,7,8,9,10,11,12,13,14,15,16,17,18,19,20,21,22,23,24,25},D465,F465,H465,J465,L465,N465,P465,R465,T465,V465,X465,Z465,AB465,AD465,AF465,AH465,AJ465,AL465,AN465,AP465,AR465,AT465,AV465,AX465,AZ465),0)))</x:f>
      </x:c>
      <x:c r="BD465" s="14" t="n">
        <x:f>LET(m,MIN(IF(E465&gt;0,E465,1E+99),IF(G465&gt;0,G465,1E+99),IF(I465&gt;0,I465,1E+99),IF(K465&gt;0,K465,1E+99),IF(M465&gt;0,M465,1E+99),IF(O465&gt;0,O465,1E+99),IF(Q465&gt;0,Q465,1E+99),IF(S465&gt;0,S465,1E+99),IF(U465&gt;0,U465,1E+99),IF(W465&gt;0,W465,1E+99),IF(Y465&gt;0,Y465,1E+99),IF(AA465&gt;0,AA465,1E+99),IF(AC465&gt;0,AC465,1E+99),IF(AE465&gt;0,AE465,1E+99),IF(AG465&gt;0,AG465,1E+99),IF(AI465&gt;0,AI465,1E+99),IF(AK465&gt;0,AK465,1E+99),IF(AM465&gt;0,AM465,1E+99),IF(AO465&gt;0,AO465,1E+99),IF(AQ465&gt;0,AQ465,1E+99),IF(AS465&gt;0,AS465,1E+99),IF(AU465&gt;0,AU465,1E+99),IF(AW465&gt;0,AW465,1E+99),IF(AY465&gt;0,AY465,1E+99),IF(BA465&gt;0,BA465,1E+99)),IF(m=1E+99,"",m))</x:f>
        <x:v>42.673</x:v>
      </x:c>
      <x:c r="BE465" s="16" t="str">
        <x:f>IF(BD465="","",INDEX({"v1.4.20","v1.4.20","v1.4.21","v1.4.21","v1.4.23","v1.4.23","v1.4.26","v1.4.26","v1.4.26.1","v1.4.26.1","v1.4.27","v1.4.27","v1.4.29","v1.4.29","v1.4.30","v1.4.30","v1.4.31","v1.4.31","v1.4.33","v1.4.33","v1.4.35","v1.4.35.2","v1.5","v1.5.1","v1.5.1"},MATCH(BD465,CHOOSE({1,2,3,4,5,6,7,8,9,10,11,12,13,14,15,16,17,18,19,20,21,22,23,24,25},E465,G465,I465,K465,M465,O465,Q465,S465,U465,W465,Y465,AA465,AC465,AE465,AG465,AI465,AK465,AM465,AO465,AQ465,AS465,AU465,AW465,AY465,BA465),0)))</x:f>
        <x:v>v1.4.20</x:v>
      </x:c>
      <x:c r="BF465" s="10" t="n">
        <x:f>IFERROR((AX465-BB465)/BB465,"")</x:f>
        <x:v>-1</x:v>
      </x:c>
      <x:c r="BG465" s="10" t="n">
        <x:f>IFERROR((AY465-BD465)/BD465,"")</x:f>
        <x:v>-1</x:v>
      </x:c>
    </x:row>
    <x:row r="466">
      <x:c r="A466" t="str">
        <x:v>Demo P</x:v>
      </x:c>
      <x:c r="B466" t="str">
        <x:v>Process Demo P</x:v>
      </x:c>
      <x:c r="C466" t="str">
        <x:v>Demo P Working Source - process language fields in memory</x:v>
      </x:c>
      <x:c r="D466" s="8" t="n">
        <x:v>0.002</x:v>
      </x:c>
      <x:c r="E466" s="8" t="n">
        <x:v>42.618</x:v>
      </x:c>
      <x:c r="F466" s="8" t="n">
        <x:v>0.002</x:v>
      </x:c>
      <x:c r="G466" s="8" t="n">
        <x:v>42.618</x:v>
      </x:c>
      <x:c r="H466" s="8" t="n">
        <x:v>0.003</x:v>
      </x:c>
      <x:c r="I466" s="8" t="n">
        <x:v>77.579</x:v>
      </x:c>
      <x:c r="J466" s="8" t="n">
        <x:v>0.003</x:v>
      </x:c>
      <x:c r="K466" s="8" t="n">
        <x:v>77.579</x:v>
      </x:c>
      <x:c r="L466" s="8"/>
      <x:c r="M466" s="8"/>
      <x:c r="N466" s="8"/>
      <x:c r="O466" s="8"/>
      <x:c r="P466" s="8"/>
      <x:c r="Q466" s="8"/>
      <x:c r="R466" s="8"/>
      <x:c r="S466" s="8"/>
      <x:c r="T466" s="8"/>
      <x:c r="U466" s="8"/>
      <x:c r="V466" s="8"/>
      <x:c r="W466" s="8"/>
      <x:c r="X466" s="8"/>
      <x:c r="Y466" s="8"/>
      <x:c r="Z466" s="8"/>
      <x:c r="AA466" s="8"/>
      <x:c r="AB466" s="8"/>
      <x:c r="AC466" s="8"/>
      <x:c r="AD466" s="8"/>
      <x:c r="AE466" s="8"/>
      <x:c r="AF466" s="8"/>
      <x:c r="AG466" s="8"/>
      <x:c r="AH466" s="8"/>
      <x:c r="AI466" s="8"/>
      <x:c r="AJ466" s="8"/>
      <x:c r="AK466" s="8"/>
      <x:c r="AL466" s="8"/>
      <x:c r="AM466" s="8"/>
      <x:c r="AN466" s="8"/>
      <x:c r="AO466" s="8"/>
      <x:c r="AP466" s="8"/>
      <x:c r="AQ466" s="8"/>
      <x:c r="AR466" s="8"/>
      <x:c r="AS466" s="8"/>
      <x:c r="AT466" s="8"/>
      <x:c r="AU466" s="8"/>
      <x:c r="AV466" s="8"/>
      <x:c r="AW466" s="8"/>
      <x:c r="AX466" s="8"/>
      <x:c r="AY466" s="8"/>
      <x:c r="AZ466" s="8"/>
      <x:c r="BA466" s="8"/>
      <x:c r="BB466" s="8" t="n">
        <x:f>LET(m,MIN(IF(D466&gt;0,D466,1E+99),IF(F466&gt;0,F466,1E+99),IF(H466&gt;0,H466,1E+99),IF(J466&gt;0,J466,1E+99),IF(L466&gt;0,L466,1E+99),IF(N466&gt;0,N466,1E+99),IF(P466&gt;0,P466,1E+99),IF(R466&gt;0,R466,1E+99),IF(T466&gt;0,T466,1E+99),IF(V466&gt;0,V466,1E+99),IF(X466&gt;0,X466,1E+99),IF(Z466&gt;0,Z466,1E+99),IF(AB466&gt;0,AB466,1E+99),IF(AD466&gt;0,AD466,1E+99),IF(AF466&gt;0,AF466,1E+99),IF(AH466&gt;0,AH466,1E+99),IF(AJ466&gt;0,AJ466,1E+99),IF(AL466&gt;0,AL466,1E+99),IF(AN466&gt;0,AN466,1E+99),IF(AP466&gt;0,AP466,1E+99),IF(AR466&gt;0,AR466,1E+99),IF(AT466&gt;0,AT466,1E+99),IF(AV466&gt;0,AV466,1E+99),IF(AX466&gt;0,AX466,1E+99),IF(AZ466&gt;0,AZ466,1E+99)),IF(m=1E+99,"",m))</x:f>
        <x:v>0.002</x:v>
      </x:c>
      <x:c r="BC466" s="12" t="str">
        <x:f>IF(BB466="","",INDEX({"v1.4.20","v1.4.20","v1.4.21","v1.4.21","v1.4.23","v1.4.23","v1.4.26","v1.4.26","v1.4.26.1","v1.4.26.1","v1.4.27","v1.4.27","v1.4.29","v1.4.29","v1.4.30","v1.4.30","v1.4.31","v1.4.31","v1.4.33","v1.4.33","v1.4.35","v1.4.35.2","v1.5","v1.5.1","v1.5.1"},MATCH(BB466,CHOOSE({1,2,3,4,5,6,7,8,9,10,11,12,13,14,15,16,17,18,19,20,21,22,23,24,25},D466,F466,H466,J466,L466,N466,P466,R466,T466,V466,X466,Z466,AB466,AD466,AF466,AH466,AJ466,AL466,AN466,AP466,AR466,AT466,AV466,AX466,AZ466),0)))</x:f>
        <x:v>v1.4.20</x:v>
      </x:c>
      <x:c r="BD466" s="14" t="n">
        <x:f>LET(m,MIN(IF(E466&gt;0,E466,1E+99),IF(G466&gt;0,G466,1E+99),IF(I466&gt;0,I466,1E+99),IF(K466&gt;0,K466,1E+99),IF(M466&gt;0,M466,1E+99),IF(O466&gt;0,O466,1E+99),IF(Q466&gt;0,Q466,1E+99),IF(S466&gt;0,S466,1E+99),IF(U466&gt;0,U466,1E+99),IF(W466&gt;0,W466,1E+99),IF(Y466&gt;0,Y466,1E+99),IF(AA466&gt;0,AA466,1E+99),IF(AC466&gt;0,AC466,1E+99),IF(AE466&gt;0,AE466,1E+99),IF(AG466&gt;0,AG466,1E+99),IF(AI466&gt;0,AI466,1E+99),IF(AK466&gt;0,AK466,1E+99),IF(AM466&gt;0,AM466,1E+99),IF(AO466&gt;0,AO466,1E+99),IF(AQ466&gt;0,AQ466,1E+99),IF(AS466&gt;0,AS466,1E+99),IF(AU466&gt;0,AU466,1E+99),IF(AW466&gt;0,AW466,1E+99),IF(AY466&gt;0,AY466,1E+99),IF(BA466&gt;0,BA466,1E+99)),IF(m=1E+99,"",m))</x:f>
        <x:v>42.618</x:v>
      </x:c>
      <x:c r="BE466" s="16" t="str">
        <x:f>IF(BD466="","",INDEX({"v1.4.20","v1.4.20","v1.4.21","v1.4.21","v1.4.23","v1.4.23","v1.4.26","v1.4.26","v1.4.26.1","v1.4.26.1","v1.4.27","v1.4.27","v1.4.29","v1.4.29","v1.4.30","v1.4.30","v1.4.31","v1.4.31","v1.4.33","v1.4.33","v1.4.35","v1.4.35.2","v1.5","v1.5.1","v1.5.1"},MATCH(BD466,CHOOSE({1,2,3,4,5,6,7,8,9,10,11,12,13,14,15,16,17,18,19,20,21,22,23,24,25},E466,G466,I466,K466,M466,O466,Q466,S466,U466,W466,Y466,AA466,AC466,AE466,AG466,AI466,AK466,AM466,AO466,AQ466,AS466,AU466,AW466,AY466,BA466),0)))</x:f>
        <x:v>v1.4.20</x:v>
      </x:c>
      <x:c r="BF466" s="10" t="n">
        <x:f>IFERROR((AX466-BB466)/BB466,"")</x:f>
        <x:v>-1</x:v>
      </x:c>
      <x:c r="BG466" s="10" t="n">
        <x:f>IFERROR((AY466-BD466)/BD466,"")</x:f>
        <x:v>-1</x:v>
      </x:c>
    </x:row>
    <x:row r="467">
      <x:c r="A467" t="str">
        <x:v>Demo P</x:v>
      </x:c>
      <x:c r="B467" t="str">
        <x:v>Process Demo P</x:v>
      </x:c>
      <x:c r="C467" t="str">
        <x:v>Demo P Working Source - single write processed active-only Demo P data</x:v>
      </x:c>
      <x:c r="D467" s="8" t="n">
        <x:v>30.689</x:v>
      </x:c>
      <x:c r="E467" s="8" t="n">
        <x:v>73.365</x:v>
      </x:c>
      <x:c r="F467" s="8" t="n">
        <x:v>30.689</x:v>
      </x:c>
      <x:c r="G467" s="8" t="n">
        <x:v>73.365</x:v>
      </x:c>
      <x:c r="H467" s="8" t="n">
        <x:v>39.765</x:v>
      </x:c>
      <x:c r="I467" s="8" t="n">
        <x:v>117.378</x:v>
      </x:c>
      <x:c r="J467" s="8" t="n">
        <x:v>39.765</x:v>
      </x:c>
      <x:c r="K467" s="8" t="n">
        <x:v>117.378</x:v>
      </x:c>
      <x:c r="L467" s="8"/>
      <x:c r="M467" s="8"/>
      <x:c r="N467" s="8"/>
      <x:c r="O467" s="8"/>
      <x:c r="P467" s="8"/>
      <x:c r="Q467" s="8"/>
      <x:c r="R467" s="8"/>
      <x:c r="S467" s="8"/>
      <x:c r="T467" s="8"/>
      <x:c r="U467" s="8"/>
      <x:c r="V467" s="8"/>
      <x:c r="W467" s="8"/>
      <x:c r="X467" s="8"/>
      <x:c r="Y467" s="8"/>
      <x:c r="Z467" s="8"/>
      <x:c r="AA467" s="8"/>
      <x:c r="AB467" s="8"/>
      <x:c r="AC467" s="8"/>
      <x:c r="AD467" s="8"/>
      <x:c r="AE467" s="8"/>
      <x:c r="AF467" s="8"/>
      <x:c r="AG467" s="8"/>
      <x:c r="AH467" s="8"/>
      <x:c r="AI467" s="8"/>
      <x:c r="AJ467" s="8"/>
      <x:c r="AK467" s="8"/>
      <x:c r="AL467" s="8"/>
      <x:c r="AM467" s="8"/>
      <x:c r="AN467" s="8"/>
      <x:c r="AO467" s="8"/>
      <x:c r="AP467" s="8"/>
      <x:c r="AQ467" s="8"/>
      <x:c r="AR467" s="8"/>
      <x:c r="AS467" s="8"/>
      <x:c r="AT467" s="8"/>
      <x:c r="AU467" s="8"/>
      <x:c r="AV467" s="8"/>
      <x:c r="AW467" s="8"/>
      <x:c r="AX467" s="8"/>
      <x:c r="AY467" s="8"/>
      <x:c r="AZ467" s="8"/>
      <x:c r="BA467" s="8"/>
      <x:c r="BB467" s="8" t="n">
        <x:f>LET(m,MIN(IF(D467&gt;0,D467,1E+99),IF(F467&gt;0,F467,1E+99),IF(H467&gt;0,H467,1E+99),IF(J467&gt;0,J467,1E+99),IF(L467&gt;0,L467,1E+99),IF(N467&gt;0,N467,1E+99),IF(P467&gt;0,P467,1E+99),IF(R467&gt;0,R467,1E+99),IF(T467&gt;0,T467,1E+99),IF(V467&gt;0,V467,1E+99),IF(X467&gt;0,X467,1E+99),IF(Z467&gt;0,Z467,1E+99),IF(AB467&gt;0,AB467,1E+99),IF(AD467&gt;0,AD467,1E+99),IF(AF467&gt;0,AF467,1E+99),IF(AH467&gt;0,AH467,1E+99),IF(AJ467&gt;0,AJ467,1E+99),IF(AL467&gt;0,AL467,1E+99),IF(AN467&gt;0,AN467,1E+99),IF(AP467&gt;0,AP467,1E+99),IF(AR467&gt;0,AR467,1E+99),IF(AT467&gt;0,AT467,1E+99),IF(AV467&gt;0,AV467,1E+99),IF(AX467&gt;0,AX467,1E+99),IF(AZ467&gt;0,AZ467,1E+99)),IF(m=1E+99,"",m))</x:f>
        <x:v>30.689</x:v>
      </x:c>
      <x:c r="BC467" s="12" t="str">
        <x:f>IF(BB467="","",INDEX({"v1.4.20","v1.4.20","v1.4.21","v1.4.21","v1.4.23","v1.4.23","v1.4.26","v1.4.26","v1.4.26.1","v1.4.26.1","v1.4.27","v1.4.27","v1.4.29","v1.4.29","v1.4.30","v1.4.30","v1.4.31","v1.4.31","v1.4.33","v1.4.33","v1.4.35","v1.4.35.2","v1.5","v1.5.1","v1.5.1"},MATCH(BB467,CHOOSE({1,2,3,4,5,6,7,8,9,10,11,12,13,14,15,16,17,18,19,20,21,22,23,24,25},D467,F467,H467,J467,L467,N467,P467,R467,T467,V467,X467,Z467,AB467,AD467,AF467,AH467,AJ467,AL467,AN467,AP467,AR467,AT467,AV467,AX467,AZ467),0)))</x:f>
        <x:v>v1.4.20</x:v>
      </x:c>
      <x:c r="BD467" s="14" t="n">
        <x:f>LET(m,MIN(IF(E467&gt;0,E467,1E+99),IF(G467&gt;0,G467,1E+99),IF(I467&gt;0,I467,1E+99),IF(K467&gt;0,K467,1E+99),IF(M467&gt;0,M467,1E+99),IF(O467&gt;0,O467,1E+99),IF(Q467&gt;0,Q467,1E+99),IF(S467&gt;0,S467,1E+99),IF(U467&gt;0,U467,1E+99),IF(W467&gt;0,W467,1E+99),IF(Y467&gt;0,Y467,1E+99),IF(AA467&gt;0,AA467,1E+99),IF(AC467&gt;0,AC467,1E+99),IF(AE467&gt;0,AE467,1E+99),IF(AG467&gt;0,AG467,1E+99),IF(AI467&gt;0,AI467,1E+99),IF(AK467&gt;0,AK467,1E+99),IF(AM467&gt;0,AM467,1E+99),IF(AO467&gt;0,AO467,1E+99),IF(AQ467&gt;0,AQ467,1E+99),IF(AS467&gt;0,AS467,1E+99),IF(AU467&gt;0,AU467,1E+99),IF(AW467&gt;0,AW467,1E+99),IF(AY467&gt;0,AY467,1E+99),IF(BA467&gt;0,BA467,1E+99)),IF(m=1E+99,"",m))</x:f>
        <x:v>73.365</x:v>
      </x:c>
      <x:c r="BE467" s="16" t="str">
        <x:f>IF(BD467="","",INDEX({"v1.4.20","v1.4.20","v1.4.21","v1.4.21","v1.4.23","v1.4.23","v1.4.26","v1.4.26","v1.4.26.1","v1.4.26.1","v1.4.27","v1.4.27","v1.4.29","v1.4.29","v1.4.30","v1.4.30","v1.4.31","v1.4.31","v1.4.33","v1.4.33","v1.4.35","v1.4.35.2","v1.5","v1.5.1","v1.5.1"},MATCH(BD467,CHOOSE({1,2,3,4,5,6,7,8,9,10,11,12,13,14,15,16,17,18,19,20,21,22,23,24,25},E467,G467,I467,K467,M467,O467,Q467,S467,U467,W467,Y467,AA467,AC467,AE467,AG467,AI467,AK467,AM467,AO467,AQ467,AS467,AU467,AW467,AY467,BA467),0)))</x:f>
        <x:v>v1.4.20</x:v>
      </x:c>
      <x:c r="BF467" s="10" t="n">
        <x:f>IFERROR((AX467-BB467)/BB467,"")</x:f>
        <x:v>-1</x:v>
      </x:c>
      <x:c r="BG467" s="10" t="n">
        <x:f>IFERROR((AY467-BD467)/BD467,"")</x:f>
        <x:v>-1</x:v>
      </x:c>
    </x:row>
    <x:row r="468">
      <x:c r="A468" t="str">
        <x:v>Demo P</x:v>
      </x:c>
      <x:c r="B468" t="str">
        <x:v>Process Demo P</x:v>
      </x:c>
      <x:c r="C468" t="str">
        <x:v>Demo P Working Source - split phone fields in memory</x:v>
      </x:c>
      <x:c r="D468" s="8" t="n">
        <x:v>0.003</x:v>
      </x:c>
      <x:c r="E468" s="8" t="n">
        <x:v>42.621</x:v>
      </x:c>
      <x:c r="F468" s="8" t="n">
        <x:v>0.003</x:v>
      </x:c>
      <x:c r="G468" s="8" t="n">
        <x:v>42.621</x:v>
      </x:c>
      <x:c r="H468" s="8" t="n">
        <x:v>0.003</x:v>
      </x:c>
      <x:c r="I468" s="8" t="n">
        <x:v>77.582</x:v>
      </x:c>
      <x:c r="J468" s="8" t="n">
        <x:v>0.003</x:v>
      </x:c>
      <x:c r="K468" s="8" t="n">
        <x:v>77.582</x:v>
      </x:c>
      <x:c r="L468" s="8"/>
      <x:c r="M468" s="8"/>
      <x:c r="N468" s="8"/>
      <x:c r="O468" s="8"/>
      <x:c r="P468" s="8"/>
      <x:c r="Q468" s="8"/>
      <x:c r="R468" s="8"/>
      <x:c r="S468" s="8"/>
      <x:c r="T468" s="8"/>
      <x:c r="U468" s="8"/>
      <x:c r="V468" s="8"/>
      <x:c r="W468" s="8"/>
      <x:c r="X468" s="8"/>
      <x:c r="Y468" s="8"/>
      <x:c r="Z468" s="8"/>
      <x:c r="AA468" s="8"/>
      <x:c r="AB468" s="8"/>
      <x:c r="AC468" s="8"/>
      <x:c r="AD468" s="8"/>
      <x:c r="AE468" s="8"/>
      <x:c r="AF468" s="8"/>
      <x:c r="AG468" s="8"/>
      <x:c r="AH468" s="8"/>
      <x:c r="AI468" s="8"/>
      <x:c r="AJ468" s="8"/>
      <x:c r="AK468" s="8"/>
      <x:c r="AL468" s="8"/>
      <x:c r="AM468" s="8"/>
      <x:c r="AN468" s="8"/>
      <x:c r="AO468" s="8"/>
      <x:c r="AP468" s="8"/>
      <x:c r="AQ468" s="8"/>
      <x:c r="AR468" s="8"/>
      <x:c r="AS468" s="8"/>
      <x:c r="AT468" s="8"/>
      <x:c r="AU468" s="8"/>
      <x:c r="AV468" s="8"/>
      <x:c r="AW468" s="8"/>
      <x:c r="AX468" s="8"/>
      <x:c r="AY468" s="8"/>
      <x:c r="AZ468" s="8"/>
      <x:c r="BA468" s="8"/>
      <x:c r="BB468" s="8" t="n">
        <x:f>LET(m,MIN(IF(D468&gt;0,D468,1E+99),IF(F468&gt;0,F468,1E+99),IF(H468&gt;0,H468,1E+99),IF(J468&gt;0,J468,1E+99),IF(L468&gt;0,L468,1E+99),IF(N468&gt;0,N468,1E+99),IF(P468&gt;0,P468,1E+99),IF(R468&gt;0,R468,1E+99),IF(T468&gt;0,T468,1E+99),IF(V468&gt;0,V468,1E+99),IF(X468&gt;0,X468,1E+99),IF(Z468&gt;0,Z468,1E+99),IF(AB468&gt;0,AB468,1E+99),IF(AD468&gt;0,AD468,1E+99),IF(AF468&gt;0,AF468,1E+99),IF(AH468&gt;0,AH468,1E+99),IF(AJ468&gt;0,AJ468,1E+99),IF(AL468&gt;0,AL468,1E+99),IF(AN468&gt;0,AN468,1E+99),IF(AP468&gt;0,AP468,1E+99),IF(AR468&gt;0,AR468,1E+99),IF(AT468&gt;0,AT468,1E+99),IF(AV468&gt;0,AV468,1E+99),IF(AX468&gt;0,AX468,1E+99),IF(AZ468&gt;0,AZ468,1E+99)),IF(m=1E+99,"",m))</x:f>
        <x:v>0.003</x:v>
      </x:c>
      <x:c r="BC468" s="12" t="str">
        <x:f>IF(BB468="","",INDEX({"v1.4.20","v1.4.20","v1.4.21","v1.4.21","v1.4.23","v1.4.23","v1.4.26","v1.4.26","v1.4.26.1","v1.4.26.1","v1.4.27","v1.4.27","v1.4.29","v1.4.29","v1.4.30","v1.4.30","v1.4.31","v1.4.31","v1.4.33","v1.4.33","v1.4.35","v1.4.35.2","v1.5","v1.5.1","v1.5.1"},MATCH(BB468,CHOOSE({1,2,3,4,5,6,7,8,9,10,11,12,13,14,15,16,17,18,19,20,21,22,23,24,25},D468,F468,H468,J468,L468,N468,P468,R468,T468,V468,X468,Z468,AB468,AD468,AF468,AH468,AJ468,AL468,AN468,AP468,AR468,AT468,AV468,AX468,AZ468),0)))</x:f>
        <x:v>v1.4.20</x:v>
      </x:c>
      <x:c r="BD468" s="14" t="n">
        <x:f>LET(m,MIN(IF(E468&gt;0,E468,1E+99),IF(G468&gt;0,G468,1E+99),IF(I468&gt;0,I468,1E+99),IF(K468&gt;0,K468,1E+99),IF(M468&gt;0,M468,1E+99),IF(O468&gt;0,O468,1E+99),IF(Q468&gt;0,Q468,1E+99),IF(S468&gt;0,S468,1E+99),IF(U468&gt;0,U468,1E+99),IF(W468&gt;0,W468,1E+99),IF(Y468&gt;0,Y468,1E+99),IF(AA468&gt;0,AA468,1E+99),IF(AC468&gt;0,AC468,1E+99),IF(AE468&gt;0,AE468,1E+99),IF(AG468&gt;0,AG468,1E+99),IF(AI468&gt;0,AI468,1E+99),IF(AK468&gt;0,AK468,1E+99),IF(AM468&gt;0,AM468,1E+99),IF(AO468&gt;0,AO468,1E+99),IF(AQ468&gt;0,AQ468,1E+99),IF(AS468&gt;0,AS468,1E+99),IF(AU468&gt;0,AU468,1E+99),IF(AW468&gt;0,AW468,1E+99),IF(AY468&gt;0,AY468,1E+99),IF(BA468&gt;0,BA468,1E+99)),IF(m=1E+99,"",m))</x:f>
        <x:v>42.621</x:v>
      </x:c>
      <x:c r="BE468" s="16" t="str">
        <x:f>IF(BD468="","",INDEX({"v1.4.20","v1.4.20","v1.4.21","v1.4.21","v1.4.23","v1.4.23","v1.4.26","v1.4.26","v1.4.26.1","v1.4.26.1","v1.4.27","v1.4.27","v1.4.29","v1.4.29","v1.4.30","v1.4.30","v1.4.31","v1.4.31","v1.4.33","v1.4.33","v1.4.35","v1.4.35.2","v1.5","v1.5.1","v1.5.1"},MATCH(BD468,CHOOSE({1,2,3,4,5,6,7,8,9,10,11,12,13,14,15,16,17,18,19,20,21,22,23,24,25},E468,G468,I468,K468,M468,O468,Q468,S468,U468,W468,Y468,AA468,AC468,AE468,AG468,AI468,AK468,AM468,AO468,AQ468,AS468,AU468,AW468,AY468,BA468),0)))</x:f>
        <x:v>v1.4.20</x:v>
      </x:c>
      <x:c r="BF468" s="10" t="n">
        <x:f>IFERROR((AX468-BB468)/BB468,"")</x:f>
        <x:v>-1</x:v>
      </x:c>
      <x:c r="BG468" s="10" t="n">
        <x:f>IFERROR((AY468-BD468)/BD468,"")</x:f>
        <x:v>-1</x:v>
      </x:c>
    </x:row>
    <x:row r="469">
      <x:c r="A469" t="str">
        <x:v>Demo P</x:v>
      </x:c>
      <x:c r="B469" t="str">
        <x:v>Process Demo P</x:v>
      </x:c>
      <x:c r="C469" t="str">
        <x:v>Demo P Working Source - sync newest Banners mm.yy source into memory</x:v>
      </x:c>
      <x:c r="D469" s="8" t="n">
        <x:v>0.429</x:v>
      </x:c>
      <x:c r="E469" s="8" t="n">
        <x:v>42.611</x:v>
      </x:c>
      <x:c r="F469" s="8" t="n">
        <x:v>0.429</x:v>
      </x:c>
      <x:c r="G469" s="8" t="n">
        <x:v>42.611</x:v>
      </x:c>
      <x:c r="H469" s="8" t="n">
        <x:v>0.807</x:v>
      </x:c>
      <x:c r="I469" s="8" t="n">
        <x:v>77.57</x:v>
      </x:c>
      <x:c r="J469" s="8" t="n">
        <x:v>0.807</x:v>
      </x:c>
      <x:c r="K469" s="8" t="n">
        <x:v>77.57</x:v>
      </x:c>
      <x:c r="L469" s="8"/>
      <x:c r="M469" s="8"/>
      <x:c r="N469" s="8"/>
      <x:c r="O469" s="8"/>
      <x:c r="P469" s="8"/>
      <x:c r="Q469" s="8"/>
      <x:c r="R469" s="8"/>
      <x:c r="S469" s="8"/>
      <x:c r="T469" s="8"/>
      <x:c r="U469" s="8"/>
      <x:c r="V469" s="8"/>
      <x:c r="W469" s="8"/>
      <x:c r="X469" s="8"/>
      <x:c r="Y469" s="8"/>
      <x:c r="Z469" s="8"/>
      <x:c r="AA469" s="8"/>
      <x:c r="AB469" s="8"/>
      <x:c r="AC469" s="8"/>
      <x:c r="AD469" s="8"/>
      <x:c r="AE469" s="8"/>
      <x:c r="AF469" s="8"/>
      <x:c r="AG469" s="8"/>
      <x:c r="AH469" s="8"/>
      <x:c r="AI469" s="8"/>
      <x:c r="AJ469" s="8"/>
      <x:c r="AK469" s="8"/>
      <x:c r="AL469" s="8"/>
      <x:c r="AM469" s="8"/>
      <x:c r="AN469" s="8"/>
      <x:c r="AO469" s="8"/>
      <x:c r="AP469" s="8"/>
      <x:c r="AQ469" s="8"/>
      <x:c r="AR469" s="8"/>
      <x:c r="AS469" s="8"/>
      <x:c r="AT469" s="8"/>
      <x:c r="AU469" s="8"/>
      <x:c r="AV469" s="8"/>
      <x:c r="AW469" s="8"/>
      <x:c r="AX469" s="8"/>
      <x:c r="AY469" s="8"/>
      <x:c r="AZ469" s="8"/>
      <x:c r="BA469" s="8"/>
      <x:c r="BB469" s="8" t="n">
        <x:f>LET(m,MIN(IF(D469&gt;0,D469,1E+99),IF(F469&gt;0,F469,1E+99),IF(H469&gt;0,H469,1E+99),IF(J469&gt;0,J469,1E+99),IF(L469&gt;0,L469,1E+99),IF(N469&gt;0,N469,1E+99),IF(P469&gt;0,P469,1E+99),IF(R469&gt;0,R469,1E+99),IF(T469&gt;0,T469,1E+99),IF(V469&gt;0,V469,1E+99),IF(X469&gt;0,X469,1E+99),IF(Z469&gt;0,Z469,1E+99),IF(AB469&gt;0,AB469,1E+99),IF(AD469&gt;0,AD469,1E+99),IF(AF469&gt;0,AF469,1E+99),IF(AH469&gt;0,AH469,1E+99),IF(AJ469&gt;0,AJ469,1E+99),IF(AL469&gt;0,AL469,1E+99),IF(AN469&gt;0,AN469,1E+99),IF(AP469&gt;0,AP469,1E+99),IF(AR469&gt;0,AR469,1E+99),IF(AT469&gt;0,AT469,1E+99),IF(AV469&gt;0,AV469,1E+99),IF(AX469&gt;0,AX469,1E+99),IF(AZ469&gt;0,AZ469,1E+99)),IF(m=1E+99,"",m))</x:f>
        <x:v>0.429</x:v>
      </x:c>
      <x:c r="BC469" s="12" t="str">
        <x:f>IF(BB469="","",INDEX({"v1.4.20","v1.4.20","v1.4.21","v1.4.21","v1.4.23","v1.4.23","v1.4.26","v1.4.26","v1.4.26.1","v1.4.26.1","v1.4.27","v1.4.27","v1.4.29","v1.4.29","v1.4.30","v1.4.30","v1.4.31","v1.4.31","v1.4.33","v1.4.33","v1.4.35","v1.4.35.2","v1.5","v1.5.1","v1.5.1"},MATCH(BB469,CHOOSE({1,2,3,4,5,6,7,8,9,10,11,12,13,14,15,16,17,18,19,20,21,22,23,24,25},D469,F469,H469,J469,L469,N469,P469,R469,T469,V469,X469,Z469,AB469,AD469,AF469,AH469,AJ469,AL469,AN469,AP469,AR469,AT469,AV469,AX469,AZ469),0)))</x:f>
        <x:v>v1.4.20</x:v>
      </x:c>
      <x:c r="BD469" s="14" t="n">
        <x:f>LET(m,MIN(IF(E469&gt;0,E469,1E+99),IF(G469&gt;0,G469,1E+99),IF(I469&gt;0,I469,1E+99),IF(K469&gt;0,K469,1E+99),IF(M469&gt;0,M469,1E+99),IF(O469&gt;0,O469,1E+99),IF(Q469&gt;0,Q469,1E+99),IF(S469&gt;0,S469,1E+99),IF(U469&gt;0,U469,1E+99),IF(W469&gt;0,W469,1E+99),IF(Y469&gt;0,Y469,1E+99),IF(AA469&gt;0,AA469,1E+99),IF(AC469&gt;0,AC469,1E+99),IF(AE469&gt;0,AE469,1E+99),IF(AG469&gt;0,AG469,1E+99),IF(AI469&gt;0,AI469,1E+99),IF(AK469&gt;0,AK469,1E+99),IF(AM469&gt;0,AM469,1E+99),IF(AO469&gt;0,AO469,1E+99),IF(AQ469&gt;0,AQ469,1E+99),IF(AS469&gt;0,AS469,1E+99),IF(AU469&gt;0,AU469,1E+99),IF(AW469&gt;0,AW469,1E+99),IF(AY469&gt;0,AY469,1E+99),IF(BA469&gt;0,BA469,1E+99)),IF(m=1E+99,"",m))</x:f>
        <x:v>42.611</x:v>
      </x:c>
      <x:c r="BE469" s="16" t="str">
        <x:f>IF(BD469="","",INDEX({"v1.4.20","v1.4.20","v1.4.21","v1.4.21","v1.4.23","v1.4.23","v1.4.26","v1.4.26","v1.4.26.1","v1.4.26.1","v1.4.27","v1.4.27","v1.4.29","v1.4.29","v1.4.30","v1.4.30","v1.4.31","v1.4.31","v1.4.33","v1.4.33","v1.4.35","v1.4.35.2","v1.5","v1.5.1","v1.5.1"},MATCH(BD469,CHOOSE({1,2,3,4,5,6,7,8,9,10,11,12,13,14,15,16,17,18,19,20,21,22,23,24,25},E469,G469,I469,K469,M469,O469,Q469,S469,U469,W469,Y469,AA469,AC469,AE469,AG469,AI469,AK469,AM469,AO469,AQ469,AS469,AU469,AW469,AY469,BA469),0)))</x:f>
        <x:v>v1.4.20</x:v>
      </x:c>
      <x:c r="BF469" s="10" t="n">
        <x:f>IFERROR((AX469-BB469)/BB469,"")</x:f>
        <x:v>-1</x:v>
      </x:c>
      <x:c r="BG469" s="10" t="n">
        <x:f>IFERROR((AY469-BD469)/BD469,"")</x:f>
        <x:v>-1</x:v>
      </x:c>
    </x:row>
    <x:row r="470">
      <x:c r="A470" t="str">
        <x:v>Demo P</x:v>
      </x:c>
      <x:c r="B470" t="str">
        <x:v>Process Demo P</x:v>
      </x:c>
      <x:c r="C470" t="str">
        <x:v>Disenrolled PMRs identified and excluded from Demo P - list creation moved to separate menu workflow</x:v>
      </x:c>
      <x:c r="D470" s="8" t="n">
        <x:v>5.221</x:v>
      </x:c>
      <x:c r="E470" s="8" t="n">
        <x:v>5.221</x:v>
      </x:c>
      <x:c r="F470" s="8" t="n">
        <x:v>5.221</x:v>
      </x:c>
      <x:c r="G470" s="8" t="n">
        <x:v>5.221</x:v>
      </x:c>
      <x:c r="H470" s="8" t="n">
        <x:v>5.921</x:v>
      </x:c>
      <x:c r="I470" s="8" t="n">
        <x:v>5.921</x:v>
      </x:c>
      <x:c r="J470" s="8" t="n">
        <x:v>5.921</x:v>
      </x:c>
      <x:c r="K470" s="8" t="n">
        <x:v>5.921</x:v>
      </x:c>
      <x:c r="L470" s="8"/>
      <x:c r="M470" s="8"/>
      <x:c r="N470" s="8"/>
      <x:c r="O470" s="8"/>
      <x:c r="P470" s="8"/>
      <x:c r="Q470" s="8"/>
      <x:c r="R470" s="8"/>
      <x:c r="S470" s="8"/>
      <x:c r="T470" s="8"/>
      <x:c r="U470" s="8"/>
      <x:c r="V470" s="8"/>
      <x:c r="W470" s="8"/>
      <x:c r="X470" s="8"/>
      <x:c r="Y470" s="8"/>
      <x:c r="Z470" s="8"/>
      <x:c r="AA470" s="8"/>
      <x:c r="AB470" s="8"/>
      <x:c r="AC470" s="8"/>
      <x:c r="AD470" s="8"/>
      <x:c r="AE470" s="8"/>
      <x:c r="AF470" s="8"/>
      <x:c r="AG470" s="8"/>
      <x:c r="AH470" s="8"/>
      <x:c r="AI470" s="8"/>
      <x:c r="AJ470" s="8"/>
      <x:c r="AK470" s="8"/>
      <x:c r="AL470" s="8"/>
      <x:c r="AM470" s="8"/>
      <x:c r="AN470" s="8"/>
      <x:c r="AO470" s="8"/>
      <x:c r="AP470" s="8"/>
      <x:c r="AQ470" s="8"/>
      <x:c r="AR470" s="8"/>
      <x:c r="AS470" s="8"/>
      <x:c r="AT470" s="8"/>
      <x:c r="AU470" s="8"/>
      <x:c r="AV470" s="8"/>
      <x:c r="AW470" s="8"/>
      <x:c r="AX470" s="8"/>
      <x:c r="AY470" s="8"/>
      <x:c r="AZ470" s="8"/>
      <x:c r="BA470" s="8"/>
      <x:c r="BB470" s="8" t="n">
        <x:f>LET(m,MIN(IF(D470&gt;0,D470,1E+99),IF(F470&gt;0,F470,1E+99),IF(H470&gt;0,H470,1E+99),IF(J470&gt;0,J470,1E+99),IF(L470&gt;0,L470,1E+99),IF(N470&gt;0,N470,1E+99),IF(P470&gt;0,P470,1E+99),IF(R470&gt;0,R470,1E+99),IF(T470&gt;0,T470,1E+99),IF(V470&gt;0,V470,1E+99),IF(X470&gt;0,X470,1E+99),IF(Z470&gt;0,Z470,1E+99),IF(AB470&gt;0,AB470,1E+99),IF(AD470&gt;0,AD470,1E+99),IF(AF470&gt;0,AF470,1E+99),IF(AH470&gt;0,AH470,1E+99),IF(AJ470&gt;0,AJ470,1E+99),IF(AL470&gt;0,AL470,1E+99),IF(AN470&gt;0,AN470,1E+99),IF(AP470&gt;0,AP470,1E+99),IF(AR470&gt;0,AR470,1E+99),IF(AT470&gt;0,AT470,1E+99),IF(AV470&gt;0,AV470,1E+99),IF(AX470&gt;0,AX470,1E+99),IF(AZ470&gt;0,AZ470,1E+99)),IF(m=1E+99,"",m))</x:f>
        <x:v>5.221</x:v>
      </x:c>
      <x:c r="BC470" s="12" t="str">
        <x:f>IF(BB470="","",INDEX({"v1.4.20","v1.4.20","v1.4.21","v1.4.21","v1.4.23","v1.4.23","v1.4.26","v1.4.26","v1.4.26.1","v1.4.26.1","v1.4.27","v1.4.27","v1.4.29","v1.4.29","v1.4.30","v1.4.30","v1.4.31","v1.4.31","v1.4.33","v1.4.33","v1.4.35","v1.4.35.2","v1.5","v1.5.1","v1.5.1"},MATCH(BB470,CHOOSE({1,2,3,4,5,6,7,8,9,10,11,12,13,14,15,16,17,18,19,20,21,22,23,24,25},D470,F470,H470,J470,L470,N470,P470,R470,T470,V470,X470,Z470,AB470,AD470,AF470,AH470,AJ470,AL470,AN470,AP470,AR470,AT470,AV470,AX470,AZ470),0)))</x:f>
        <x:v>v1.4.20</x:v>
      </x:c>
      <x:c r="BD470" s="14" t="n">
        <x:f>LET(m,MIN(IF(E470&gt;0,E470,1E+99),IF(G470&gt;0,G470,1E+99),IF(I470&gt;0,I470,1E+99),IF(K470&gt;0,K470,1E+99),IF(M470&gt;0,M470,1E+99),IF(O470&gt;0,O470,1E+99),IF(Q470&gt;0,Q470,1E+99),IF(S470&gt;0,S470,1E+99),IF(U470&gt;0,U470,1E+99),IF(W470&gt;0,W470,1E+99),IF(Y470&gt;0,Y470,1E+99),IF(AA470&gt;0,AA470,1E+99),IF(AC470&gt;0,AC470,1E+99),IF(AE470&gt;0,AE470,1E+99),IF(AG470&gt;0,AG470,1E+99),IF(AI470&gt;0,AI470,1E+99),IF(AK470&gt;0,AK470,1E+99),IF(AM470&gt;0,AM470,1E+99),IF(AO470&gt;0,AO470,1E+99),IF(AQ470&gt;0,AQ470,1E+99),IF(AS470&gt;0,AS470,1E+99),IF(AU470&gt;0,AU470,1E+99),IF(AW470&gt;0,AW470,1E+99),IF(AY470&gt;0,AY470,1E+99),IF(BA470&gt;0,BA470,1E+99)),IF(m=1E+99,"",m))</x:f>
        <x:v>5.221</x:v>
      </x:c>
      <x:c r="BE470" s="16" t="str">
        <x:f>IF(BD470="","",INDEX({"v1.4.20","v1.4.20","v1.4.21","v1.4.21","v1.4.23","v1.4.23","v1.4.26","v1.4.26","v1.4.26.1","v1.4.26.1","v1.4.27","v1.4.27","v1.4.29","v1.4.29","v1.4.30","v1.4.30","v1.4.31","v1.4.31","v1.4.33","v1.4.33","v1.4.35","v1.4.35.2","v1.5","v1.5.1","v1.5.1"},MATCH(BD470,CHOOSE({1,2,3,4,5,6,7,8,9,10,11,12,13,14,15,16,17,18,19,20,21,22,23,24,25},E470,G470,I470,K470,M470,O470,Q470,S470,U470,W470,Y470,AA470,AC470,AE470,AG470,AI470,AK470,AM470,AO470,AQ470,AS470,AU470,AW470,AY470,BA470),0)))</x:f>
        <x:v>v1.4.20</x:v>
      </x:c>
      <x:c r="BF470" s="10" t="n">
        <x:f>IFERROR((AX470-BB470)/BB470,"")</x:f>
        <x:v>-1</x:v>
      </x:c>
      <x:c r="BG470" s="10" t="n">
        <x:f>IFERROR((AY470-BD470)/BD470,"")</x:f>
        <x:v>-1</x:v>
      </x:c>
    </x:row>
    <x:row r="471">
      <x:c r="A471" t="str">
        <x:v>Demo P</x:v>
      </x:c>
      <x:c r="B471" t="str">
        <x:v>Process Demo P</x:v>
      </x:c>
      <x:c r="C471" t="str">
        <x:v>Disenrolled PMRs identified and excluded from Demo P - used Disenrolled List PMR set</x:v>
      </x:c>
      <x:c r="D471" s="8"/>
      <x:c r="E471" s="8"/>
      <x:c r="F471" s="8"/>
      <x:c r="G471" s="8"/>
      <x:c r="H471" s="8"/>
      <x:c r="I471" s="8"/>
      <x:c r="J471" s="8"/>
      <x:c r="K471" s="8"/>
      <x:c r="L471" s="8" t="n">
        <x:v>8.132</x:v>
      </x:c>
      <x:c r="M471" s="8" t="n">
        <x:v>8.132</x:v>
      </x:c>
      <x:c r="N471" s="8" t="n">
        <x:v>8.132</x:v>
      </x:c>
      <x:c r="O471" s="8" t="n">
        <x:v>8.132</x:v>
      </x:c>
      <x:c r="P471" s="8"/>
      <x:c r="Q471" s="8"/>
      <x:c r="R471" s="8"/>
      <x:c r="S471" s="8"/>
      <x:c r="T471" s="8" t="n">
        <x:v>5.034</x:v>
      </x:c>
      <x:c r="U471" s="8" t="n">
        <x:v>5.034</x:v>
      </x:c>
      <x:c r="V471" s="8" t="n">
        <x:v>5.034</x:v>
      </x:c>
      <x:c r="W471" s="8" t="n">
        <x:v>5.034</x:v>
      </x:c>
      <x:c r="X471" s="8"/>
      <x:c r="Y471" s="8"/>
      <x:c r="Z471" s="8"/>
      <x:c r="AA471" s="8"/>
      <x:c r="AB471" s="8"/>
      <x:c r="AC471" s="8"/>
      <x:c r="AD471" s="8"/>
      <x:c r="AE471" s="8"/>
      <x:c r="AF471" s="8" t="n">
        <x:v>5.931</x:v>
      </x:c>
      <x:c r="AG471" s="8" t="n">
        <x:v>5.931</x:v>
      </x:c>
      <x:c r="AH471" s="8" t="n">
        <x:v>5.931</x:v>
      </x:c>
      <x:c r="AI471" s="8" t="n">
        <x:v>5.931</x:v>
      </x:c>
      <x:c r="AJ471" s="8" t="n">
        <x:v>6.43</x:v>
      </x:c>
      <x:c r="AK471" s="8" t="n">
        <x:v>6.43</x:v>
      </x:c>
      <x:c r="AL471" s="8" t="n">
        <x:v>6.43</x:v>
      </x:c>
      <x:c r="AM471" s="8" t="n">
        <x:v>6.43</x:v>
      </x:c>
      <x:c r="AN471" s="8" t="n">
        <x:v>6.845</x:v>
      </x:c>
      <x:c r="AO471" s="8" t="n">
        <x:v>6.845</x:v>
      </x:c>
      <x:c r="AP471" s="8" t="n">
        <x:v>6.845</x:v>
      </x:c>
      <x:c r="AQ471" s="8" t="n">
        <x:v>6.845</x:v>
      </x:c>
      <x:c r="AR471" s="8"/>
      <x:c r="AS471" s="8"/>
      <x:c r="AT471" s="8" t="n">
        <x:v>4.248</x:v>
      </x:c>
      <x:c r="AU471" s="8" t="n">
        <x:v>4.248</x:v>
      </x:c>
      <x:c r="AV471" s="8"/>
      <x:c r="AW471" s="8"/>
      <x:c r="AX471" s="8"/>
      <x:c r="AY471" s="8"/>
      <x:c r="AZ471" s="8"/>
      <x:c r="BA471" s="8"/>
      <x:c r="BB471" s="8" t="n">
        <x:f>LET(m,MIN(IF(D471&gt;0,D471,1E+99),IF(F471&gt;0,F471,1E+99),IF(H471&gt;0,H471,1E+99),IF(J471&gt;0,J471,1E+99),IF(L471&gt;0,L471,1E+99),IF(N471&gt;0,N471,1E+99),IF(P471&gt;0,P471,1E+99),IF(R471&gt;0,R471,1E+99),IF(T471&gt;0,T471,1E+99),IF(V471&gt;0,V471,1E+99),IF(X471&gt;0,X471,1E+99),IF(Z471&gt;0,Z471,1E+99),IF(AB471&gt;0,AB471,1E+99),IF(AD471&gt;0,AD471,1E+99),IF(AF471&gt;0,AF471,1E+99),IF(AH471&gt;0,AH471,1E+99),IF(AJ471&gt;0,AJ471,1E+99),IF(AL471&gt;0,AL471,1E+99),IF(AN471&gt;0,AN471,1E+99),IF(AP471&gt;0,AP471,1E+99),IF(AR471&gt;0,AR471,1E+99),IF(AT471&gt;0,AT471,1E+99),IF(AV471&gt;0,AV471,1E+99),IF(AX471&gt;0,AX471,1E+99),IF(AZ471&gt;0,AZ471,1E+99)),IF(m=1E+99,"",m))</x:f>
        <x:v>4.248</x:v>
      </x:c>
      <x:c r="BC471" s="12" t="e">
        <x:f>IF(BB471="","",INDEX({"v1.4.20","v1.4.20","v1.4.21","v1.4.21","v1.4.23","v1.4.23","v1.4.26","v1.4.26","v1.4.26.1","v1.4.26.1","v1.4.27","v1.4.27","v1.4.29","v1.4.29","v1.4.30","v1.4.30","v1.4.31","v1.4.31","v1.4.33","v1.4.33","v1.4.35","v1.4.35.2","v1.5","v1.5.1","v1.5.1"},MATCH(BB471,CHOOSE({1,2,3,4,5,6,7,8,9,10,11,12,13,14,15,16,17,18,19,20,21,22,23,24,25},D471,F471,H471,J471,L471,N471,P471,R471,T471,V471,X471,Z471,AB471,AD471,AF471,AH471,AJ471,AL471,AN471,AP471,AR471,AT471,AV471,AX471,AZ471),0)))</x:f>
      </x:c>
      <x:c r="BD471" s="14" t="n">
        <x:f>LET(m,MIN(IF(E471&gt;0,E471,1E+99),IF(G471&gt;0,G471,1E+99),IF(I471&gt;0,I471,1E+99),IF(K471&gt;0,K471,1E+99),IF(M471&gt;0,M471,1E+99),IF(O471&gt;0,O471,1E+99),IF(Q471&gt;0,Q471,1E+99),IF(S471&gt;0,S471,1E+99),IF(U471&gt;0,U471,1E+99),IF(W471&gt;0,W471,1E+99),IF(Y471&gt;0,Y471,1E+99),IF(AA471&gt;0,AA471,1E+99),IF(AC471&gt;0,AC471,1E+99),IF(AE471&gt;0,AE471,1E+99),IF(AG471&gt;0,AG471,1E+99),IF(AI471&gt;0,AI471,1E+99),IF(AK471&gt;0,AK471,1E+99),IF(AM471&gt;0,AM471,1E+99),IF(AO471&gt;0,AO471,1E+99),IF(AQ471&gt;0,AQ471,1E+99),IF(AS471&gt;0,AS471,1E+99),IF(AU471&gt;0,AU471,1E+99),IF(AW471&gt;0,AW471,1E+99),IF(AY471&gt;0,AY471,1E+99),IF(BA471&gt;0,BA471,1E+99)),IF(m=1E+99,"",m))</x:f>
        <x:v>4.248</x:v>
      </x:c>
      <x:c r="BE471" s="16" t="e">
        <x:f>IF(BD471="","",INDEX({"v1.4.20","v1.4.20","v1.4.21","v1.4.21","v1.4.23","v1.4.23","v1.4.26","v1.4.26","v1.4.26.1","v1.4.26.1","v1.4.27","v1.4.27","v1.4.29","v1.4.29","v1.4.30","v1.4.30","v1.4.31","v1.4.31","v1.4.33","v1.4.33","v1.4.35","v1.4.35.2","v1.5","v1.5.1","v1.5.1"},MATCH(BD471,CHOOSE({1,2,3,4,5,6,7,8,9,10,11,12,13,14,15,16,17,18,19,20,21,22,23,24,25},E471,G471,I471,K471,M471,O471,Q471,S471,U471,W471,Y471,AA471,AC471,AE471,AG471,AI471,AK471,AM471,AO471,AQ471,AS471,AU471,AW471,AY471,BA471),0)))</x:f>
      </x:c>
      <x:c r="BF471" s="10" t="n">
        <x:f>IFERROR((AX471-BB471)/BB471,"")</x:f>
        <x:v>-1</x:v>
      </x:c>
      <x:c r="BG471" s="10" t="n">
        <x:f>IFERROR((AY471-BD471)/BD471,"")</x:f>
        <x:v>-1</x:v>
      </x:c>
    </x:row>
    <x:row r="472">
      <x:c r="A472" t="str">
        <x:v>Raw Data</x:v>
      </x:c>
      <x:c r="B472" t="str">
        <x:v>Process Demo P</x:v>
      </x:c>
      <x:c r="C472" t="str">
        <x:v>Demo P Working Source - copy active Raw Data rows to Demo P template | Rows Read: 5936; Rows Written: 2118; Write Mode: single output write</x:v>
      </x:c>
      <x:c r="D472" s="8"/>
      <x:c r="E472" s="8"/>
      <x:c r="F472" s="8"/>
      <x:c r="G472" s="8"/>
      <x:c r="H472" s="8"/>
      <x:c r="I472" s="8"/>
      <x:c r="J472" s="8"/>
      <x:c r="K472" s="8"/>
      <x:c r="L472" s="8"/>
      <x:c r="M472" s="8"/>
      <x:c r="N472" s="8"/>
      <x:c r="O472" s="8"/>
      <x:c r="P472" s="8"/>
      <x:c r="Q472" s="8"/>
      <x:c r="R472" s="8"/>
      <x:c r="S472" s="8"/>
      <x:c r="T472" s="8"/>
      <x:c r="U472" s="8"/>
      <x:c r="V472" s="8"/>
      <x:c r="W472" s="8"/>
      <x:c r="X472" s="8"/>
      <x:c r="Y472" s="8"/>
      <x:c r="Z472" s="8"/>
      <x:c r="AA472" s="8"/>
      <x:c r="AB472" s="8"/>
      <x:c r="AC472" s="8"/>
      <x:c r="AD472" s="8"/>
      <x:c r="AE472" s="8"/>
      <x:c r="AF472" s="8"/>
      <x:c r="AG472" s="8"/>
      <x:c r="AH472" s="8"/>
      <x:c r="AI472" s="8"/>
      <x:c r="AJ472" s="8"/>
      <x:c r="AK472" s="8"/>
      <x:c r="AL472" s="8"/>
      <x:c r="AM472" s="8"/>
      <x:c r="AN472" s="8"/>
      <x:c r="AO472" s="8"/>
      <x:c r="AP472" s="8"/>
      <x:c r="AQ472" s="8"/>
      <x:c r="AR472" s="8"/>
      <x:c r="AS472" s="8"/>
      <x:c r="AT472" s="8"/>
      <x:c r="AU472" s="8"/>
      <x:c r="AV472" s="8" t="n">
        <x:v>53.503</x:v>
      </x:c>
      <x:c r="AW472" s="8" t="n">
        <x:v>163.822</x:v>
      </x:c>
      <x:c r="AX472" s="8" t="n">
        <x:v>40.043</x:v>
      </x:c>
      <x:c r="AY472" s="8" t="n">
        <x:v>120.797</x:v>
      </x:c>
      <x:c r="AZ472" s="8" t="n">
        <x:v>40.043</x:v>
      </x:c>
      <x:c r="BA472" s="8" t="n">
        <x:v>120.797</x:v>
      </x:c>
      <x:c r="BB472" s="8" t="n">
        <x:f>LET(m,MIN(IF(D472&gt;0,D472,1E+99),IF(F472&gt;0,F472,1E+99),IF(H472&gt;0,H472,1E+99),IF(J472&gt;0,J472,1E+99),IF(L472&gt;0,L472,1E+99),IF(N472&gt;0,N472,1E+99),IF(P472&gt;0,P472,1E+99),IF(R472&gt;0,R472,1E+99),IF(T472&gt;0,T472,1E+99),IF(V472&gt;0,V472,1E+99),IF(X472&gt;0,X472,1E+99),IF(Z472&gt;0,Z472,1E+99),IF(AB472&gt;0,AB472,1E+99),IF(AD472&gt;0,AD472,1E+99),IF(AF472&gt;0,AF472,1E+99),IF(AH472&gt;0,AH472,1E+99),IF(AJ472&gt;0,AJ472,1E+99),IF(AL472&gt;0,AL472,1E+99),IF(AN472&gt;0,AN472,1E+99),IF(AP472&gt;0,AP472,1E+99),IF(AR472&gt;0,AR472,1E+99),IF(AT472&gt;0,AT472,1E+99),IF(AV472&gt;0,AV472,1E+99),IF(AX472&gt;0,AX472,1E+99),IF(AZ472&gt;0,AZ472,1E+99)),IF(m=1E+99,"",m))</x:f>
        <x:v>40.043</x:v>
      </x:c>
      <x:c r="BC472" s="12" t="e">
        <x:f>IF(BB472="","",INDEX({"v1.4.20","v1.4.20","v1.4.21","v1.4.21","v1.4.23","v1.4.23","v1.4.26","v1.4.26","v1.4.26.1","v1.4.26.1","v1.4.27","v1.4.27","v1.4.29","v1.4.29","v1.4.30","v1.4.30","v1.4.31","v1.4.31","v1.4.33","v1.4.33","v1.4.35","v1.4.35.2","v1.5","v1.5.1","v1.5.1"},MATCH(BB472,CHOOSE({1,2,3,4,5,6,7,8,9,10,11,12,13,14,15,16,17,18,19,20,21,22,23,24,25},D472,F472,H472,J472,L472,N472,P472,R472,T472,V472,X472,Z472,AB472,AD472,AF472,AH472,AJ472,AL472,AN472,AP472,AR472,AT472,AV472,AX472,AZ472),0)))</x:f>
      </x:c>
      <x:c r="BD472" s="14" t="n">
        <x:f>LET(m,MIN(IF(E472&gt;0,E472,1E+99),IF(G472&gt;0,G472,1E+99),IF(I472&gt;0,I472,1E+99),IF(K472&gt;0,K472,1E+99),IF(M472&gt;0,M472,1E+99),IF(O472&gt;0,O472,1E+99),IF(Q472&gt;0,Q472,1E+99),IF(S472&gt;0,S472,1E+99),IF(U472&gt;0,U472,1E+99),IF(W472&gt;0,W472,1E+99),IF(Y472&gt;0,Y472,1E+99),IF(AA472&gt;0,AA472,1E+99),IF(AC472&gt;0,AC472,1E+99),IF(AE472&gt;0,AE472,1E+99),IF(AG472&gt;0,AG472,1E+99),IF(AI472&gt;0,AI472,1E+99),IF(AK472&gt;0,AK472,1E+99),IF(AM472&gt;0,AM472,1E+99),IF(AO472&gt;0,AO472,1E+99),IF(AQ472&gt;0,AQ472,1E+99),IF(AS472&gt;0,AS472,1E+99),IF(AU472&gt;0,AU472,1E+99),IF(AW472&gt;0,AW472,1E+99),IF(AY472&gt;0,AY472,1E+99),IF(BA472&gt;0,BA472,1E+99)),IF(m=1E+99,"",m))</x:f>
        <x:v>120.797</x:v>
      </x:c>
      <x:c r="BE472" s="16" t="e">
        <x:f>IF(BD472="","",INDEX({"v1.4.20","v1.4.20","v1.4.21","v1.4.21","v1.4.23","v1.4.23","v1.4.26","v1.4.26","v1.4.26.1","v1.4.26.1","v1.4.27","v1.4.27","v1.4.29","v1.4.29","v1.4.30","v1.4.30","v1.4.31","v1.4.31","v1.4.33","v1.4.33","v1.4.35","v1.4.35.2","v1.5","v1.5.1","v1.5.1"},MATCH(BD472,CHOOSE({1,2,3,4,5,6,7,8,9,10,11,12,13,14,15,16,17,18,19,20,21,22,23,24,25},E472,G472,I472,K472,M472,O472,Q472,S472,U472,W472,Y472,AA472,AC472,AE472,AG472,AI472,AK472,AM472,AO472,AQ472,AS472,AU472,AW472,AY472,BA472),0)))</x:f>
      </x:c>
      <x:c r="BF472" s="10" t="n">
        <x:f>IFERROR((AX472-BB472)/BB472,"")</x:f>
        <x:v>0</x:v>
      </x:c>
      <x:c r="BG472" s="10" t="n">
        <x:f>IFERROR((AY472-BD472)/BD472,"")</x:f>
        <x:v>0</x:v>
      </x:c>
    </x:row>
    <x:row r="473">
      <x:c r="A473" t="str">
        <x:v>Raw Data</x:v>
      </x:c>
      <x:c r="B473" t="str">
        <x:v>Process Demo P</x:v>
      </x:c>
      <x:c r="C473" t="str">
        <x:v>Active-only processed Demo P built from protected Raw Data: Demo P 04.26</x:v>
      </x:c>
      <x:c r="D473" s="8" t="n">
        <x:v>2.166</x:v>
      </x:c>
      <x:c r="E473" s="8" t="n">
        <x:v>75.531</x:v>
      </x:c>
      <x:c r="F473" s="8" t="n">
        <x:v>2.166</x:v>
      </x:c>
      <x:c r="G473" s="8" t="n">
        <x:v>75.531</x:v>
      </x:c>
      <x:c r="H473" s="8" t="n">
        <x:v>2.004</x:v>
      </x:c>
      <x:c r="I473" s="8" t="n">
        <x:v>119.382</x:v>
      </x:c>
      <x:c r="J473" s="8" t="n">
        <x:v>2.004</x:v>
      </x:c>
      <x:c r="K473" s="8" t="n">
        <x:v>119.382</x:v>
      </x:c>
      <x:c r="L473" s="8" t="n">
        <x:v>0.032</x:v>
      </x:c>
      <x:c r="M473" s="8" t="n">
        <x:v>146.479</x:v>
      </x:c>
      <x:c r="N473" s="8" t="n">
        <x:v>0.032</x:v>
      </x:c>
      <x:c r="O473" s="8" t="n">
        <x:v>146.479</x:v>
      </x:c>
      <x:c r="P473" s="8"/>
      <x:c r="Q473" s="8"/>
      <x:c r="R473" s="8"/>
      <x:c r="S473" s="8"/>
      <x:c r="T473" s="8" t="n">
        <x:v>0.03</x:v>
      </x:c>
      <x:c r="U473" s="8" t="n">
        <x:v>123.745</x:v>
      </x:c>
      <x:c r="V473" s="8" t="n">
        <x:v>0.03</x:v>
      </x:c>
      <x:c r="W473" s="8" t="n">
        <x:v>123.745</x:v>
      </x:c>
      <x:c r="X473" s="8"/>
      <x:c r="Y473" s="8"/>
      <x:c r="Z473" s="8"/>
      <x:c r="AA473" s="8"/>
      <x:c r="AB473" s="8"/>
      <x:c r="AC473" s="8"/>
      <x:c r="AD473" s="8"/>
      <x:c r="AE473" s="8"/>
      <x:c r="AF473" s="8" t="n">
        <x:v>0.041</x:v>
      </x:c>
      <x:c r="AG473" s="8" t="n">
        <x:v>112.813</x:v>
      </x:c>
      <x:c r="AH473" s="8" t="n">
        <x:v>0.041</x:v>
      </x:c>
      <x:c r="AI473" s="8" t="n">
        <x:v>112.813</x:v>
      </x:c>
      <x:c r="AJ473" s="8" t="n">
        <x:v>0.037</x:v>
      </x:c>
      <x:c r="AK473" s="8" t="n">
        <x:v>148.599</x:v>
      </x:c>
      <x:c r="AL473" s="8" t="n">
        <x:v>0.037</x:v>
      </x:c>
      <x:c r="AM473" s="8" t="n">
        <x:v>148.599</x:v>
      </x:c>
      <x:c r="AN473" s="8" t="n">
        <x:v>0.031</x:v>
      </x:c>
      <x:c r="AO473" s="8" t="n">
        <x:v>149.167</x:v>
      </x:c>
      <x:c r="AP473" s="8" t="n">
        <x:v>0.031</x:v>
      </x:c>
      <x:c r="AQ473" s="8" t="n">
        <x:v>149.167</x:v>
      </x:c>
      <x:c r="AR473" s="8"/>
      <x:c r="AS473" s="8"/>
      <x:c r="AT473" s="8" t="n">
        <x:v>0.036</x:v>
      </x:c>
      <x:c r="AU473" s="8" t="n">
        <x:v>135.93</x:v>
      </x:c>
      <x:c r="AV473" s="8" t="n">
        <x:v>0.032</x:v>
      </x:c>
      <x:c r="AW473" s="8" t="n">
        <x:v>190.868</x:v>
      </x:c>
      <x:c r="AX473" s="8" t="n">
        <x:v>0.039</x:v>
      </x:c>
      <x:c r="AY473" s="8" t="n">
        <x:v>143.649</x:v>
      </x:c>
      <x:c r="AZ473" s="8" t="n">
        <x:v>0.039</x:v>
      </x:c>
      <x:c r="BA473" s="8" t="n">
        <x:v>143.649</x:v>
      </x:c>
      <x:c r="BB473" s="8" t="n">
        <x:f>LET(m,MIN(IF(D473&gt;0,D473,1E+99),IF(F473&gt;0,F473,1E+99),IF(H473&gt;0,H473,1E+99),IF(J473&gt;0,J473,1E+99),IF(L473&gt;0,L473,1E+99),IF(N473&gt;0,N473,1E+99),IF(P473&gt;0,P473,1E+99),IF(R473&gt;0,R473,1E+99),IF(T473&gt;0,T473,1E+99),IF(V473&gt;0,V473,1E+99),IF(X473&gt;0,X473,1E+99),IF(Z473&gt;0,Z473,1E+99),IF(AB473&gt;0,AB473,1E+99),IF(AD473&gt;0,AD473,1E+99),IF(AF473&gt;0,AF473,1E+99),IF(AH473&gt;0,AH473,1E+99),IF(AJ473&gt;0,AJ473,1E+99),IF(AL473&gt;0,AL473,1E+99),IF(AN473&gt;0,AN473,1E+99),IF(AP473&gt;0,AP473,1E+99),IF(AR473&gt;0,AR473,1E+99),IF(AT473&gt;0,AT473,1E+99),IF(AV473&gt;0,AV473,1E+99),IF(AX473&gt;0,AX473,1E+99),IF(AZ473&gt;0,AZ473,1E+99)),IF(m=1E+99,"",m))</x:f>
        <x:v>0.03</x:v>
      </x:c>
      <x:c r="BC473" s="12" t="e">
        <x:f>IF(BB473="","",INDEX({"v1.4.20","v1.4.20","v1.4.21","v1.4.21","v1.4.23","v1.4.23","v1.4.26","v1.4.26","v1.4.26.1","v1.4.26.1","v1.4.27","v1.4.27","v1.4.29","v1.4.29","v1.4.30","v1.4.30","v1.4.31","v1.4.31","v1.4.33","v1.4.33","v1.4.35","v1.4.35.2","v1.5","v1.5.1","v1.5.1"},MATCH(BB473,CHOOSE({1,2,3,4,5,6,7,8,9,10,11,12,13,14,15,16,17,18,19,20,21,22,23,24,25},D473,F473,H473,J473,L473,N473,P473,R473,T473,V473,X473,Z473,AB473,AD473,AF473,AH473,AJ473,AL473,AN473,AP473,AR473,AT473,AV473,AX473,AZ473),0)))</x:f>
      </x:c>
      <x:c r="BD473" s="14" t="n">
        <x:f>LET(m,MIN(IF(E473&gt;0,E473,1E+99),IF(G473&gt;0,G473,1E+99),IF(I473&gt;0,I473,1E+99),IF(K473&gt;0,K473,1E+99),IF(M473&gt;0,M473,1E+99),IF(O473&gt;0,O473,1E+99),IF(Q473&gt;0,Q473,1E+99),IF(S473&gt;0,S473,1E+99),IF(U473&gt;0,U473,1E+99),IF(W473&gt;0,W473,1E+99),IF(Y473&gt;0,Y473,1E+99),IF(AA473&gt;0,AA473,1E+99),IF(AC473&gt;0,AC473,1E+99),IF(AE473&gt;0,AE473,1E+99),IF(AG473&gt;0,AG473,1E+99),IF(AI473&gt;0,AI473,1E+99),IF(AK473&gt;0,AK473,1E+99),IF(AM473&gt;0,AM473,1E+99),IF(AO473&gt;0,AO473,1E+99),IF(AQ473&gt;0,AQ473,1E+99),IF(AS473&gt;0,AS473,1E+99),IF(AU473&gt;0,AU473,1E+99),IF(AW473&gt;0,AW473,1E+99),IF(AY473&gt;0,AY473,1E+99),IF(BA473&gt;0,BA473,1E+99)),IF(m=1E+99,"",m))</x:f>
        <x:v>75.531</x:v>
      </x:c>
      <x:c r="BE473" s="16" t="str">
        <x:f>IF(BD473="","",INDEX({"v1.4.20","v1.4.20","v1.4.21","v1.4.21","v1.4.23","v1.4.23","v1.4.26","v1.4.26","v1.4.26.1","v1.4.26.1","v1.4.27","v1.4.27","v1.4.29","v1.4.29","v1.4.30","v1.4.30","v1.4.31","v1.4.31","v1.4.33","v1.4.33","v1.4.35","v1.4.35.2","v1.5","v1.5.1","v1.5.1"},MATCH(BD473,CHOOSE({1,2,3,4,5,6,7,8,9,10,11,12,13,14,15,16,17,18,19,20,21,22,23,24,25},E473,G473,I473,K473,M473,O473,Q473,S473,U473,W473,Y473,AA473,AC473,AE473,AG473,AI473,AK473,AM473,AO473,AQ473,AS473,AU473,AW473,AY473,BA473),0)))</x:f>
        <x:v>v1.4.20</x:v>
      </x:c>
      <x:c r="BF473" s="10" t="n">
        <x:f>IFERROR((AX473-BB473)/BB473,"")</x:f>
        <x:v>0.30000000000000004</x:v>
      </x:c>
      <x:c r="BG473" s="10" t="n">
        <x:f>IFERROR((AY473-BD473)/BD473,"")</x:f>
        <x:v>0.9018548675378321</x:v>
      </x:c>
    </x:row>
    <x:row r="474">
      <x:c r="A474" t="str">
        <x:v>Raw Data</x:v>
      </x:c>
      <x:c r="B474" t="str">
        <x:v>Process Demo P</x:v>
      </x:c>
      <x:c r="C474" t="str">
        <x:v>Disenrolled exclusion built from Raw Data - PMRs excluded from Demo P: 721, rows copied: 721</x:v>
      </x:c>
      <x:c r="D474" s="8" t="n">
        <x:v>0.001</x:v>
      </x:c>
      <x:c r="E474" s="8" t="n">
        <x:v>77.129</x:v>
      </x:c>
      <x:c r="F474" s="8" t="n">
        <x:v>0.001</x:v>
      </x:c>
      <x:c r="G474" s="8" t="n">
        <x:v>77.129</x:v>
      </x:c>
      <x:c r="H474" s="8" t="n">
        <x:v>0.002</x:v>
      </x:c>
      <x:c r="I474" s="8" t="n">
        <x:v>120.699</x:v>
      </x:c>
      <x:c r="J474" s="8" t="n">
        <x:v>0.002</x:v>
      </x:c>
      <x:c r="K474" s="8" t="n">
        <x:v>120.699</x:v>
      </x:c>
      <x:c r="L474" s="8" t="n">
        <x:v>0.002</x:v>
      </x:c>
      <x:c r="M474" s="8" t="n">
        <x:v>153.098</x:v>
      </x:c>
      <x:c r="N474" s="8" t="n">
        <x:v>0.002</x:v>
      </x:c>
      <x:c r="O474" s="8" t="n">
        <x:v>153.098</x:v>
      </x:c>
      <x:c r="P474" s="8"/>
      <x:c r="Q474" s="8"/>
      <x:c r="R474" s="8"/>
      <x:c r="S474" s="8"/>
      <x:c r="T474" s="8" t="n">
        <x:v>0.001</x:v>
      </x:c>
      <x:c r="U474" s="8" t="n">
        <x:v>129.06</x:v>
      </x:c>
      <x:c r="V474" s="8" t="n">
        <x:v>0.001</x:v>
      </x:c>
      <x:c r="W474" s="8" t="n">
        <x:v>129.06</x:v>
      </x:c>
      <x:c r="X474" s="8"/>
      <x:c r="Y474" s="8"/>
      <x:c r="Z474" s="8"/>
      <x:c r="AA474" s="8"/>
      <x:c r="AB474" s="8"/>
      <x:c r="AC474" s="8"/>
      <x:c r="AD474" s="8"/>
      <x:c r="AE474" s="8"/>
      <x:c r="AF474" s="8" t="n">
        <x:v>0.001</x:v>
      </x:c>
      <x:c r="AG474" s="8" t="n">
        <x:v>117.223</x:v>
      </x:c>
      <x:c r="AH474" s="8" t="n">
        <x:v>0.001</x:v>
      </x:c>
      <x:c r="AI474" s="8" t="n">
        <x:v>117.223</x:v>
      </x:c>
      <x:c r="AJ474" s="8" t="n">
        <x:v>0.002</x:v>
      </x:c>
      <x:c r="AK474" s="8" t="n">
        <x:v>155.027</x:v>
      </x:c>
      <x:c r="AL474" s="8" t="n">
        <x:v>0.002</x:v>
      </x:c>
      <x:c r="AM474" s="8" t="n">
        <x:v>155.027</x:v>
      </x:c>
      <x:c r="AN474" s="8" t="n">
        <x:v>0.002</x:v>
      </x:c>
      <x:c r="AO474" s="8" t="n">
        <x:v>154.788</x:v>
      </x:c>
      <x:c r="AP474" s="8" t="n">
        <x:v>0.002</x:v>
      </x:c>
      <x:c r="AQ474" s="8" t="n">
        <x:v>154.788</x:v>
      </x:c>
      <x:c r="AR474" s="8"/>
      <x:c r="AS474" s="8"/>
      <x:c r="AT474" s="8" t="n">
        <x:v>0.002</x:v>
      </x:c>
      <x:c r="AU474" s="8" t="n">
        <x:v>140.892</x:v>
      </x:c>
      <x:c r="AV474" s="8" t="n">
        <x:v>0.001</x:v>
      </x:c>
      <x:c r="AW474" s="8" t="n">
        <x:v>197.374</x:v>
      </x:c>
      <x:c r="AX474" s="8" t="n">
        <x:v>0.001</x:v>
      </x:c>
      <x:c r="AY474" s="8" t="n">
        <x:v>149.498</x:v>
      </x:c>
      <x:c r="AZ474" s="8" t="n">
        <x:v>0.001</x:v>
      </x:c>
      <x:c r="BA474" s="8" t="n">
        <x:v>149.498</x:v>
      </x:c>
      <x:c r="BB474" s="8" t="n">
        <x:f>LET(m,MIN(IF(D474&gt;0,D474,1E+99),IF(F474&gt;0,F474,1E+99),IF(H474&gt;0,H474,1E+99),IF(J474&gt;0,J474,1E+99),IF(L474&gt;0,L474,1E+99),IF(N474&gt;0,N474,1E+99),IF(P474&gt;0,P474,1E+99),IF(R474&gt;0,R474,1E+99),IF(T474&gt;0,T474,1E+99),IF(V474&gt;0,V474,1E+99),IF(X474&gt;0,X474,1E+99),IF(Z474&gt;0,Z474,1E+99),IF(AB474&gt;0,AB474,1E+99),IF(AD474&gt;0,AD474,1E+99),IF(AF474&gt;0,AF474,1E+99),IF(AH474&gt;0,AH474,1E+99),IF(AJ474&gt;0,AJ474,1E+99),IF(AL474&gt;0,AL474,1E+99),IF(AN474&gt;0,AN474,1E+99),IF(AP474&gt;0,AP474,1E+99),IF(AR474&gt;0,AR474,1E+99),IF(AT474&gt;0,AT474,1E+99),IF(AV474&gt;0,AV474,1E+99),IF(AX474&gt;0,AX474,1E+99),IF(AZ474&gt;0,AZ474,1E+99)),IF(m=1E+99,"",m))</x:f>
        <x:v>0.001</x:v>
      </x:c>
      <x:c r="BC474" s="12" t="str">
        <x:f>IF(BB474="","",INDEX({"v1.4.20","v1.4.20","v1.4.21","v1.4.21","v1.4.23","v1.4.23","v1.4.26","v1.4.26","v1.4.26.1","v1.4.26.1","v1.4.27","v1.4.27","v1.4.29","v1.4.29","v1.4.30","v1.4.30","v1.4.31","v1.4.31","v1.4.33","v1.4.33","v1.4.35","v1.4.35.2","v1.5","v1.5.1","v1.5.1"},MATCH(BB474,CHOOSE({1,2,3,4,5,6,7,8,9,10,11,12,13,14,15,16,17,18,19,20,21,22,23,24,25},D474,F474,H474,J474,L474,N474,P474,R474,T474,V474,X474,Z474,AB474,AD474,AF474,AH474,AJ474,AL474,AN474,AP474,AR474,AT474,AV474,AX474,AZ474),0)))</x:f>
        <x:v>v1.4.20</x:v>
      </x:c>
      <x:c r="BD474" s="14" t="n">
        <x:f>LET(m,MIN(IF(E474&gt;0,E474,1E+99),IF(G474&gt;0,G474,1E+99),IF(I474&gt;0,I474,1E+99),IF(K474&gt;0,K474,1E+99),IF(M474&gt;0,M474,1E+99),IF(O474&gt;0,O474,1E+99),IF(Q474&gt;0,Q474,1E+99),IF(S474&gt;0,S474,1E+99),IF(U474&gt;0,U474,1E+99),IF(W474&gt;0,W474,1E+99),IF(Y474&gt;0,Y474,1E+99),IF(AA474&gt;0,AA474,1E+99),IF(AC474&gt;0,AC474,1E+99),IF(AE474&gt;0,AE474,1E+99),IF(AG474&gt;0,AG474,1E+99),IF(AI474&gt;0,AI474,1E+99),IF(AK474&gt;0,AK474,1E+99),IF(AM474&gt;0,AM474,1E+99),IF(AO474&gt;0,AO474,1E+99),IF(AQ474&gt;0,AQ474,1E+99),IF(AS474&gt;0,AS474,1E+99),IF(AU474&gt;0,AU474,1E+99),IF(AW474&gt;0,AW474,1E+99),IF(AY474&gt;0,AY474,1E+99),IF(BA474&gt;0,BA474,1E+99)),IF(m=1E+99,"",m))</x:f>
        <x:v>77.129</x:v>
      </x:c>
      <x:c r="BE474" s="16" t="str">
        <x:f>IF(BD474="","",INDEX({"v1.4.20","v1.4.20","v1.4.21","v1.4.21","v1.4.23","v1.4.23","v1.4.26","v1.4.26","v1.4.26.1","v1.4.26.1","v1.4.27","v1.4.27","v1.4.29","v1.4.29","v1.4.30","v1.4.30","v1.4.31","v1.4.31","v1.4.33","v1.4.33","v1.4.35","v1.4.35.2","v1.5","v1.5.1","v1.5.1"},MATCH(BD474,CHOOSE({1,2,3,4,5,6,7,8,9,10,11,12,13,14,15,16,17,18,19,20,21,22,23,24,25},E474,G474,I474,K474,M474,O474,Q474,S474,U474,W474,Y474,AA474,AC474,AE474,AG474,AI474,AK474,AM474,AO474,AQ474,AS474,AU474,AW474,AY474,BA474),0)))</x:f>
        <x:v>v1.4.20</x:v>
      </x:c>
      <x:c r="BF474" s="10" t="n">
        <x:f>IFERROR((AX474-BB474)/BB474,"")</x:f>
        <x:v>0</x:v>
      </x:c>
      <x:c r="BG474" s="10" t="n">
        <x:f>IFERROR((AY474-BD474)/BD474,"")</x:f>
        <x:v>0.9382852104915139</x:v>
      </x:c>
    </x:row>
    <x:row r="475">
      <x:c r="A475" t="str">
        <x:v>Raw Data</x:v>
      </x:c>
      <x:c r="B475" t="str">
        <x:v>Process Demo P</x:v>
      </x:c>
      <x:c r="C475" t="str">
        <x:v>Demo P Working Source processing skipped - already completed in optimized Raw Data single-pass build</x:v>
      </x:c>
      <x:c r="D475" s="8" t="n">
        <x:v>0.001</x:v>
      </x:c>
      <x:c r="E475" s="8" t="n">
        <x:v>77.13</x:v>
      </x:c>
      <x:c r="F475" s="8" t="n">
        <x:v>0.001</x:v>
      </x:c>
      <x:c r="G475" s="8" t="n">
        <x:v>77.13</x:v>
      </x:c>
      <x:c r="H475" s="8" t="n">
        <x:v>0.001</x:v>
      </x:c>
      <x:c r="I475" s="8" t="n">
        <x:v>120.7</x:v>
      </x:c>
      <x:c r="J475" s="8" t="n">
        <x:v>0.001</x:v>
      </x:c>
      <x:c r="K475" s="8" t="n">
        <x:v>120.7</x:v>
      </x:c>
      <x:c r="L475" s="8" t="n">
        <x:v>0.001</x:v>
      </x:c>
      <x:c r="M475" s="8" t="n">
        <x:v>153.099</x:v>
      </x:c>
      <x:c r="N475" s="8" t="n">
        <x:v>0.001</x:v>
      </x:c>
      <x:c r="O475" s="8" t="n">
        <x:v>153.099</x:v>
      </x:c>
      <x:c r="P475" s="8"/>
      <x:c r="Q475" s="8"/>
      <x:c r="R475" s="8"/>
      <x:c r="S475" s="8"/>
      <x:c r="T475" s="8" t="n">
        <x:v>0.002</x:v>
      </x:c>
      <x:c r="U475" s="8" t="n">
        <x:v>129.062</x:v>
      </x:c>
      <x:c r="V475" s="8" t="n">
        <x:v>0.002</x:v>
      </x:c>
      <x:c r="W475" s="8" t="n">
        <x:v>129.062</x:v>
      </x:c>
      <x:c r="X475" s="8"/>
      <x:c r="Y475" s="8"/>
      <x:c r="Z475" s="8"/>
      <x:c r="AA475" s="8"/>
      <x:c r="AB475" s="8"/>
      <x:c r="AC475" s="8"/>
      <x:c r="AD475" s="8"/>
      <x:c r="AE475" s="8"/>
      <x:c r="AF475" s="8" t="n">
        <x:v>0.001</x:v>
      </x:c>
      <x:c r="AG475" s="8" t="n">
        <x:v>117.224</x:v>
      </x:c>
      <x:c r="AH475" s="8" t="n">
        <x:v>0.001</x:v>
      </x:c>
      <x:c r="AI475" s="8" t="n">
        <x:v>117.224</x:v>
      </x:c>
      <x:c r="AJ475" s="8" t="n">
        <x:v>0.002</x:v>
      </x:c>
      <x:c r="AK475" s="8" t="n">
        <x:v>155.029</x:v>
      </x:c>
      <x:c r="AL475" s="8" t="n">
        <x:v>0.002</x:v>
      </x:c>
      <x:c r="AM475" s="8" t="n">
        <x:v>155.029</x:v>
      </x:c>
      <x:c r="AN475" s="8" t="n">
        <x:v>0.002</x:v>
      </x:c>
      <x:c r="AO475" s="8" t="n">
        <x:v>154.79</x:v>
      </x:c>
      <x:c r="AP475" s="8" t="n">
        <x:v>0.002</x:v>
      </x:c>
      <x:c r="AQ475" s="8" t="n">
        <x:v>154.79</x:v>
      </x:c>
      <x:c r="AR475" s="8"/>
      <x:c r="AS475" s="8"/>
      <x:c r="AT475" s="8" t="n">
        <x:v>0.001</x:v>
      </x:c>
      <x:c r="AU475" s="8" t="n">
        <x:v>140.893</x:v>
      </x:c>
      <x:c r="AV475" s="8" t="n">
        <x:v>0.001</x:v>
      </x:c>
      <x:c r="AW475" s="8" t="n">
        <x:v>197.375</x:v>
      </x:c>
      <x:c r="AX475" s="8" t="n">
        <x:v>0.001</x:v>
      </x:c>
      <x:c r="AY475" s="8" t="n">
        <x:v>149.499</x:v>
      </x:c>
      <x:c r="AZ475" s="8" t="n">
        <x:v>0.001</x:v>
      </x:c>
      <x:c r="BA475" s="8" t="n">
        <x:v>149.499</x:v>
      </x:c>
      <x:c r="BB475" s="8" t="n">
        <x:f>LET(m,MIN(IF(D475&gt;0,D475,1E+99),IF(F475&gt;0,F475,1E+99),IF(H475&gt;0,H475,1E+99),IF(J475&gt;0,J475,1E+99),IF(L475&gt;0,L475,1E+99),IF(N475&gt;0,N475,1E+99),IF(P475&gt;0,P475,1E+99),IF(R475&gt;0,R475,1E+99),IF(T475&gt;0,T475,1E+99),IF(V475&gt;0,V475,1E+99),IF(X475&gt;0,X475,1E+99),IF(Z475&gt;0,Z475,1E+99),IF(AB475&gt;0,AB475,1E+99),IF(AD475&gt;0,AD475,1E+99),IF(AF475&gt;0,AF475,1E+99),IF(AH475&gt;0,AH475,1E+99),IF(AJ475&gt;0,AJ475,1E+99),IF(AL475&gt;0,AL475,1E+99),IF(AN475&gt;0,AN475,1E+99),IF(AP475&gt;0,AP475,1E+99),IF(AR475&gt;0,AR475,1E+99),IF(AT475&gt;0,AT475,1E+99),IF(AV475&gt;0,AV475,1E+99),IF(AX475&gt;0,AX475,1E+99),IF(AZ475&gt;0,AZ475,1E+99)),IF(m=1E+99,"",m))</x:f>
        <x:v>0.001</x:v>
      </x:c>
      <x:c r="BC475" s="12" t="str">
        <x:f>IF(BB475="","",INDEX({"v1.4.20","v1.4.20","v1.4.21","v1.4.21","v1.4.23","v1.4.23","v1.4.26","v1.4.26","v1.4.26.1","v1.4.26.1","v1.4.27","v1.4.27","v1.4.29","v1.4.29","v1.4.30","v1.4.30","v1.4.31","v1.4.31","v1.4.33","v1.4.33","v1.4.35","v1.4.35.2","v1.5","v1.5.1","v1.5.1"},MATCH(BB475,CHOOSE({1,2,3,4,5,6,7,8,9,10,11,12,13,14,15,16,17,18,19,20,21,22,23,24,25},D475,F475,H475,J475,L475,N475,P475,R475,T475,V475,X475,Z475,AB475,AD475,AF475,AH475,AJ475,AL475,AN475,AP475,AR475,AT475,AV475,AX475,AZ475),0)))</x:f>
        <x:v>v1.4.20</x:v>
      </x:c>
      <x:c r="BD475" s="14" t="n">
        <x:f>LET(m,MIN(IF(E475&gt;0,E475,1E+99),IF(G475&gt;0,G475,1E+99),IF(I475&gt;0,I475,1E+99),IF(K475&gt;0,K475,1E+99),IF(M475&gt;0,M475,1E+99),IF(O475&gt;0,O475,1E+99),IF(Q475&gt;0,Q475,1E+99),IF(S475&gt;0,S475,1E+99),IF(U475&gt;0,U475,1E+99),IF(W475&gt;0,W475,1E+99),IF(Y475&gt;0,Y475,1E+99),IF(AA475&gt;0,AA475,1E+99),IF(AC475&gt;0,AC475,1E+99),IF(AE475&gt;0,AE475,1E+99),IF(AG475&gt;0,AG475,1E+99),IF(AI475&gt;0,AI475,1E+99),IF(AK475&gt;0,AK475,1E+99),IF(AM475&gt;0,AM475,1E+99),IF(AO475&gt;0,AO475,1E+99),IF(AQ475&gt;0,AQ475,1E+99),IF(AS475&gt;0,AS475,1E+99),IF(AU475&gt;0,AU475,1E+99),IF(AW475&gt;0,AW475,1E+99),IF(AY475&gt;0,AY475,1E+99),IF(BA475&gt;0,BA475,1E+99)),IF(m=1E+99,"",m))</x:f>
        <x:v>77.13</x:v>
      </x:c>
      <x:c r="BE475" s="16" t="str">
        <x:f>IF(BD475="","",INDEX({"v1.4.20","v1.4.20","v1.4.21","v1.4.21","v1.4.23","v1.4.23","v1.4.26","v1.4.26","v1.4.26.1","v1.4.26.1","v1.4.27","v1.4.27","v1.4.29","v1.4.29","v1.4.30","v1.4.30","v1.4.31","v1.4.31","v1.4.33","v1.4.33","v1.4.35","v1.4.35.2","v1.5","v1.5.1","v1.5.1"},MATCH(BD475,CHOOSE({1,2,3,4,5,6,7,8,9,10,11,12,13,14,15,16,17,18,19,20,21,22,23,24,25},E475,G475,I475,K475,M475,O475,Q475,S475,U475,W475,Y475,AA475,AC475,AE475,AG475,AI475,AK475,AM475,AO475,AQ475,AS475,AU475,AW475,AY475,BA475),0)))</x:f>
        <x:v>v1.4.20</x:v>
      </x:c>
      <x:c r="BF475" s="10" t="n">
        <x:f>IFERROR((AX475-BB475)/BB475,"")</x:f>
        <x:v>0</x:v>
      </x:c>
      <x:c r="BG475" s="10" t="n">
        <x:f>IFERROR((AY475-BD475)/BD475,"")</x:f>
        <x:v>0.9382730455075846</x:v>
      </x:c>
    </x:row>
    <x:row r="476">
      <x:c r="A476" t="str">
        <x:v>Raw Data</x:v>
      </x:c>
      <x:c r="B476" t="str">
        <x:v>Process Demo P</x:v>
      </x:c>
      <x:c r="C476" t="str">
        <x:v>Demo P Working Source - copy active Raw Data rows to Demo P template</x:v>
      </x:c>
      <x:c r="D476" s="8"/>
      <x:c r="E476" s="8"/>
      <x:c r="F476" s="8"/>
      <x:c r="G476" s="8"/>
      <x:c r="H476" s="8"/>
      <x:c r="I476" s="8"/>
      <x:c r="J476" s="8"/>
      <x:c r="K476" s="8"/>
      <x:c r="L476" s="8" t="n">
        <x:v>56.071</x:v>
      </x:c>
      <x:c r="M476" s="8" t="n">
        <x:v>113.704</x:v>
      </x:c>
      <x:c r="N476" s="8" t="n">
        <x:v>56.071</x:v>
      </x:c>
      <x:c r="O476" s="8" t="n">
        <x:v>113.704</x:v>
      </x:c>
      <x:c r="P476" s="8"/>
      <x:c r="Q476" s="8"/>
      <x:c r="R476" s="8"/>
      <x:c r="S476" s="8"/>
      <x:c r="T476" s="8" t="n">
        <x:v>38.22</x:v>
      </x:c>
      <x:c r="U476" s="8" t="n">
        <x:v>100.948</x:v>
      </x:c>
      <x:c r="V476" s="8" t="n">
        <x:v>38.22</x:v>
      </x:c>
      <x:c r="W476" s="8" t="n">
        <x:v>100.948</x:v>
      </x:c>
      <x:c r="X476" s="8"/>
      <x:c r="Y476" s="8"/>
      <x:c r="Z476" s="8"/>
      <x:c r="AA476" s="8"/>
      <x:c r="AB476" s="8"/>
      <x:c r="AC476" s="8"/>
      <x:c r="AD476" s="8"/>
      <x:c r="AE476" s="8"/>
      <x:c r="AF476" s="8" t="n">
        <x:v>34.819</x:v>
      </x:c>
      <x:c r="AG476" s="8" t="n">
        <x:v>94.342</x:v>
      </x:c>
      <x:c r="AH476" s="8" t="n">
        <x:v>34.819</x:v>
      </x:c>
      <x:c r="AI476" s="8" t="n">
        <x:v>94.342</x:v>
      </x:c>
      <x:c r="AJ476" s="8" t="n">
        <x:v>43.427</x:v>
      </x:c>
      <x:c r="AK476" s="8" t="n">
        <x:v>122.283</x:v>
      </x:c>
      <x:c r="AL476" s="8" t="n">
        <x:v>43.427</x:v>
      </x:c>
      <x:c r="AM476" s="8" t="n">
        <x:v>122.283</x:v>
      </x:c>
      <x:c r="AN476" s="8" t="n">
        <x:v>35.465</x:v>
      </x:c>
      <x:c r="AO476" s="8" t="n">
        <x:v>125.143</x:v>
      </x:c>
      <x:c r="AP476" s="8" t="n">
        <x:v>35.465</x:v>
      </x:c>
      <x:c r="AQ476" s="8" t="n">
        <x:v>125.143</x:v>
      </x:c>
      <x:c r="AR476" s="8"/>
      <x:c r="AS476" s="8"/>
      <x:c r="AT476" s="8" t="n">
        <x:v>37.245</x:v>
      </x:c>
      <x:c r="AU476" s="8" t="n">
        <x:v>114.903</x:v>
      </x:c>
      <x:c r="AV476" s="8"/>
      <x:c r="AW476" s="8"/>
      <x:c r="AX476" s="8"/>
      <x:c r="AY476" s="8"/>
      <x:c r="AZ476" s="8"/>
      <x:c r="BA476" s="8"/>
      <x:c r="BB476" s="8" t="n">
        <x:f>LET(m,MIN(IF(D476&gt;0,D476,1E+99),IF(F476&gt;0,F476,1E+99),IF(H476&gt;0,H476,1E+99),IF(J476&gt;0,J476,1E+99),IF(L476&gt;0,L476,1E+99),IF(N476&gt;0,N476,1E+99),IF(P476&gt;0,P476,1E+99),IF(R476&gt;0,R476,1E+99),IF(T476&gt;0,T476,1E+99),IF(V476&gt;0,V476,1E+99),IF(X476&gt;0,X476,1E+99),IF(Z476&gt;0,Z476,1E+99),IF(AB476&gt;0,AB476,1E+99),IF(AD476&gt;0,AD476,1E+99),IF(AF476&gt;0,AF476,1E+99),IF(AH476&gt;0,AH476,1E+99),IF(AJ476&gt;0,AJ476,1E+99),IF(AL476&gt;0,AL476,1E+99),IF(AN476&gt;0,AN476,1E+99),IF(AP476&gt;0,AP476,1E+99),IF(AR476&gt;0,AR476,1E+99),IF(AT476&gt;0,AT476,1E+99),IF(AV476&gt;0,AV476,1E+99),IF(AX476&gt;0,AX476,1E+99),IF(AZ476&gt;0,AZ476,1E+99)),IF(m=1E+99,"",m))</x:f>
        <x:v>34.819</x:v>
      </x:c>
      <x:c r="BC476" s="12" t="e">
        <x:f>IF(BB476="","",INDEX({"v1.4.20","v1.4.20","v1.4.21","v1.4.21","v1.4.23","v1.4.23","v1.4.26","v1.4.26","v1.4.26.1","v1.4.26.1","v1.4.27","v1.4.27","v1.4.29","v1.4.29","v1.4.30","v1.4.30","v1.4.31","v1.4.31","v1.4.33","v1.4.33","v1.4.35","v1.4.35.2","v1.5","v1.5.1","v1.5.1"},MATCH(BB476,CHOOSE({1,2,3,4,5,6,7,8,9,10,11,12,13,14,15,16,17,18,19,20,21,22,23,24,25},D476,F476,H476,J476,L476,N476,P476,R476,T476,V476,X476,Z476,AB476,AD476,AF476,AH476,AJ476,AL476,AN476,AP476,AR476,AT476,AV476,AX476,AZ476),0)))</x:f>
      </x:c>
      <x:c r="BD476" s="14" t="n">
        <x:f>LET(m,MIN(IF(E476&gt;0,E476,1E+99),IF(G476&gt;0,G476,1E+99),IF(I476&gt;0,I476,1E+99),IF(K476&gt;0,K476,1E+99),IF(M476&gt;0,M476,1E+99),IF(O476&gt;0,O476,1E+99),IF(Q476&gt;0,Q476,1E+99),IF(S476&gt;0,S476,1E+99),IF(U476&gt;0,U476,1E+99),IF(W476&gt;0,W476,1E+99),IF(Y476&gt;0,Y476,1E+99),IF(AA476&gt;0,AA476,1E+99),IF(AC476&gt;0,AC476,1E+99),IF(AE476&gt;0,AE476,1E+99),IF(AG476&gt;0,AG476,1E+99),IF(AI476&gt;0,AI476,1E+99),IF(AK476&gt;0,AK476,1E+99),IF(AM476&gt;0,AM476,1E+99),IF(AO476&gt;0,AO476,1E+99),IF(AQ476&gt;0,AQ476,1E+99),IF(AS476&gt;0,AS476,1E+99),IF(AU476&gt;0,AU476,1E+99),IF(AW476&gt;0,AW476,1E+99),IF(AY476&gt;0,AY476,1E+99),IF(BA476&gt;0,BA476,1E+99)),IF(m=1E+99,"",m))</x:f>
        <x:v>94.342</x:v>
      </x:c>
      <x:c r="BE476" s="16" t="e">
        <x:f>IF(BD476="","",INDEX({"v1.4.20","v1.4.20","v1.4.21","v1.4.21","v1.4.23","v1.4.23","v1.4.26","v1.4.26","v1.4.26.1","v1.4.26.1","v1.4.27","v1.4.27","v1.4.29","v1.4.29","v1.4.30","v1.4.30","v1.4.31","v1.4.31","v1.4.33","v1.4.33","v1.4.35","v1.4.35.2","v1.5","v1.5.1","v1.5.1"},MATCH(BD476,CHOOSE({1,2,3,4,5,6,7,8,9,10,11,12,13,14,15,16,17,18,19,20,21,22,23,24,25},E476,G476,I476,K476,M476,O476,Q476,S476,U476,W476,Y476,AA476,AC476,AE476,AG476,AI476,AK476,AM476,AO476,AQ476,AS476,AU476,AW476,AY476,BA476),0)))</x:f>
      </x:c>
      <x:c r="BF476" s="10" t="n">
        <x:f>IFERROR((AX476-BB476)/BB476,"")</x:f>
        <x:v>-1</x:v>
      </x:c>
      <x:c r="BG476" s="10" t="n">
        <x:f>IFERROR((AY476-BD476)/BD476,"")</x:f>
        <x:v>-1</x:v>
      </x:c>
    </x:row>
    <x:row r="477">
      <x:c r="A477" t="str">
        <x:v>Raw Data</x:v>
      </x:c>
      <x:c r="B477" t="str">
        <x:v>Process Demo P</x:v>
      </x:c>
      <x:c r="C477" t="str">
        <x:v>Demo P Working Source - verify Primary PMR Row from Raw Data</x:v>
      </x:c>
      <x:c r="D477" s="8" t="n">
        <x:v>36.961</x:v>
      </x:c>
      <x:c r="E477" s="8" t="n">
        <x:v>42.182</x:v>
      </x:c>
      <x:c r="F477" s="8" t="n">
        <x:v>36.961</x:v>
      </x:c>
      <x:c r="G477" s="8" t="n">
        <x:v>42.182</x:v>
      </x:c>
      <x:c r="H477" s="8" t="n">
        <x:v>0.002</x:v>
      </x:c>
      <x:c r="I477" s="8" t="n">
        <x:v>76.763</x:v>
      </x:c>
      <x:c r="J477" s="8" t="n">
        <x:v>0.002</x:v>
      </x:c>
      <x:c r="K477" s="8" t="n">
        <x:v>76.763</x:v>
      </x:c>
      <x:c r="L477" s="8"/>
      <x:c r="M477" s="8"/>
      <x:c r="N477" s="8"/>
      <x:c r="O477" s="8"/>
      <x:c r="P477" s="8"/>
      <x:c r="Q477" s="8"/>
      <x:c r="R477" s="8"/>
      <x:c r="S477" s="8"/>
      <x:c r="T477" s="8"/>
      <x:c r="U477" s="8"/>
      <x:c r="V477" s="8"/>
      <x:c r="W477" s="8"/>
      <x:c r="X477" s="8"/>
      <x:c r="Y477" s="8"/>
      <x:c r="Z477" s="8"/>
      <x:c r="AA477" s="8"/>
      <x:c r="AB477" s="8"/>
      <x:c r="AC477" s="8"/>
      <x:c r="AD477" s="8"/>
      <x:c r="AE477" s="8"/>
      <x:c r="AF477" s="8"/>
      <x:c r="AG477" s="8"/>
      <x:c r="AH477" s="8"/>
      <x:c r="AI477" s="8"/>
      <x:c r="AJ477" s="8"/>
      <x:c r="AK477" s="8"/>
      <x:c r="AL477" s="8"/>
      <x:c r="AM477" s="8"/>
      <x:c r="AN477" s="8"/>
      <x:c r="AO477" s="8"/>
      <x:c r="AP477" s="8"/>
      <x:c r="AQ477" s="8"/>
      <x:c r="AR477" s="8"/>
      <x:c r="AS477" s="8"/>
      <x:c r="AT477" s="8"/>
      <x:c r="AU477" s="8"/>
      <x:c r="AV477" s="8"/>
      <x:c r="AW477" s="8"/>
      <x:c r="AX477" s="8"/>
      <x:c r="AY477" s="8"/>
      <x:c r="AZ477" s="8"/>
      <x:c r="BA477" s="8"/>
      <x:c r="BB477" s="8" t="n">
        <x:f>LET(m,MIN(IF(D477&gt;0,D477,1E+99),IF(F477&gt;0,F477,1E+99),IF(H477&gt;0,H477,1E+99),IF(J477&gt;0,J477,1E+99),IF(L477&gt;0,L477,1E+99),IF(N477&gt;0,N477,1E+99),IF(P477&gt;0,P477,1E+99),IF(R477&gt;0,R477,1E+99),IF(T477&gt;0,T477,1E+99),IF(V477&gt;0,V477,1E+99),IF(X477&gt;0,X477,1E+99),IF(Z477&gt;0,Z477,1E+99),IF(AB477&gt;0,AB477,1E+99),IF(AD477&gt;0,AD477,1E+99),IF(AF477&gt;0,AF477,1E+99),IF(AH477&gt;0,AH477,1E+99),IF(AJ477&gt;0,AJ477,1E+99),IF(AL477&gt;0,AL477,1E+99),IF(AN477&gt;0,AN477,1E+99),IF(AP477&gt;0,AP477,1E+99),IF(AR477&gt;0,AR477,1E+99),IF(AT477&gt;0,AT477,1E+99),IF(AV477&gt;0,AV477,1E+99),IF(AX477&gt;0,AX477,1E+99),IF(AZ477&gt;0,AZ477,1E+99)),IF(m=1E+99,"",m))</x:f>
        <x:v>0.002</x:v>
      </x:c>
      <x:c r="BC477" s="12" t="e">
        <x:f>IF(BB477="","",INDEX({"v1.4.20","v1.4.20","v1.4.21","v1.4.21","v1.4.23","v1.4.23","v1.4.26","v1.4.26","v1.4.26.1","v1.4.26.1","v1.4.27","v1.4.27","v1.4.29","v1.4.29","v1.4.30","v1.4.30","v1.4.31","v1.4.31","v1.4.33","v1.4.33","v1.4.35","v1.4.35.2","v1.5","v1.5.1","v1.5.1"},MATCH(BB477,CHOOSE({1,2,3,4,5,6,7,8,9,10,11,12,13,14,15,16,17,18,19,20,21,22,23,24,25},D477,F477,H477,J477,L477,N477,P477,R477,T477,V477,X477,Z477,AB477,AD477,AF477,AH477,AJ477,AL477,AN477,AP477,AR477,AT477,AV477,AX477,AZ477),0)))</x:f>
      </x:c>
      <x:c r="BD477" s="14" t="n">
        <x:f>LET(m,MIN(IF(E477&gt;0,E477,1E+99),IF(G477&gt;0,G477,1E+99),IF(I477&gt;0,I477,1E+99),IF(K477&gt;0,K477,1E+99),IF(M477&gt;0,M477,1E+99),IF(O477&gt;0,O477,1E+99),IF(Q477&gt;0,Q477,1E+99),IF(S477&gt;0,S477,1E+99),IF(U477&gt;0,U477,1E+99),IF(W477&gt;0,W477,1E+99),IF(Y477&gt;0,Y477,1E+99),IF(AA477&gt;0,AA477,1E+99),IF(AC477&gt;0,AC477,1E+99),IF(AE477&gt;0,AE477,1E+99),IF(AG477&gt;0,AG477,1E+99),IF(AI477&gt;0,AI477,1E+99),IF(AK477&gt;0,AK477,1E+99),IF(AM477&gt;0,AM477,1E+99),IF(AO477&gt;0,AO477,1E+99),IF(AQ477&gt;0,AQ477,1E+99),IF(AS477&gt;0,AS477,1E+99),IF(AU477&gt;0,AU477,1E+99),IF(AW477&gt;0,AW477,1E+99),IF(AY477&gt;0,AY477,1E+99),IF(BA477&gt;0,BA477,1E+99)),IF(m=1E+99,"",m))</x:f>
        <x:v>42.182</x:v>
      </x:c>
      <x:c r="BE477" s="16" t="str">
        <x:f>IF(BD477="","",INDEX({"v1.4.20","v1.4.20","v1.4.21","v1.4.21","v1.4.23","v1.4.23","v1.4.26","v1.4.26","v1.4.26.1","v1.4.26.1","v1.4.27","v1.4.27","v1.4.29","v1.4.29","v1.4.30","v1.4.30","v1.4.31","v1.4.31","v1.4.33","v1.4.33","v1.4.35","v1.4.35.2","v1.5","v1.5.1","v1.5.1"},MATCH(BD477,CHOOSE({1,2,3,4,5,6,7,8,9,10,11,12,13,14,15,16,17,18,19,20,21,22,23,24,25},E477,G477,I477,K477,M477,O477,Q477,S477,U477,W477,Y477,AA477,AC477,AE477,AG477,AI477,AK477,AM477,AO477,AQ477,AS477,AU477,AW477,AY477,BA477),0)))</x:f>
        <x:v>v1.4.20</x:v>
      </x:c>
      <x:c r="BF477" s="10" t="n">
        <x:f>IFERROR((AX477-BB477)/BB477,"")</x:f>
        <x:v>-1</x:v>
      </x:c>
      <x:c r="BG477" s="10" t="n">
        <x:f>IFERROR((AY477-BD477)/BD477,"")</x:f>
        <x:v>-1</x:v>
      </x:c>
    </x:row>
    <x:row r="478">
      <x:c r="A478" t="str"/>
      <x:c r="B478" t="str">
        <x:v>Create Master List</x:v>
      </x:c>
      <x:c r="C478" t="str">
        <x:v>Start</x:v>
      </x:c>
      <x:c r="D478" s="8" t="n">
        <x:v>0</x:v>
      </x:c>
      <x:c r="E478" s="8" t="n">
        <x:v>0</x:v>
      </x:c>
      <x:c r="F478" s="8" t="n">
        <x:v>0</x:v>
      </x:c>
      <x:c r="G478" s="8" t="n">
        <x:v>0</x:v>
      </x:c>
      <x:c r="H478" s="8" t="n">
        <x:v>0</x:v>
      </x:c>
      <x:c r="I478" s="8" t="n">
        <x:v>0</x:v>
      </x:c>
      <x:c r="J478" s="8" t="n">
        <x:v>0</x:v>
      </x:c>
      <x:c r="K478" s="8" t="n">
        <x:v>0</x:v>
      </x:c>
      <x:c r="L478" s="8" t="n">
        <x:v>0</x:v>
      </x:c>
      <x:c r="M478" s="8" t="n">
        <x:v>0</x:v>
      </x:c>
      <x:c r="N478" s="8" t="n">
        <x:v>0</x:v>
      </x:c>
      <x:c r="O478" s="8" t="n">
        <x:v>0</x:v>
      </x:c>
      <x:c r="P478" s="8"/>
      <x:c r="Q478" s="8"/>
      <x:c r="R478" s="8"/>
      <x:c r="S478" s="8"/>
      <x:c r="T478" s="8" t="n">
        <x:v>0</x:v>
      </x:c>
      <x:c r="U478" s="8" t="n">
        <x:v>0</x:v>
      </x:c>
      <x:c r="V478" s="8" t="n">
        <x:v>0</x:v>
      </x:c>
      <x:c r="W478" s="8" t="n">
        <x:v>0</x:v>
      </x:c>
      <x:c r="X478" s="8"/>
      <x:c r="Y478" s="8"/>
      <x:c r="Z478" s="8"/>
      <x:c r="AA478" s="8"/>
      <x:c r="AB478" s="8"/>
      <x:c r="AC478" s="8"/>
      <x:c r="AD478" s="8"/>
      <x:c r="AE478" s="8"/>
      <x:c r="AF478" s="8" t="n">
        <x:v>0</x:v>
      </x:c>
      <x:c r="AG478" s="8" t="n">
        <x:v>0</x:v>
      </x:c>
      <x:c r="AH478" s="8" t="n">
        <x:v>0</x:v>
      </x:c>
      <x:c r="AI478" s="8" t="n">
        <x:v>0</x:v>
      </x:c>
      <x:c r="AJ478" s="8" t="n">
        <x:v>0</x:v>
      </x:c>
      <x:c r="AK478" s="8" t="n">
        <x:v>0</x:v>
      </x:c>
      <x:c r="AL478" s="8" t="n">
        <x:v>0</x:v>
      </x:c>
      <x:c r="AM478" s="8" t="n">
        <x:v>0</x:v>
      </x:c>
      <x:c r="AN478" s="8" t="n">
        <x:v>0.001</x:v>
      </x:c>
      <x:c r="AO478" s="8" t="n">
        <x:v>0.001</x:v>
      </x:c>
      <x:c r="AP478" s="8" t="n">
        <x:v>0.001</x:v>
      </x:c>
      <x:c r="AQ478" s="8" t="n">
        <x:v>0.001</x:v>
      </x:c>
      <x:c r="AR478" s="8"/>
      <x:c r="AS478" s="8"/>
      <x:c r="AT478" s="8" t="n">
        <x:v>0</x:v>
      </x:c>
      <x:c r="AU478" s="8" t="n">
        <x:v>0</x:v>
      </x:c>
      <x:c r="AV478" s="8" t="n">
        <x:v>0</x:v>
      </x:c>
      <x:c r="AW478" s="8" t="n">
        <x:v>0</x:v>
      </x:c>
      <x:c r="AX478" s="8" t="n">
        <x:v>0</x:v>
      </x:c>
      <x:c r="AY478" s="8" t="n">
        <x:v>0</x:v>
      </x:c>
      <x:c r="AZ478" s="8" t="n">
        <x:v>0</x:v>
      </x:c>
      <x:c r="BA478" s="8" t="n">
        <x:v>0</x:v>
      </x:c>
      <x:c r="BB478" s="8" t="n">
        <x:f>LET(m,MIN(IF(D478&gt;0,D478,1E+99),IF(F478&gt;0,F478,1E+99),IF(H478&gt;0,H478,1E+99),IF(J478&gt;0,J478,1E+99),IF(L478&gt;0,L478,1E+99),IF(N478&gt;0,N478,1E+99),IF(P478&gt;0,P478,1E+99),IF(R478&gt;0,R478,1E+99),IF(T478&gt;0,T478,1E+99),IF(V478&gt;0,V478,1E+99),IF(X478&gt;0,X478,1E+99),IF(Z478&gt;0,Z478,1E+99),IF(AB478&gt;0,AB478,1E+99),IF(AD478&gt;0,AD478,1E+99),IF(AF478&gt;0,AF478,1E+99),IF(AH478&gt;0,AH478,1E+99),IF(AJ478&gt;0,AJ478,1E+99),IF(AL478&gt;0,AL478,1E+99),IF(AN478&gt;0,AN478,1E+99),IF(AP478&gt;0,AP478,1E+99),IF(AR478&gt;0,AR478,1E+99),IF(AT478&gt;0,AT478,1E+99),IF(AV478&gt;0,AV478,1E+99),IF(AX478&gt;0,AX478,1E+99),IF(AZ478&gt;0,AZ478,1E+99)),IF(m=1E+99,"",m))</x:f>
        <x:v>0.001</x:v>
      </x:c>
      <x:c r="BC478" s="12" t="e">
        <x:f>IF(BB478="","",INDEX({"v1.4.20","v1.4.20","v1.4.21","v1.4.21","v1.4.23","v1.4.23","v1.4.26","v1.4.26","v1.4.26.1","v1.4.26.1","v1.4.27","v1.4.27","v1.4.29","v1.4.29","v1.4.30","v1.4.30","v1.4.31","v1.4.31","v1.4.33","v1.4.33","v1.4.35","v1.4.35.2","v1.5","v1.5.1","v1.5.1"},MATCH(BB478,CHOOSE({1,2,3,4,5,6,7,8,9,10,11,12,13,14,15,16,17,18,19,20,21,22,23,24,25},D478,F478,H478,J478,L478,N478,P478,R478,T478,V478,X478,Z478,AB478,AD478,AF478,AH478,AJ478,AL478,AN478,AP478,AR478,AT478,AV478,AX478,AZ478),0)))</x:f>
      </x:c>
      <x:c r="BD478" s="14" t="n">
        <x:f>LET(m,MIN(IF(E478&gt;0,E478,1E+99),IF(G478&gt;0,G478,1E+99),IF(I478&gt;0,I478,1E+99),IF(K478&gt;0,K478,1E+99),IF(M478&gt;0,M478,1E+99),IF(O478&gt;0,O478,1E+99),IF(Q478&gt;0,Q478,1E+99),IF(S478&gt;0,S478,1E+99),IF(U478&gt;0,U478,1E+99),IF(W478&gt;0,W478,1E+99),IF(Y478&gt;0,Y478,1E+99),IF(AA478&gt;0,AA478,1E+99),IF(AC478&gt;0,AC478,1E+99),IF(AE478&gt;0,AE478,1E+99),IF(AG478&gt;0,AG478,1E+99),IF(AI478&gt;0,AI478,1E+99),IF(AK478&gt;0,AK478,1E+99),IF(AM478&gt;0,AM478,1E+99),IF(AO478&gt;0,AO478,1E+99),IF(AQ478&gt;0,AQ478,1E+99),IF(AS478&gt;0,AS478,1E+99),IF(AU478&gt;0,AU478,1E+99),IF(AW478&gt;0,AW478,1E+99),IF(AY478&gt;0,AY478,1E+99),IF(BA478&gt;0,BA478,1E+99)),IF(m=1E+99,"",m))</x:f>
        <x:v>0.001</x:v>
      </x:c>
      <x:c r="BE478" s="16" t="e">
        <x:f>IF(BD478="","",INDEX({"v1.4.20","v1.4.20","v1.4.21","v1.4.21","v1.4.23","v1.4.23","v1.4.26","v1.4.26","v1.4.26.1","v1.4.26.1","v1.4.27","v1.4.27","v1.4.29","v1.4.29","v1.4.30","v1.4.30","v1.4.31","v1.4.31","v1.4.33","v1.4.33","v1.4.35","v1.4.35.2","v1.5","v1.5.1","v1.5.1"},MATCH(BD478,CHOOSE({1,2,3,4,5,6,7,8,9,10,11,12,13,14,15,16,17,18,19,20,21,22,23,24,25},E478,G478,I478,K478,M478,O478,Q478,S478,U478,W478,Y478,AA478,AC478,AE478,AG478,AI478,AK478,AM478,AO478,AQ478,AS478,AU478,AW478,AY478,BA478),0)))</x:f>
      </x:c>
      <x:c r="BF478" s="10" t="n">
        <x:f>IFERROR((AX478-BB478)/BB478,"")</x:f>
        <x:v>-1</x:v>
      </x:c>
      <x:c r="BG478" s="10" t="n">
        <x:f>IFERROR((AY478-BD478)/BD478,"")</x:f>
        <x:v>-1</x:v>
      </x:c>
    </x:row>
    <x:row r="479">
      <x:c r="A479" t="str">
        <x:v>Demo P</x:v>
      </x:c>
      <x:c r="B479" t="str">
        <x:v>Create Master List</x:v>
      </x:c>
      <x:c r="C479" t="str">
        <x:v>Locate current processed Demo P sheet</x:v>
      </x:c>
      <x:c r="D479" s="8" t="n">
        <x:v>1.695</x:v>
      </x:c>
      <x:c r="E479" s="8" t="n">
        <x:v>1.695</x:v>
      </x:c>
      <x:c r="F479" s="8" t="n">
        <x:v>1.695</x:v>
      </x:c>
      <x:c r="G479" s="8" t="n">
        <x:v>1.695</x:v>
      </x:c>
      <x:c r="H479" s="8" t="n">
        <x:v>2.238</x:v>
      </x:c>
      <x:c r="I479" s="8" t="n">
        <x:v>2.238</x:v>
      </x:c>
      <x:c r="J479" s="8" t="n">
        <x:v>2.238</x:v>
      </x:c>
      <x:c r="K479" s="8" t="n">
        <x:v>2.238</x:v>
      </x:c>
      <x:c r="L479" s="8" t="n">
        <x:v>3.637</x:v>
      </x:c>
      <x:c r="M479" s="8" t="n">
        <x:v>3.637</x:v>
      </x:c>
      <x:c r="N479" s="8" t="n">
        <x:v>3.637</x:v>
      </x:c>
      <x:c r="O479" s="8" t="n">
        <x:v>3.637</x:v>
      </x:c>
      <x:c r="P479" s="8"/>
      <x:c r="Q479" s="8"/>
      <x:c r="R479" s="8"/>
      <x:c r="S479" s="8"/>
      <x:c r="T479" s="8" t="n">
        <x:v>1.544</x:v>
      </x:c>
      <x:c r="U479" s="8" t="n">
        <x:v>1.544</x:v>
      </x:c>
      <x:c r="V479" s="8" t="n">
        <x:v>1.544</x:v>
      </x:c>
      <x:c r="W479" s="8" t="n">
        <x:v>1.544</x:v>
      </x:c>
      <x:c r="X479" s="8"/>
      <x:c r="Y479" s="8"/>
      <x:c r="Z479" s="8"/>
      <x:c r="AA479" s="8"/>
      <x:c r="AB479" s="8"/>
      <x:c r="AC479" s="8"/>
      <x:c r="AD479" s="8"/>
      <x:c r="AE479" s="8"/>
      <x:c r="AF479" s="8" t="n">
        <x:v>2.081</x:v>
      </x:c>
      <x:c r="AG479" s="8" t="n">
        <x:v>2.081</x:v>
      </x:c>
      <x:c r="AH479" s="8" t="n">
        <x:v>2.081</x:v>
      </x:c>
      <x:c r="AI479" s="8" t="n">
        <x:v>2.081</x:v>
      </x:c>
      <x:c r="AJ479" s="8" t="n">
        <x:v>2.359</x:v>
      </x:c>
      <x:c r="AK479" s="8" t="n">
        <x:v>2.359</x:v>
      </x:c>
      <x:c r="AL479" s="8" t="n">
        <x:v>2.359</x:v>
      </x:c>
      <x:c r="AM479" s="8" t="n">
        <x:v>2.359</x:v>
      </x:c>
      <x:c r="AN479" s="8" t="n">
        <x:v>2.136</x:v>
      </x:c>
      <x:c r="AO479" s="8" t="n">
        <x:v>2.137</x:v>
      </x:c>
      <x:c r="AP479" s="8" t="n">
        <x:v>2.136</x:v>
      </x:c>
      <x:c r="AQ479" s="8" t="n">
        <x:v>2.137</x:v>
      </x:c>
      <x:c r="AR479" s="8"/>
      <x:c r="AS479" s="8"/>
      <x:c r="AT479" s="8" t="n">
        <x:v>1.609</x:v>
      </x:c>
      <x:c r="AU479" s="8" t="n">
        <x:v>1.609</x:v>
      </x:c>
      <x:c r="AV479" s="8" t="n">
        <x:v>2.15</x:v>
      </x:c>
      <x:c r="AW479" s="8" t="n">
        <x:v>2.15</x:v>
      </x:c>
      <x:c r="AX479" s="8" t="n">
        <x:v>1.744</x:v>
      </x:c>
      <x:c r="AY479" s="8" t="n">
        <x:v>1.744</x:v>
      </x:c>
      <x:c r="AZ479" s="8" t="n">
        <x:v>1.744</x:v>
      </x:c>
      <x:c r="BA479" s="8" t="n">
        <x:v>1.744</x:v>
      </x:c>
      <x:c r="BB479" s="8" t="n">
        <x:f>LET(m,MIN(IF(D479&gt;0,D479,1E+99),IF(F479&gt;0,F479,1E+99),IF(H479&gt;0,H479,1E+99),IF(J479&gt;0,J479,1E+99),IF(L479&gt;0,L479,1E+99),IF(N479&gt;0,N479,1E+99),IF(P479&gt;0,P479,1E+99),IF(R479&gt;0,R479,1E+99),IF(T479&gt;0,T479,1E+99),IF(V479&gt;0,V479,1E+99),IF(X479&gt;0,X479,1E+99),IF(Z479&gt;0,Z479,1E+99),IF(AB479&gt;0,AB479,1E+99),IF(AD479&gt;0,AD479,1E+99),IF(AF479&gt;0,AF479,1E+99),IF(AH479&gt;0,AH479,1E+99),IF(AJ479&gt;0,AJ479,1E+99),IF(AL479&gt;0,AL479,1E+99),IF(AN479&gt;0,AN479,1E+99),IF(AP479&gt;0,AP479,1E+99),IF(AR479&gt;0,AR479,1E+99),IF(AT479&gt;0,AT479,1E+99),IF(AV479&gt;0,AV479,1E+99),IF(AX479&gt;0,AX479,1E+99),IF(AZ479&gt;0,AZ479,1E+99)),IF(m=1E+99,"",m))</x:f>
        <x:v>1.544</x:v>
      </x:c>
      <x:c r="BC479" s="12" t="e">
        <x:f>IF(BB479="","",INDEX({"v1.4.20","v1.4.20","v1.4.21","v1.4.21","v1.4.23","v1.4.23","v1.4.26","v1.4.26","v1.4.26.1","v1.4.26.1","v1.4.27","v1.4.27","v1.4.29","v1.4.29","v1.4.30","v1.4.30","v1.4.31","v1.4.31","v1.4.33","v1.4.33","v1.4.35","v1.4.35.2","v1.5","v1.5.1","v1.5.1"},MATCH(BB479,CHOOSE({1,2,3,4,5,6,7,8,9,10,11,12,13,14,15,16,17,18,19,20,21,22,23,24,25},D479,F479,H479,J479,L479,N479,P479,R479,T479,V479,X479,Z479,AB479,AD479,AF479,AH479,AJ479,AL479,AN479,AP479,AR479,AT479,AV479,AX479,AZ479),0)))</x:f>
      </x:c>
      <x:c r="BD479" s="14" t="n">
        <x:f>LET(m,MIN(IF(E479&gt;0,E479,1E+99),IF(G479&gt;0,G479,1E+99),IF(I479&gt;0,I479,1E+99),IF(K479&gt;0,K479,1E+99),IF(M479&gt;0,M479,1E+99),IF(O479&gt;0,O479,1E+99),IF(Q479&gt;0,Q479,1E+99),IF(S479&gt;0,S479,1E+99),IF(U479&gt;0,U479,1E+99),IF(W479&gt;0,W479,1E+99),IF(Y479&gt;0,Y479,1E+99),IF(AA479&gt;0,AA479,1E+99),IF(AC479&gt;0,AC479,1E+99),IF(AE479&gt;0,AE479,1E+99),IF(AG479&gt;0,AG479,1E+99),IF(AI479&gt;0,AI479,1E+99),IF(AK479&gt;0,AK479,1E+99),IF(AM479&gt;0,AM479,1E+99),IF(AO479&gt;0,AO479,1E+99),IF(AQ479&gt;0,AQ479,1E+99),IF(AS479&gt;0,AS479,1E+99),IF(AU479&gt;0,AU479,1E+99),IF(AW479&gt;0,AW479,1E+99),IF(AY479&gt;0,AY479,1E+99),IF(BA479&gt;0,BA479,1E+99)),IF(m=1E+99,"",m))</x:f>
        <x:v>1.544</x:v>
      </x:c>
      <x:c r="BE479" s="16" t="e">
        <x:f>IF(BD479="","",INDEX({"v1.4.20","v1.4.20","v1.4.21","v1.4.21","v1.4.23","v1.4.23","v1.4.26","v1.4.26","v1.4.26.1","v1.4.26.1","v1.4.27","v1.4.27","v1.4.29","v1.4.29","v1.4.30","v1.4.30","v1.4.31","v1.4.31","v1.4.33","v1.4.33","v1.4.35","v1.4.35.2","v1.5","v1.5.1","v1.5.1"},MATCH(BD479,CHOOSE({1,2,3,4,5,6,7,8,9,10,11,12,13,14,15,16,17,18,19,20,21,22,23,24,25},E479,G479,I479,K479,M479,O479,Q479,S479,U479,W479,Y479,AA479,AC479,AE479,AG479,AI479,AK479,AM479,AO479,AQ479,AS479,AU479,AW479,AY479,BA479),0)))</x:f>
      </x:c>
      <x:c r="BF479" s="10" t="n">
        <x:f>IFERROR((AX479-BB479)/BB479,"")</x:f>
        <x:v>0.12953367875647664</x:v>
      </x:c>
      <x:c r="BG479" s="10" t="n">
        <x:f>IFERROR((AY479-BD479)/BD479,"")</x:f>
        <x:v>0.12953367875647664</x:v>
      </x:c>
    </x:row>
    <x:row r="480">
      <x:c r="A480" t="str">
        <x:v>Demo P</x:v>
      </x:c>
      <x:c r="B480" t="str">
        <x:v>Create Master List</x:v>
      </x:c>
      <x:c r="C480" t="str">
        <x:v>Copy Primary PMR rows from processed Demo P to Master List</x:v>
      </x:c>
      <x:c r="D480" s="8" t="n">
        <x:v>3.672</x:v>
      </x:c>
      <x:c r="E480" s="8" t="n">
        <x:v>19.588</x:v>
      </x:c>
      <x:c r="F480" s="8" t="n">
        <x:v>3.672</x:v>
      </x:c>
      <x:c r="G480" s="8" t="n">
        <x:v>19.588</x:v>
      </x:c>
      <x:c r="H480" s="8" t="n">
        <x:v>4.418</x:v>
      </x:c>
      <x:c r="I480" s="8" t="n">
        <x:v>21.889</x:v>
      </x:c>
      <x:c r="J480" s="8" t="n">
        <x:v>4.418</x:v>
      </x:c>
      <x:c r="K480" s="8" t="n">
        <x:v>21.889</x:v>
      </x:c>
      <x:c r="L480" s="8" t="n">
        <x:v>6.195</x:v>
      </x:c>
      <x:c r="M480" s="8" t="n">
        <x:v>46.72</x:v>
      </x:c>
      <x:c r="N480" s="8" t="n">
        <x:v>6.195</x:v>
      </x:c>
      <x:c r="O480" s="8" t="n">
        <x:v>46.72</x:v>
      </x:c>
      <x:c r="P480" s="8"/>
      <x:c r="Q480" s="8"/>
      <x:c r="R480" s="8"/>
      <x:c r="S480" s="8"/>
      <x:c r="T480" s="8" t="n">
        <x:v>3.065</x:v>
      </x:c>
      <x:c r="U480" s="8" t="n">
        <x:v>17.78</x:v>
      </x:c>
      <x:c r="V480" s="8" t="n">
        <x:v>3.065</x:v>
      </x:c>
      <x:c r="W480" s="8" t="n">
        <x:v>17.78</x:v>
      </x:c>
      <x:c r="X480" s="8"/>
      <x:c r="Y480" s="8"/>
      <x:c r="Z480" s="8"/>
      <x:c r="AA480" s="8"/>
      <x:c r="AB480" s="8"/>
      <x:c r="AC480" s="8"/>
      <x:c r="AD480" s="8"/>
      <x:c r="AE480" s="8"/>
      <x:c r="AF480" s="8" t="n">
        <x:v>2.577</x:v>
      </x:c>
      <x:c r="AG480" s="8" t="n">
        <x:v>20.972</x:v>
      </x:c>
      <x:c r="AH480" s="8" t="n">
        <x:v>2.577</x:v>
      </x:c>
      <x:c r="AI480" s="8" t="n">
        <x:v>20.972</x:v>
      </x:c>
      <x:c r="AJ480" s="8" t="n">
        <x:v>5.945</x:v>
      </x:c>
      <x:c r="AK480" s="8" t="n">
        <x:v>27.367</x:v>
      </x:c>
      <x:c r="AL480" s="8" t="n">
        <x:v>5.945</x:v>
      </x:c>
      <x:c r="AM480" s="8" t="n">
        <x:v>27.367</x:v>
      </x:c>
      <x:c r="AN480" s="8" t="n">
        <x:v>2.718</x:v>
      </x:c>
      <x:c r="AO480" s="8" t="n">
        <x:v>18.487</x:v>
      </x:c>
      <x:c r="AP480" s="8" t="n">
        <x:v>2.718</x:v>
      </x:c>
      <x:c r="AQ480" s="8" t="n">
        <x:v>18.487</x:v>
      </x:c>
      <x:c r="AR480" s="8"/>
      <x:c r="AS480" s="8"/>
      <x:c r="AT480" s="8" t="n">
        <x:v>2.305</x:v>
      </x:c>
      <x:c r="AU480" s="8" t="n">
        <x:v>18.909</x:v>
      </x:c>
      <x:c r="AV480" s="8" t="n">
        <x:v>4.444</x:v>
      </x:c>
      <x:c r="AW480" s="8" t="n">
        <x:v>22.375</x:v>
      </x:c>
      <x:c r="AX480" s="8" t="n">
        <x:v>4.095</x:v>
      </x:c>
      <x:c r="AY480" s="8" t="n">
        <x:v>21.766</x:v>
      </x:c>
      <x:c r="AZ480" s="8" t="n">
        <x:v>4.095</x:v>
      </x:c>
      <x:c r="BA480" s="8" t="n">
        <x:v>21.766</x:v>
      </x:c>
      <x:c r="BB480" s="8" t="n">
        <x:f>LET(m,MIN(IF(D480&gt;0,D480,1E+99),IF(F480&gt;0,F480,1E+99),IF(H480&gt;0,H480,1E+99),IF(J480&gt;0,J480,1E+99),IF(L480&gt;0,L480,1E+99),IF(N480&gt;0,N480,1E+99),IF(P480&gt;0,P480,1E+99),IF(R480&gt;0,R480,1E+99),IF(T480&gt;0,T480,1E+99),IF(V480&gt;0,V480,1E+99),IF(X480&gt;0,X480,1E+99),IF(Z480&gt;0,Z480,1E+99),IF(AB480&gt;0,AB480,1E+99),IF(AD480&gt;0,AD480,1E+99),IF(AF480&gt;0,AF480,1E+99),IF(AH480&gt;0,AH480,1E+99),IF(AJ480&gt;0,AJ480,1E+99),IF(AL480&gt;0,AL480,1E+99),IF(AN480&gt;0,AN480,1E+99),IF(AP480&gt;0,AP480,1E+99),IF(AR480&gt;0,AR480,1E+99),IF(AT480&gt;0,AT480,1E+99),IF(AV480&gt;0,AV480,1E+99),IF(AX480&gt;0,AX480,1E+99),IF(AZ480&gt;0,AZ480,1E+99)),IF(m=1E+99,"",m))</x:f>
        <x:v>2.305</x:v>
      </x:c>
      <x:c r="BC480" s="12" t="e">
        <x:f>IF(BB480="","",INDEX({"v1.4.20","v1.4.20","v1.4.21","v1.4.21","v1.4.23","v1.4.23","v1.4.26","v1.4.26","v1.4.26.1","v1.4.26.1","v1.4.27","v1.4.27","v1.4.29","v1.4.29","v1.4.30","v1.4.30","v1.4.31","v1.4.31","v1.4.33","v1.4.33","v1.4.35","v1.4.35.2","v1.5","v1.5.1","v1.5.1"},MATCH(BB480,CHOOSE({1,2,3,4,5,6,7,8,9,10,11,12,13,14,15,16,17,18,19,20,21,22,23,24,25},D480,F480,H480,J480,L480,N480,P480,R480,T480,V480,X480,Z480,AB480,AD480,AF480,AH480,AJ480,AL480,AN480,AP480,AR480,AT480,AV480,AX480,AZ480),0)))</x:f>
      </x:c>
      <x:c r="BD480" s="14" t="n">
        <x:f>LET(m,MIN(IF(E480&gt;0,E480,1E+99),IF(G480&gt;0,G480,1E+99),IF(I480&gt;0,I480,1E+99),IF(K480&gt;0,K480,1E+99),IF(M480&gt;0,M480,1E+99),IF(O480&gt;0,O480,1E+99),IF(Q480&gt;0,Q480,1E+99),IF(S480&gt;0,S480,1E+99),IF(U480&gt;0,U480,1E+99),IF(W480&gt;0,W480,1E+99),IF(Y480&gt;0,Y480,1E+99),IF(AA480&gt;0,AA480,1E+99),IF(AC480&gt;0,AC480,1E+99),IF(AE480&gt;0,AE480,1E+99),IF(AG480&gt;0,AG480,1E+99),IF(AI480&gt;0,AI480,1E+99),IF(AK480&gt;0,AK480,1E+99),IF(AM480&gt;0,AM480,1E+99),IF(AO480&gt;0,AO480,1E+99),IF(AQ480&gt;0,AQ480,1E+99),IF(AS480&gt;0,AS480,1E+99),IF(AU480&gt;0,AU480,1E+99),IF(AW480&gt;0,AW480,1E+99),IF(AY480&gt;0,AY480,1E+99),IF(BA480&gt;0,BA480,1E+99)),IF(m=1E+99,"",m))</x:f>
        <x:v>17.78</x:v>
      </x:c>
      <x:c r="BE480" s="16" t="e">
        <x:f>IF(BD480="","",INDEX({"v1.4.20","v1.4.20","v1.4.21","v1.4.21","v1.4.23","v1.4.23","v1.4.26","v1.4.26","v1.4.26.1","v1.4.26.1","v1.4.27","v1.4.27","v1.4.29","v1.4.29","v1.4.30","v1.4.30","v1.4.31","v1.4.31","v1.4.33","v1.4.33","v1.4.35","v1.4.35.2","v1.5","v1.5.1","v1.5.1"},MATCH(BD480,CHOOSE({1,2,3,4,5,6,7,8,9,10,11,12,13,14,15,16,17,18,19,20,21,22,23,24,25},E480,G480,I480,K480,M480,O480,Q480,S480,U480,W480,Y480,AA480,AC480,AE480,AG480,AI480,AK480,AM480,AO480,AQ480,AS480,AU480,AW480,AY480,BA480),0)))</x:f>
      </x:c>
      <x:c r="BF480" s="10" t="n">
        <x:f>IFERROR((AX480-BB480)/BB480,"")</x:f>
        <x:v>0.776572668112798</x:v>
      </x:c>
      <x:c r="BG480" s="10" t="n">
        <x:f>IFERROR((AY480-BD480)/BD480,"")</x:f>
        <x:v>0.22418447694038227</x:v>
      </x:c>
    </x:row>
    <x:row r="481">
      <x:c r="A481" t="str">
        <x:v>Demo P</x:v>
      </x:c>
      <x:c r="B481" t="str">
        <x:v>Create Master List</x:v>
      </x:c>
      <x:c r="C481" t="str">
        <x:v>Stopped - missing Demo P</x:v>
      </x:c>
      <x:c r="D481" s="8"/>
      <x:c r="E481" s="8"/>
      <x:c r="F481" s="8"/>
      <x:c r="G481" s="8"/>
      <x:c r="H481" s="8"/>
      <x:c r="I481" s="8"/>
      <x:c r="J481" s="8"/>
      <x:c r="K481" s="8"/>
      <x:c r="L481" s="8"/>
      <x:c r="M481" s="8"/>
      <x:c r="N481" s="8"/>
      <x:c r="O481" s="8"/>
      <x:c r="P481" s="8"/>
      <x:c r="Q481" s="8"/>
      <x:c r="R481" s="8"/>
      <x:c r="S481" s="8"/>
      <x:c r="T481" s="8" t="n">
        <x:v>0.051</x:v>
      </x:c>
      <x:c r="U481" s="8" t="n">
        <x:v>1.411</x:v>
      </x:c>
      <x:c r="V481" s="8" t="n">
        <x:v>0.051</x:v>
      </x:c>
      <x:c r="W481" s="8" t="n">
        <x:v>1.411</x:v>
      </x:c>
      <x:c r="X481" s="8"/>
      <x:c r="Y481" s="8"/>
      <x:c r="Z481" s="8"/>
      <x:c r="AA481" s="8"/>
      <x:c r="AB481" s="8"/>
      <x:c r="AC481" s="8"/>
      <x:c r="AD481" s="8"/>
      <x:c r="AE481" s="8"/>
      <x:c r="AF481" s="8" t="n">
        <x:v>0.051</x:v>
      </x:c>
      <x:c r="AG481" s="8" t="n">
        <x:v>1.496</x:v>
      </x:c>
      <x:c r="AH481" s="8" t="n">
        <x:v>0.051</x:v>
      </x:c>
      <x:c r="AI481" s="8" t="n">
        <x:v>1.496</x:v>
      </x:c>
      <x:c r="AJ481" s="8"/>
      <x:c r="AK481" s="8"/>
      <x:c r="AL481" s="8"/>
      <x:c r="AM481" s="8"/>
      <x:c r="AN481" s="8"/>
      <x:c r="AO481" s="8"/>
      <x:c r="AP481" s="8"/>
      <x:c r="AQ481" s="8"/>
      <x:c r="AR481" s="8"/>
      <x:c r="AS481" s="8"/>
      <x:c r="AT481" s="8"/>
      <x:c r="AU481" s="8"/>
      <x:c r="AV481" s="8"/>
      <x:c r="AW481" s="8"/>
      <x:c r="AX481" s="8"/>
      <x:c r="AY481" s="8"/>
      <x:c r="AZ481" s="8"/>
      <x:c r="BA481" s="8"/>
      <x:c r="BB481" s="8" t="n">
        <x:f>LET(m,MIN(IF(D481&gt;0,D481,1E+99),IF(F481&gt;0,F481,1E+99),IF(H481&gt;0,H481,1E+99),IF(J481&gt;0,J481,1E+99),IF(L481&gt;0,L481,1E+99),IF(N481&gt;0,N481,1E+99),IF(P481&gt;0,P481,1E+99),IF(R481&gt;0,R481,1E+99),IF(T481&gt;0,T481,1E+99),IF(V481&gt;0,V481,1E+99),IF(X481&gt;0,X481,1E+99),IF(Z481&gt;0,Z481,1E+99),IF(AB481&gt;0,AB481,1E+99),IF(AD481&gt;0,AD481,1E+99),IF(AF481&gt;0,AF481,1E+99),IF(AH481&gt;0,AH481,1E+99),IF(AJ481&gt;0,AJ481,1E+99),IF(AL481&gt;0,AL481,1E+99),IF(AN481&gt;0,AN481,1E+99),IF(AP481&gt;0,AP481,1E+99),IF(AR481&gt;0,AR481,1E+99),IF(AT481&gt;0,AT481,1E+99),IF(AV481&gt;0,AV481,1E+99),IF(AX481&gt;0,AX481,1E+99),IF(AZ481&gt;0,AZ481,1E+99)),IF(m=1E+99,"",m))</x:f>
        <x:v>0.051</x:v>
      </x:c>
      <x:c r="BC481" s="12" t="e">
        <x:f>IF(BB481="","",INDEX({"v1.4.20","v1.4.20","v1.4.21","v1.4.21","v1.4.23","v1.4.23","v1.4.26","v1.4.26","v1.4.26.1","v1.4.26.1","v1.4.27","v1.4.27","v1.4.29","v1.4.29","v1.4.30","v1.4.30","v1.4.31","v1.4.31","v1.4.33","v1.4.33","v1.4.35","v1.4.35.2","v1.5","v1.5.1","v1.5.1"},MATCH(BB481,CHOOSE({1,2,3,4,5,6,7,8,9,10,11,12,13,14,15,16,17,18,19,20,21,22,23,24,25},D481,F481,H481,J481,L481,N481,P481,R481,T481,V481,X481,Z481,AB481,AD481,AF481,AH481,AJ481,AL481,AN481,AP481,AR481,AT481,AV481,AX481,AZ481),0)))</x:f>
      </x:c>
      <x:c r="BD481" s="14" t="n">
        <x:f>LET(m,MIN(IF(E481&gt;0,E481,1E+99),IF(G481&gt;0,G481,1E+99),IF(I481&gt;0,I481,1E+99),IF(K481&gt;0,K481,1E+99),IF(M481&gt;0,M481,1E+99),IF(O481&gt;0,O481,1E+99),IF(Q481&gt;0,Q481,1E+99),IF(S481&gt;0,S481,1E+99),IF(U481&gt;0,U481,1E+99),IF(W481&gt;0,W481,1E+99),IF(Y481&gt;0,Y481,1E+99),IF(AA481&gt;0,AA481,1E+99),IF(AC481&gt;0,AC481,1E+99),IF(AE481&gt;0,AE481,1E+99),IF(AG481&gt;0,AG481,1E+99),IF(AI481&gt;0,AI481,1E+99),IF(AK481&gt;0,AK481,1E+99),IF(AM481&gt;0,AM481,1E+99),IF(AO481&gt;0,AO481,1E+99),IF(AQ481&gt;0,AQ481,1E+99),IF(AS481&gt;0,AS481,1E+99),IF(AU481&gt;0,AU481,1E+99),IF(AW481&gt;0,AW481,1E+99),IF(AY481&gt;0,AY481,1E+99),IF(BA481&gt;0,BA481,1E+99)),IF(m=1E+99,"",m))</x:f>
        <x:v>1.411</x:v>
      </x:c>
      <x:c r="BE481" s="16" t="e">
        <x:f>IF(BD481="","",INDEX({"v1.4.20","v1.4.20","v1.4.21","v1.4.21","v1.4.23","v1.4.23","v1.4.26","v1.4.26","v1.4.26.1","v1.4.26.1","v1.4.27","v1.4.27","v1.4.29","v1.4.29","v1.4.30","v1.4.30","v1.4.31","v1.4.31","v1.4.33","v1.4.33","v1.4.35","v1.4.35.2","v1.5","v1.5.1","v1.5.1"},MATCH(BD481,CHOOSE({1,2,3,4,5,6,7,8,9,10,11,12,13,14,15,16,17,18,19,20,21,22,23,24,25},E481,G481,I481,K481,M481,O481,Q481,S481,U481,W481,Y481,AA481,AC481,AE481,AG481,AI481,AK481,AM481,AO481,AQ481,AS481,AU481,AW481,AY481,BA481),0)))</x:f>
      </x:c>
      <x:c r="BF481" s="10" t="n">
        <x:f>IFERROR((AX481-BB481)/BB481,"")</x:f>
        <x:v>-1</x:v>
      </x:c>
      <x:c r="BG481" s="10" t="n">
        <x:f>IFERROR((AY481-BD481)/BD481,"")</x:f>
        <x:v>-1</x:v>
      </x:c>
    </x:row>
    <x:row r="482">
      <x:c r="A482" t="str">
        <x:v>Master List</x:v>
      </x:c>
      <x:c r="B482" t="str">
        <x:v>Create Master List</x:v>
      </x:c>
      <x:c r="C482" t="str">
        <x:v>Copy Template - Master List as output sheet</x:v>
      </x:c>
      <x:c r="D482" s="8" t="n">
        <x:v>13.887</x:v>
      </x:c>
      <x:c r="E482" s="8" t="n">
        <x:v>15.582</x:v>
      </x:c>
      <x:c r="F482" s="8" t="n">
        <x:v>13.887</x:v>
      </x:c>
      <x:c r="G482" s="8" t="n">
        <x:v>15.582</x:v>
      </x:c>
      <x:c r="H482" s="8" t="n">
        <x:v>14.907</x:v>
      </x:c>
      <x:c r="I482" s="8" t="n">
        <x:v>17.145</x:v>
      </x:c>
      <x:c r="J482" s="8" t="n">
        <x:v>14.907</x:v>
      </x:c>
      <x:c r="K482" s="8" t="n">
        <x:v>17.145</x:v>
      </x:c>
      <x:c r="L482" s="8" t="n">
        <x:v>36.114</x:v>
      </x:c>
      <x:c r="M482" s="8" t="n">
        <x:v>39.751</x:v>
      </x:c>
      <x:c r="N482" s="8" t="n">
        <x:v>36.114</x:v>
      </x:c>
      <x:c r="O482" s="8" t="n">
        <x:v>39.751</x:v>
      </x:c>
      <x:c r="P482" s="8"/>
      <x:c r="Q482" s="8"/>
      <x:c r="R482" s="8"/>
      <x:c r="S482" s="8"/>
      <x:c r="T482" s="8" t="n">
        <x:v>12.888</x:v>
      </x:c>
      <x:c r="U482" s="8" t="n">
        <x:v>14.432</x:v>
      </x:c>
      <x:c r="V482" s="8" t="n">
        <x:v>12.888</x:v>
      </x:c>
      <x:c r="W482" s="8" t="n">
        <x:v>14.432</x:v>
      </x:c>
      <x:c r="X482" s="8"/>
      <x:c r="Y482" s="8"/>
      <x:c r="Z482" s="8"/>
      <x:c r="AA482" s="8"/>
      <x:c r="AB482" s="8"/>
      <x:c r="AC482" s="8"/>
      <x:c r="AD482" s="8"/>
      <x:c r="AE482" s="8"/>
      <x:c r="AF482" s="8" t="n">
        <x:v>15.101</x:v>
      </x:c>
      <x:c r="AG482" s="8" t="n">
        <x:v>17.182</x:v>
      </x:c>
      <x:c r="AH482" s="8" t="n">
        <x:v>15.101</x:v>
      </x:c>
      <x:c r="AI482" s="8" t="n">
        <x:v>17.182</x:v>
      </x:c>
      <x:c r="AJ482" s="8" t="n">
        <x:v>17.394</x:v>
      </x:c>
      <x:c r="AK482" s="8" t="n">
        <x:v>19.753</x:v>
      </x:c>
      <x:c r="AL482" s="8" t="n">
        <x:v>17.394</x:v>
      </x:c>
      <x:c r="AM482" s="8" t="n">
        <x:v>19.753</x:v>
      </x:c>
      <x:c r="AN482" s="8" t="n">
        <x:v>13.316</x:v>
      </x:c>
      <x:c r="AO482" s="8" t="n">
        <x:v>15.453</x:v>
      </x:c>
      <x:c r="AP482" s="8" t="n">
        <x:v>13.316</x:v>
      </x:c>
      <x:c r="AQ482" s="8" t="n">
        <x:v>15.453</x:v>
      </x:c>
      <x:c r="AR482" s="8"/>
      <x:c r="AS482" s="8"/>
      <x:c r="AT482" s="8" t="n">
        <x:v>13.862</x:v>
      </x:c>
      <x:c r="AU482" s="8" t="n">
        <x:v>15.471</x:v>
      </x:c>
      <x:c r="AV482" s="8" t="n">
        <x:v>15.468</x:v>
      </x:c>
      <x:c r="AW482" s="8" t="n">
        <x:v>17.618</x:v>
      </x:c>
      <x:c r="AX482" s="8" t="n">
        <x:v>14.241</x:v>
      </x:c>
      <x:c r="AY482" s="8" t="n">
        <x:v>15.985</x:v>
      </x:c>
      <x:c r="AZ482" s="8" t="n">
        <x:v>14.241</x:v>
      </x:c>
      <x:c r="BA482" s="8" t="n">
        <x:v>15.985</x:v>
      </x:c>
      <x:c r="BB482" s="8" t="n">
        <x:f>LET(m,MIN(IF(D482&gt;0,D482,1E+99),IF(F482&gt;0,F482,1E+99),IF(H482&gt;0,H482,1E+99),IF(J482&gt;0,J482,1E+99),IF(L482&gt;0,L482,1E+99),IF(N482&gt;0,N482,1E+99),IF(P482&gt;0,P482,1E+99),IF(R482&gt;0,R482,1E+99),IF(T482&gt;0,T482,1E+99),IF(V482&gt;0,V482,1E+99),IF(X482&gt;0,X482,1E+99),IF(Z482&gt;0,Z482,1E+99),IF(AB482&gt;0,AB482,1E+99),IF(AD482&gt;0,AD482,1E+99),IF(AF482&gt;0,AF482,1E+99),IF(AH482&gt;0,AH482,1E+99),IF(AJ482&gt;0,AJ482,1E+99),IF(AL482&gt;0,AL482,1E+99),IF(AN482&gt;0,AN482,1E+99),IF(AP482&gt;0,AP482,1E+99),IF(AR482&gt;0,AR482,1E+99),IF(AT482&gt;0,AT482,1E+99),IF(AV482&gt;0,AV482,1E+99),IF(AX482&gt;0,AX482,1E+99),IF(AZ482&gt;0,AZ482,1E+99)),IF(m=1E+99,"",m))</x:f>
        <x:v>12.888</x:v>
      </x:c>
      <x:c r="BC482" s="12" t="e">
        <x:f>IF(BB482="","",INDEX({"v1.4.20","v1.4.20","v1.4.21","v1.4.21","v1.4.23","v1.4.23","v1.4.26","v1.4.26","v1.4.26.1","v1.4.26.1","v1.4.27","v1.4.27","v1.4.29","v1.4.29","v1.4.30","v1.4.30","v1.4.31","v1.4.31","v1.4.33","v1.4.33","v1.4.35","v1.4.35.2","v1.5","v1.5.1","v1.5.1"},MATCH(BB482,CHOOSE({1,2,3,4,5,6,7,8,9,10,11,12,13,14,15,16,17,18,19,20,21,22,23,24,25},D482,F482,H482,J482,L482,N482,P482,R482,T482,V482,X482,Z482,AB482,AD482,AF482,AH482,AJ482,AL482,AN482,AP482,AR482,AT482,AV482,AX482,AZ482),0)))</x:f>
      </x:c>
      <x:c r="BD482" s="14" t="n">
        <x:f>LET(m,MIN(IF(E482&gt;0,E482,1E+99),IF(G482&gt;0,G482,1E+99),IF(I482&gt;0,I482,1E+99),IF(K482&gt;0,K482,1E+99),IF(M482&gt;0,M482,1E+99),IF(O482&gt;0,O482,1E+99),IF(Q482&gt;0,Q482,1E+99),IF(S482&gt;0,S482,1E+99),IF(U482&gt;0,U482,1E+99),IF(W482&gt;0,W482,1E+99),IF(Y482&gt;0,Y482,1E+99),IF(AA482&gt;0,AA482,1E+99),IF(AC482&gt;0,AC482,1E+99),IF(AE482&gt;0,AE482,1E+99),IF(AG482&gt;0,AG482,1E+99),IF(AI482&gt;0,AI482,1E+99),IF(AK482&gt;0,AK482,1E+99),IF(AM482&gt;0,AM482,1E+99),IF(AO482&gt;0,AO482,1E+99),IF(AQ482&gt;0,AQ482,1E+99),IF(AS482&gt;0,AS482,1E+99),IF(AU482&gt;0,AU482,1E+99),IF(AW482&gt;0,AW482,1E+99),IF(AY482&gt;0,AY482,1E+99),IF(BA482&gt;0,BA482,1E+99)),IF(m=1E+99,"",m))</x:f>
        <x:v>14.432</x:v>
      </x:c>
      <x:c r="BE482" s="16" t="e">
        <x:f>IF(BD482="","",INDEX({"v1.4.20","v1.4.20","v1.4.21","v1.4.21","v1.4.23","v1.4.23","v1.4.26","v1.4.26","v1.4.26.1","v1.4.26.1","v1.4.27","v1.4.27","v1.4.29","v1.4.29","v1.4.30","v1.4.30","v1.4.31","v1.4.31","v1.4.33","v1.4.33","v1.4.35","v1.4.35.2","v1.5","v1.5.1","v1.5.1"},MATCH(BD482,CHOOSE({1,2,3,4,5,6,7,8,9,10,11,12,13,14,15,16,17,18,19,20,21,22,23,24,25},E482,G482,I482,K482,M482,O482,Q482,S482,U482,W482,Y482,AA482,AC482,AE482,AG482,AI482,AK482,AM482,AO482,AQ482,AS482,AU482,AW482,AY482,BA482),0)))</x:f>
      </x:c>
      <x:c r="BF482" s="10" t="n">
        <x:f>IFERROR((AX482-BB482)/BB482,"")</x:f>
        <x:v>0.10498137802607074</x:v>
      </x:c>
      <x:c r="BG482" s="10" t="n">
        <x:f>IFERROR((AY482-BD482)/BD482,"")</x:f>
        <x:v>0.10760809312638574</x:v>
      </x:c>
    </x:row>
    <x:row r="483">
      <x:c r="A483" t="str">
        <x:v>Master List</x:v>
      </x:c>
      <x:c r="B483" t="str">
        <x:v>Create Master List</x:v>
      </x:c>
      <x:c r="C483" t="str">
        <x:v>Build Master List headers</x:v>
      </x:c>
      <x:c r="D483" s="8" t="n">
        <x:v>0.334</x:v>
      </x:c>
      <x:c r="E483" s="8" t="n">
        <x:v>15.916</x:v>
      </x:c>
      <x:c r="F483" s="8" t="n">
        <x:v>0.334</x:v>
      </x:c>
      <x:c r="G483" s="8" t="n">
        <x:v>15.916</x:v>
      </x:c>
      <x:c r="H483" s="8" t="n">
        <x:v>0.326</x:v>
      </x:c>
      <x:c r="I483" s="8" t="n">
        <x:v>17.471</x:v>
      </x:c>
      <x:c r="J483" s="8" t="n">
        <x:v>0.326</x:v>
      </x:c>
      <x:c r="K483" s="8" t="n">
        <x:v>17.471</x:v>
      </x:c>
      <x:c r="L483" s="8" t="n">
        <x:v>0.774</x:v>
      </x:c>
      <x:c r="M483" s="8" t="n">
        <x:v>40.525</x:v>
      </x:c>
      <x:c r="N483" s="8" t="n">
        <x:v>0.774</x:v>
      </x:c>
      <x:c r="O483" s="8" t="n">
        <x:v>40.525</x:v>
      </x:c>
      <x:c r="P483" s="8"/>
      <x:c r="Q483" s="8"/>
      <x:c r="R483" s="8"/>
      <x:c r="S483" s="8"/>
      <x:c r="T483" s="8" t="n">
        <x:v>0.283</x:v>
      </x:c>
      <x:c r="U483" s="8" t="n">
        <x:v>14.715</x:v>
      </x:c>
      <x:c r="V483" s="8" t="n">
        <x:v>0.283</x:v>
      </x:c>
      <x:c r="W483" s="8" t="n">
        <x:v>14.715</x:v>
      </x:c>
      <x:c r="X483" s="8"/>
      <x:c r="Y483" s="8"/>
      <x:c r="Z483" s="8"/>
      <x:c r="AA483" s="8"/>
      <x:c r="AB483" s="8"/>
      <x:c r="AC483" s="8"/>
      <x:c r="AD483" s="8"/>
      <x:c r="AE483" s="8"/>
      <x:c r="AF483" s="8" t="n">
        <x:v>1.213</x:v>
      </x:c>
      <x:c r="AG483" s="8" t="n">
        <x:v>18.395</x:v>
      </x:c>
      <x:c r="AH483" s="8" t="n">
        <x:v>1.213</x:v>
      </x:c>
      <x:c r="AI483" s="8" t="n">
        <x:v>18.395</x:v>
      </x:c>
      <x:c r="AJ483" s="8" t="n">
        <x:v>1.669</x:v>
      </x:c>
      <x:c r="AK483" s="8" t="n">
        <x:v>21.422</x:v>
      </x:c>
      <x:c r="AL483" s="8" t="n">
        <x:v>1.669</x:v>
      </x:c>
      <x:c r="AM483" s="8" t="n">
        <x:v>21.422</x:v>
      </x:c>
      <x:c r="AN483" s="8" t="n">
        <x:v>0.316</x:v>
      </x:c>
      <x:c r="AO483" s="8" t="n">
        <x:v>15.769</x:v>
      </x:c>
      <x:c r="AP483" s="8" t="n">
        <x:v>0.316</x:v>
      </x:c>
      <x:c r="AQ483" s="8" t="n">
        <x:v>15.769</x:v>
      </x:c>
      <x:c r="AR483" s="8"/>
      <x:c r="AS483" s="8"/>
      <x:c r="AT483" s="8" t="n">
        <x:v>1.133</x:v>
      </x:c>
      <x:c r="AU483" s="8" t="n">
        <x:v>16.604</x:v>
      </x:c>
      <x:c r="AV483" s="8" t="n">
        <x:v>0.313</x:v>
      </x:c>
      <x:c r="AW483" s="8" t="n">
        <x:v>17.931</x:v>
      </x:c>
      <x:c r="AX483" s="8" t="n">
        <x:v>1.686</x:v>
      </x:c>
      <x:c r="AY483" s="8" t="n">
        <x:v>17.671</x:v>
      </x:c>
      <x:c r="AZ483" s="8" t="n">
        <x:v>1.686</x:v>
      </x:c>
      <x:c r="BA483" s="8" t="n">
        <x:v>17.671</x:v>
      </x:c>
      <x:c r="BB483" s="8" t="n">
        <x:f>LET(m,MIN(IF(D483&gt;0,D483,1E+99),IF(F483&gt;0,F483,1E+99),IF(H483&gt;0,H483,1E+99),IF(J483&gt;0,J483,1E+99),IF(L483&gt;0,L483,1E+99),IF(N483&gt;0,N483,1E+99),IF(P483&gt;0,P483,1E+99),IF(R483&gt;0,R483,1E+99),IF(T483&gt;0,T483,1E+99),IF(V483&gt;0,V483,1E+99),IF(X483&gt;0,X483,1E+99),IF(Z483&gt;0,Z483,1E+99),IF(AB483&gt;0,AB483,1E+99),IF(AD483&gt;0,AD483,1E+99),IF(AF483&gt;0,AF483,1E+99),IF(AH483&gt;0,AH483,1E+99),IF(AJ483&gt;0,AJ483,1E+99),IF(AL483&gt;0,AL483,1E+99),IF(AN483&gt;0,AN483,1E+99),IF(AP483&gt;0,AP483,1E+99),IF(AR483&gt;0,AR483,1E+99),IF(AT483&gt;0,AT483,1E+99),IF(AV483&gt;0,AV483,1E+99),IF(AX483&gt;0,AX483,1E+99),IF(AZ483&gt;0,AZ483,1E+99)),IF(m=1E+99,"",m))</x:f>
        <x:v>0.283</x:v>
      </x:c>
      <x:c r="BC483" s="12" t="e">
        <x:f>IF(BB483="","",INDEX({"v1.4.20","v1.4.20","v1.4.21","v1.4.21","v1.4.23","v1.4.23","v1.4.26","v1.4.26","v1.4.26.1","v1.4.26.1","v1.4.27","v1.4.27","v1.4.29","v1.4.29","v1.4.30","v1.4.30","v1.4.31","v1.4.31","v1.4.33","v1.4.33","v1.4.35","v1.4.35.2","v1.5","v1.5.1","v1.5.1"},MATCH(BB483,CHOOSE({1,2,3,4,5,6,7,8,9,10,11,12,13,14,15,16,17,18,19,20,21,22,23,24,25},D483,F483,H483,J483,L483,N483,P483,R483,T483,V483,X483,Z483,AB483,AD483,AF483,AH483,AJ483,AL483,AN483,AP483,AR483,AT483,AV483,AX483,AZ483),0)))</x:f>
      </x:c>
      <x:c r="BD483" s="14" t="n">
        <x:f>LET(m,MIN(IF(E483&gt;0,E483,1E+99),IF(G483&gt;0,G483,1E+99),IF(I483&gt;0,I483,1E+99),IF(K483&gt;0,K483,1E+99),IF(M483&gt;0,M483,1E+99),IF(O483&gt;0,O483,1E+99),IF(Q483&gt;0,Q483,1E+99),IF(S483&gt;0,S483,1E+99),IF(U483&gt;0,U483,1E+99),IF(W483&gt;0,W483,1E+99),IF(Y483&gt;0,Y483,1E+99),IF(AA483&gt;0,AA483,1E+99),IF(AC483&gt;0,AC483,1E+99),IF(AE483&gt;0,AE483,1E+99),IF(AG483&gt;0,AG483,1E+99),IF(AI483&gt;0,AI483,1E+99),IF(AK483&gt;0,AK483,1E+99),IF(AM483&gt;0,AM483,1E+99),IF(AO483&gt;0,AO483,1E+99),IF(AQ483&gt;0,AQ483,1E+99),IF(AS483&gt;0,AS483,1E+99),IF(AU483&gt;0,AU483,1E+99),IF(AW483&gt;0,AW483,1E+99),IF(AY483&gt;0,AY483,1E+99),IF(BA483&gt;0,BA483,1E+99)),IF(m=1E+99,"",m))</x:f>
        <x:v>14.715</x:v>
      </x:c>
      <x:c r="BE483" s="16" t="e">
        <x:f>IF(BD483="","",INDEX({"v1.4.20","v1.4.20","v1.4.21","v1.4.21","v1.4.23","v1.4.23","v1.4.26","v1.4.26","v1.4.26.1","v1.4.26.1","v1.4.27","v1.4.27","v1.4.29","v1.4.29","v1.4.30","v1.4.30","v1.4.31","v1.4.31","v1.4.33","v1.4.33","v1.4.35","v1.4.35.2","v1.5","v1.5.1","v1.5.1"},MATCH(BD483,CHOOSE({1,2,3,4,5,6,7,8,9,10,11,12,13,14,15,16,17,18,19,20,21,22,23,24,25},E483,G483,I483,K483,M483,O483,Q483,S483,U483,W483,Y483,AA483,AC483,AE483,AG483,AI483,AK483,AM483,AO483,AQ483,AS483,AU483,AW483,AY483,BA483),0)))</x:f>
      </x:c>
      <x:c r="BF483" s="10" t="n">
        <x:f>IFERROR((AX483-BB483)/BB483,"")</x:f>
        <x:v>4.957597173144877</x:v>
      </x:c>
      <x:c r="BG483" s="10" t="n">
        <x:f>IFERROR((AY483-BD483)/BD483,"")</x:f>
        <x:v>0.20088345225959903</x:v>
      </x:c>
    </x:row>
    <x:row r="484">
      <x:c r="A484" t="str">
        <x:v>Master List</x:v>
      </x:c>
      <x:c r="B484" t="str">
        <x:v>Create Master List</x:v>
      </x:c>
      <x:c r="C484" t="str">
        <x:v>Right-size Master List output rows</x:v>
      </x:c>
      <x:c r="D484" s="8" t="n">
        <x:v>1.347</x:v>
      </x:c>
      <x:c r="E484" s="8" t="n">
        <x:v>20.935</x:v>
      </x:c>
      <x:c r="F484" s="8" t="n">
        <x:v>1.347</x:v>
      </x:c>
      <x:c r="G484" s="8" t="n">
        <x:v>20.935</x:v>
      </x:c>
      <x:c r="H484" s="8" t="n">
        <x:v>1.952</x:v>
      </x:c>
      <x:c r="I484" s="8" t="n">
        <x:v>23.841</x:v>
      </x:c>
      <x:c r="J484" s="8" t="n">
        <x:v>1.952</x:v>
      </x:c>
      <x:c r="K484" s="8" t="n">
        <x:v>23.841</x:v>
      </x:c>
      <x:c r="L484" s="8" t="n">
        <x:v>2.761</x:v>
      </x:c>
      <x:c r="M484" s="8" t="n">
        <x:v>49.481</x:v>
      </x:c>
      <x:c r="N484" s="8" t="n">
        <x:v>2.761</x:v>
      </x:c>
      <x:c r="O484" s="8" t="n">
        <x:v>49.481</x:v>
      </x:c>
      <x:c r="P484" s="8"/>
      <x:c r="Q484" s="8"/>
      <x:c r="R484" s="8"/>
      <x:c r="S484" s="8"/>
      <x:c r="T484" s="8" t="n">
        <x:v>0.185</x:v>
      </x:c>
      <x:c r="U484" s="8" t="n">
        <x:v>17.965</x:v>
      </x:c>
      <x:c r="V484" s="8" t="n">
        <x:v>0.185</x:v>
      </x:c>
      <x:c r="W484" s="8" t="n">
        <x:v>17.965</x:v>
      </x:c>
      <x:c r="X484" s="8"/>
      <x:c r="Y484" s="8"/>
      <x:c r="Z484" s="8"/>
      <x:c r="AA484" s="8"/>
      <x:c r="AB484" s="8"/>
      <x:c r="AC484" s="8"/>
      <x:c r="AD484" s="8"/>
      <x:c r="AE484" s="8"/>
      <x:c r="AF484" s="8" t="n">
        <x:v>0.171</x:v>
      </x:c>
      <x:c r="AG484" s="8" t="n">
        <x:v>21.143</x:v>
      </x:c>
      <x:c r="AH484" s="8" t="n">
        <x:v>0.171</x:v>
      </x:c>
      <x:c r="AI484" s="8" t="n">
        <x:v>21.143</x:v>
      </x:c>
      <x:c r="AJ484" s="8" t="n">
        <x:v>0.202</x:v>
      </x:c>
      <x:c r="AK484" s="8" t="n">
        <x:v>27.569</x:v>
      </x:c>
      <x:c r="AL484" s="8" t="n">
        <x:v>0.202</x:v>
      </x:c>
      <x:c r="AM484" s="8" t="n">
        <x:v>27.569</x:v>
      </x:c>
      <x:c r="AN484" s="8" t="n">
        <x:v>0.18</x:v>
      </x:c>
      <x:c r="AO484" s="8" t="n">
        <x:v>18.667</x:v>
      </x:c>
      <x:c r="AP484" s="8" t="n">
        <x:v>0.18</x:v>
      </x:c>
      <x:c r="AQ484" s="8" t="n">
        <x:v>18.667</x:v>
      </x:c>
      <x:c r="AR484" s="8"/>
      <x:c r="AS484" s="8"/>
      <x:c r="AT484" s="8" t="n">
        <x:v>0.162</x:v>
      </x:c>
      <x:c r="AU484" s="8" t="n">
        <x:v>19.071</x:v>
      </x:c>
      <x:c r="AV484" s="8" t="n">
        <x:v>2.55</x:v>
      </x:c>
      <x:c r="AW484" s="8" t="n">
        <x:v>24.925</x:v>
      </x:c>
      <x:c r="AX484" s="8" t="n">
        <x:v>0.994</x:v>
      </x:c>
      <x:c r="AY484" s="8" t="n">
        <x:v>22.76</x:v>
      </x:c>
      <x:c r="AZ484" s="8" t="n">
        <x:v>0.994</x:v>
      </x:c>
      <x:c r="BA484" s="8" t="n">
        <x:v>22.76</x:v>
      </x:c>
      <x:c r="BB484" s="8" t="n">
        <x:f>LET(m,MIN(IF(D484&gt;0,D484,1E+99),IF(F484&gt;0,F484,1E+99),IF(H484&gt;0,H484,1E+99),IF(J484&gt;0,J484,1E+99),IF(L484&gt;0,L484,1E+99),IF(N484&gt;0,N484,1E+99),IF(P484&gt;0,P484,1E+99),IF(R484&gt;0,R484,1E+99),IF(T484&gt;0,T484,1E+99),IF(V484&gt;0,V484,1E+99),IF(X484&gt;0,X484,1E+99),IF(Z484&gt;0,Z484,1E+99),IF(AB484&gt;0,AB484,1E+99),IF(AD484&gt;0,AD484,1E+99),IF(AF484&gt;0,AF484,1E+99),IF(AH484&gt;0,AH484,1E+99),IF(AJ484&gt;0,AJ484,1E+99),IF(AL484&gt;0,AL484,1E+99),IF(AN484&gt;0,AN484,1E+99),IF(AP484&gt;0,AP484,1E+99),IF(AR484&gt;0,AR484,1E+99),IF(AT484&gt;0,AT484,1E+99),IF(AV484&gt;0,AV484,1E+99),IF(AX484&gt;0,AX484,1E+99),IF(AZ484&gt;0,AZ484,1E+99)),IF(m=1E+99,"",m))</x:f>
        <x:v>0.162</x:v>
      </x:c>
      <x:c r="BC484" s="12" t="e">
        <x:f>IF(BB484="","",INDEX({"v1.4.20","v1.4.20","v1.4.21","v1.4.21","v1.4.23","v1.4.23","v1.4.26","v1.4.26","v1.4.26.1","v1.4.26.1","v1.4.27","v1.4.27","v1.4.29","v1.4.29","v1.4.30","v1.4.30","v1.4.31","v1.4.31","v1.4.33","v1.4.33","v1.4.35","v1.4.35.2","v1.5","v1.5.1","v1.5.1"},MATCH(BB484,CHOOSE({1,2,3,4,5,6,7,8,9,10,11,12,13,14,15,16,17,18,19,20,21,22,23,24,25},D484,F484,H484,J484,L484,N484,P484,R484,T484,V484,X484,Z484,AB484,AD484,AF484,AH484,AJ484,AL484,AN484,AP484,AR484,AT484,AV484,AX484,AZ484),0)))</x:f>
      </x:c>
      <x:c r="BD484" s="14" t="n">
        <x:f>LET(m,MIN(IF(E484&gt;0,E484,1E+99),IF(G484&gt;0,G484,1E+99),IF(I484&gt;0,I484,1E+99),IF(K484&gt;0,K484,1E+99),IF(M484&gt;0,M484,1E+99),IF(O484&gt;0,O484,1E+99),IF(Q484&gt;0,Q484,1E+99),IF(S484&gt;0,S484,1E+99),IF(U484&gt;0,U484,1E+99),IF(W484&gt;0,W484,1E+99),IF(Y484&gt;0,Y484,1E+99),IF(AA484&gt;0,AA484,1E+99),IF(AC484&gt;0,AC484,1E+99),IF(AE484&gt;0,AE484,1E+99),IF(AG484&gt;0,AG484,1E+99),IF(AI484&gt;0,AI484,1E+99),IF(AK484&gt;0,AK484,1E+99),IF(AM484&gt;0,AM484,1E+99),IF(AO484&gt;0,AO484,1E+99),IF(AQ484&gt;0,AQ484,1E+99),IF(AS484&gt;0,AS484,1E+99),IF(AU484&gt;0,AU484,1E+99),IF(AW484&gt;0,AW484,1E+99),IF(AY484&gt;0,AY484,1E+99),IF(BA484&gt;0,BA484,1E+99)),IF(m=1E+99,"",m))</x:f>
        <x:v>17.965</x:v>
      </x:c>
      <x:c r="BE484" s="16" t="e">
        <x:f>IF(BD484="","",INDEX({"v1.4.20","v1.4.20","v1.4.21","v1.4.21","v1.4.23","v1.4.23","v1.4.26","v1.4.26","v1.4.26.1","v1.4.26.1","v1.4.27","v1.4.27","v1.4.29","v1.4.29","v1.4.30","v1.4.30","v1.4.31","v1.4.31","v1.4.33","v1.4.33","v1.4.35","v1.4.35.2","v1.5","v1.5.1","v1.5.1"},MATCH(BD484,CHOOSE({1,2,3,4,5,6,7,8,9,10,11,12,13,14,15,16,17,18,19,20,21,22,23,24,25},E484,G484,I484,K484,M484,O484,Q484,S484,U484,W484,Y484,AA484,AC484,AE484,AG484,AI484,AK484,AM484,AO484,AQ484,AS484,AU484,AW484,AY484,BA484),0)))</x:f>
      </x:c>
      <x:c r="BF484" s="10" t="n">
        <x:f>IFERROR((AX484-BB484)/BB484,"")</x:f>
        <x:v>5.135802469135802</x:v>
      </x:c>
      <x:c r="BG484" s="10" t="n">
        <x:f>IFERROR((AY484-BD484)/BD484,"")</x:f>
        <x:v>0.26690787642638475</x:v>
      </x:c>
    </x:row>
    <x:row r="485">
      <x:c r="A485" t="str">
        <x:v>Master List</x:v>
      </x:c>
      <x:c r="B485" t="str">
        <x:v>Create Master List</x:v>
      </x:c>
      <x:c r="C485" t="str">
        <x:v>Fill Master List metadata columns</x:v>
      </x:c>
      <x:c r="D485" s="8" t="n">
        <x:v>1.167</x:v>
      </x:c>
      <x:c r="E485" s="8" t="n">
        <x:v>22.102</x:v>
      </x:c>
      <x:c r="F485" s="8" t="n">
        <x:v>1.167</x:v>
      </x:c>
      <x:c r="G485" s="8" t="n">
        <x:v>22.102</x:v>
      </x:c>
      <x:c r="H485" s="8" t="n">
        <x:v>1.304</x:v>
      </x:c>
      <x:c r="I485" s="8" t="n">
        <x:v>25.145</x:v>
      </x:c>
      <x:c r="J485" s="8" t="n">
        <x:v>1.304</x:v>
      </x:c>
      <x:c r="K485" s="8" t="n">
        <x:v>25.145</x:v>
      </x:c>
      <x:c r="L485" s="8" t="n">
        <x:v>2.595</x:v>
      </x:c>
      <x:c r="M485" s="8" t="n">
        <x:v>52.076</x:v>
      </x:c>
      <x:c r="N485" s="8" t="n">
        <x:v>2.595</x:v>
      </x:c>
      <x:c r="O485" s="8" t="n">
        <x:v>52.076</x:v>
      </x:c>
      <x:c r="P485" s="8"/>
      <x:c r="Q485" s="8"/>
      <x:c r="R485" s="8"/>
      <x:c r="S485" s="8"/>
      <x:c r="T485" s="8" t="n">
        <x:v>0.8</x:v>
      </x:c>
      <x:c r="U485" s="8" t="n">
        <x:v>18.765</x:v>
      </x:c>
      <x:c r="V485" s="8" t="n">
        <x:v>0.8</x:v>
      </x:c>
      <x:c r="W485" s="8" t="n">
        <x:v>18.765</x:v>
      </x:c>
      <x:c r="X485" s="8"/>
      <x:c r="Y485" s="8"/>
      <x:c r="Z485" s="8"/>
      <x:c r="AA485" s="8"/>
      <x:c r="AB485" s="8"/>
      <x:c r="AC485" s="8"/>
      <x:c r="AD485" s="8"/>
      <x:c r="AE485" s="8"/>
      <x:c r="AF485" s="8" t="n">
        <x:v>0.849</x:v>
      </x:c>
      <x:c r="AG485" s="8" t="n">
        <x:v>21.992</x:v>
      </x:c>
      <x:c r="AH485" s="8" t="n">
        <x:v>0.849</x:v>
      </x:c>
      <x:c r="AI485" s="8" t="n">
        <x:v>21.992</x:v>
      </x:c>
      <x:c r="AJ485" s="8" t="n">
        <x:v>1.103</x:v>
      </x:c>
      <x:c r="AK485" s="8" t="n">
        <x:v>28.672</x:v>
      </x:c>
      <x:c r="AL485" s="8" t="n">
        <x:v>1.103</x:v>
      </x:c>
      <x:c r="AM485" s="8" t="n">
        <x:v>28.672</x:v>
      </x:c>
      <x:c r="AN485" s="8" t="n">
        <x:v>0.821</x:v>
      </x:c>
      <x:c r="AO485" s="8" t="n">
        <x:v>19.488</x:v>
      </x:c>
      <x:c r="AP485" s="8" t="n">
        <x:v>0.821</x:v>
      </x:c>
      <x:c r="AQ485" s="8" t="n">
        <x:v>19.488</x:v>
      </x:c>
      <x:c r="AR485" s="8"/>
      <x:c r="AS485" s="8"/>
      <x:c r="AT485" s="8" t="n">
        <x:v>0.779</x:v>
      </x:c>
      <x:c r="AU485" s="8" t="n">
        <x:v>19.85</x:v>
      </x:c>
      <x:c r="AV485" s="8" t="n">
        <x:v>1.138</x:v>
      </x:c>
      <x:c r="AW485" s="8" t="n">
        <x:v>26.063</x:v>
      </x:c>
      <x:c r="AX485" s="8" t="n">
        <x:v>1.52</x:v>
      </x:c>
      <x:c r="AY485" s="8" t="n">
        <x:v>24.28</x:v>
      </x:c>
      <x:c r="AZ485" s="8" t="n">
        <x:v>1.52</x:v>
      </x:c>
      <x:c r="BA485" s="8" t="n">
        <x:v>24.28</x:v>
      </x:c>
      <x:c r="BB485" s="8" t="n">
        <x:f>LET(m,MIN(IF(D485&gt;0,D485,1E+99),IF(F485&gt;0,F485,1E+99),IF(H485&gt;0,H485,1E+99),IF(J485&gt;0,J485,1E+99),IF(L485&gt;0,L485,1E+99),IF(N485&gt;0,N485,1E+99),IF(P485&gt;0,P485,1E+99),IF(R485&gt;0,R485,1E+99),IF(T485&gt;0,T485,1E+99),IF(V485&gt;0,V485,1E+99),IF(X485&gt;0,X485,1E+99),IF(Z485&gt;0,Z485,1E+99),IF(AB485&gt;0,AB485,1E+99),IF(AD485&gt;0,AD485,1E+99),IF(AF485&gt;0,AF485,1E+99),IF(AH485&gt;0,AH485,1E+99),IF(AJ485&gt;0,AJ485,1E+99),IF(AL485&gt;0,AL485,1E+99),IF(AN485&gt;0,AN485,1E+99),IF(AP485&gt;0,AP485,1E+99),IF(AR485&gt;0,AR485,1E+99),IF(AT485&gt;0,AT485,1E+99),IF(AV485&gt;0,AV485,1E+99),IF(AX485&gt;0,AX485,1E+99),IF(AZ485&gt;0,AZ485,1E+99)),IF(m=1E+99,"",m))</x:f>
        <x:v>0.779</x:v>
      </x:c>
      <x:c r="BC485" s="12" t="e">
        <x:f>IF(BB485="","",INDEX({"v1.4.20","v1.4.20","v1.4.21","v1.4.21","v1.4.23","v1.4.23","v1.4.26","v1.4.26","v1.4.26.1","v1.4.26.1","v1.4.27","v1.4.27","v1.4.29","v1.4.29","v1.4.30","v1.4.30","v1.4.31","v1.4.31","v1.4.33","v1.4.33","v1.4.35","v1.4.35.2","v1.5","v1.5.1","v1.5.1"},MATCH(BB485,CHOOSE({1,2,3,4,5,6,7,8,9,10,11,12,13,14,15,16,17,18,19,20,21,22,23,24,25},D485,F485,H485,J485,L485,N485,P485,R485,T485,V485,X485,Z485,AB485,AD485,AF485,AH485,AJ485,AL485,AN485,AP485,AR485,AT485,AV485,AX485,AZ485),0)))</x:f>
      </x:c>
      <x:c r="BD485" s="14" t="n">
        <x:f>LET(m,MIN(IF(E485&gt;0,E485,1E+99),IF(G485&gt;0,G485,1E+99),IF(I485&gt;0,I485,1E+99),IF(K485&gt;0,K485,1E+99),IF(M485&gt;0,M485,1E+99),IF(O485&gt;0,O485,1E+99),IF(Q485&gt;0,Q485,1E+99),IF(S485&gt;0,S485,1E+99),IF(U485&gt;0,U485,1E+99),IF(W485&gt;0,W485,1E+99),IF(Y485&gt;0,Y485,1E+99),IF(AA485&gt;0,AA485,1E+99),IF(AC485&gt;0,AC485,1E+99),IF(AE485&gt;0,AE485,1E+99),IF(AG485&gt;0,AG485,1E+99),IF(AI485&gt;0,AI485,1E+99),IF(AK485&gt;0,AK485,1E+99),IF(AM485&gt;0,AM485,1E+99),IF(AO485&gt;0,AO485,1E+99),IF(AQ485&gt;0,AQ485,1E+99),IF(AS485&gt;0,AS485,1E+99),IF(AU485&gt;0,AU485,1E+99),IF(AW485&gt;0,AW485,1E+99),IF(AY485&gt;0,AY485,1E+99),IF(BA485&gt;0,BA485,1E+99)),IF(m=1E+99,"",m))</x:f>
        <x:v>18.765</x:v>
      </x:c>
      <x:c r="BE485" s="16" t="e">
        <x:f>IF(BD485="","",INDEX({"v1.4.20","v1.4.20","v1.4.21","v1.4.21","v1.4.23","v1.4.23","v1.4.26","v1.4.26","v1.4.26.1","v1.4.26.1","v1.4.27","v1.4.27","v1.4.29","v1.4.29","v1.4.30","v1.4.30","v1.4.31","v1.4.31","v1.4.33","v1.4.33","v1.4.35","v1.4.35.2","v1.5","v1.5.1","v1.5.1"},MATCH(BD485,CHOOSE({1,2,3,4,5,6,7,8,9,10,11,12,13,14,15,16,17,18,19,20,21,22,23,24,25},E485,G485,I485,K485,M485,O485,Q485,S485,U485,W485,Y485,AA485,AC485,AE485,AG485,AI485,AK485,AM485,AO485,AQ485,AS485,AU485,AW485,AY485,BA485),0)))</x:f>
      </x:c>
      <x:c r="BF485" s="10" t="n">
        <x:f>IFERROR((AX485-BB485)/BB485,"")</x:f>
        <x:v>0.9512195121951219</x:v>
      </x:c>
      <x:c r="BG485" s="10" t="n">
        <x:f>IFERROR((AY485-BD485)/BD485,"")</x:f>
        <x:v>0.2938982147615241</x:v>
      </x:c>
    </x:row>
    <x:row r="486">
      <x:c r="A486" t="str">
        <x:v>Master List</x:v>
      </x:c>
      <x:c r="B486" t="str">
        <x:v>Create Master List</x:v>
      </x:c>
      <x:c r="C486" t="str">
        <x:v>Sync Unlocked CP to Master List primary rows</x:v>
      </x:c>
      <x:c r="D486" s="8"/>
      <x:c r="E486" s="8"/>
      <x:c r="F486" s="8"/>
      <x:c r="G486" s="8"/>
      <x:c r="H486" s="8"/>
      <x:c r="I486" s="8"/>
      <x:c r="J486" s="8"/>
      <x:c r="K486" s="8"/>
      <x:c r="L486" s="8" t="n">
        <x:v>6.334</x:v>
      </x:c>
      <x:c r="M486" s="8" t="n">
        <x:v>58.41</x:v>
      </x:c>
      <x:c r="N486" s="8" t="n">
        <x:v>6.334</x:v>
      </x:c>
      <x:c r="O486" s="8" t="n">
        <x:v>58.41</x:v>
      </x:c>
      <x:c r="P486" s="8"/>
      <x:c r="Q486" s="8"/>
      <x:c r="R486" s="8"/>
      <x:c r="S486" s="8"/>
      <x:c r="T486" s="8" t="n">
        <x:v>1.011</x:v>
      </x:c>
      <x:c r="U486" s="8" t="n">
        <x:v>19.776</x:v>
      </x:c>
      <x:c r="V486" s="8" t="n">
        <x:v>1.011</x:v>
      </x:c>
      <x:c r="W486" s="8" t="n">
        <x:v>19.776</x:v>
      </x:c>
      <x:c r="X486" s="8"/>
      <x:c r="Y486" s="8"/>
      <x:c r="Z486" s="8"/>
      <x:c r="AA486" s="8"/>
      <x:c r="AB486" s="8"/>
      <x:c r="AC486" s="8"/>
      <x:c r="AD486" s="8"/>
      <x:c r="AE486" s="8"/>
      <x:c r="AF486" s="8" t="n">
        <x:v>1.257</x:v>
      </x:c>
      <x:c r="AG486" s="8" t="n">
        <x:v>23.249</x:v>
      </x:c>
      <x:c r="AH486" s="8" t="n">
        <x:v>1.257</x:v>
      </x:c>
      <x:c r="AI486" s="8" t="n">
        <x:v>23.249</x:v>
      </x:c>
      <x:c r="AJ486" s="8" t="n">
        <x:v>1.446</x:v>
      </x:c>
      <x:c r="AK486" s="8" t="n">
        <x:v>30.118</x:v>
      </x:c>
      <x:c r="AL486" s="8" t="n">
        <x:v>1.446</x:v>
      </x:c>
      <x:c r="AM486" s="8" t="n">
        <x:v>30.118</x:v>
      </x:c>
      <x:c r="AN486" s="8" t="n">
        <x:v>0.715</x:v>
      </x:c>
      <x:c r="AO486" s="8" t="n">
        <x:v>20.203</x:v>
      </x:c>
      <x:c r="AP486" s="8" t="n">
        <x:v>0.715</x:v>
      </x:c>
      <x:c r="AQ486" s="8" t="n">
        <x:v>20.203</x:v>
      </x:c>
      <x:c r="AR486" s="8"/>
      <x:c r="AS486" s="8"/>
      <x:c r="AT486" s="8" t="n">
        <x:v>1.425</x:v>
      </x:c>
      <x:c r="AU486" s="8" t="n">
        <x:v>21.275</x:v>
      </x:c>
      <x:c r="AV486" s="8" t="n">
        <x:v>2.534</x:v>
      </x:c>
      <x:c r="AW486" s="8" t="n">
        <x:v>28.597</x:v>
      </x:c>
      <x:c r="AX486" s="8" t="n">
        <x:v>3.764</x:v>
      </x:c>
      <x:c r="AY486" s="8" t="n">
        <x:v>28.044</x:v>
      </x:c>
      <x:c r="AZ486" s="8" t="n">
        <x:v>3.764</x:v>
      </x:c>
      <x:c r="BA486" s="8" t="n">
        <x:v>28.044</x:v>
      </x:c>
      <x:c r="BB486" s="8" t="n">
        <x:f>LET(m,MIN(IF(D486&gt;0,D486,1E+99),IF(F486&gt;0,F486,1E+99),IF(H486&gt;0,H486,1E+99),IF(J486&gt;0,J486,1E+99),IF(L486&gt;0,L486,1E+99),IF(N486&gt;0,N486,1E+99),IF(P486&gt;0,P486,1E+99),IF(R486&gt;0,R486,1E+99),IF(T486&gt;0,T486,1E+99),IF(V486&gt;0,V486,1E+99),IF(X486&gt;0,X486,1E+99),IF(Z486&gt;0,Z486,1E+99),IF(AB486&gt;0,AB486,1E+99),IF(AD486&gt;0,AD486,1E+99),IF(AF486&gt;0,AF486,1E+99),IF(AH486&gt;0,AH486,1E+99),IF(AJ486&gt;0,AJ486,1E+99),IF(AL486&gt;0,AL486,1E+99),IF(AN486&gt;0,AN486,1E+99),IF(AP486&gt;0,AP486,1E+99),IF(AR486&gt;0,AR486,1E+99),IF(AT486&gt;0,AT486,1E+99),IF(AV486&gt;0,AV486,1E+99),IF(AX486&gt;0,AX486,1E+99),IF(AZ486&gt;0,AZ486,1E+99)),IF(m=1E+99,"",m))</x:f>
        <x:v>0.715</x:v>
      </x:c>
      <x:c r="BC486" s="12" t="e">
        <x:f>IF(BB486="","",INDEX({"v1.4.20","v1.4.20","v1.4.21","v1.4.21","v1.4.23","v1.4.23","v1.4.26","v1.4.26","v1.4.26.1","v1.4.26.1","v1.4.27","v1.4.27","v1.4.29","v1.4.29","v1.4.30","v1.4.30","v1.4.31","v1.4.31","v1.4.33","v1.4.33","v1.4.35","v1.4.35.2","v1.5","v1.5.1","v1.5.1"},MATCH(BB486,CHOOSE({1,2,3,4,5,6,7,8,9,10,11,12,13,14,15,16,17,18,19,20,21,22,23,24,25},D486,F486,H486,J486,L486,N486,P486,R486,T486,V486,X486,Z486,AB486,AD486,AF486,AH486,AJ486,AL486,AN486,AP486,AR486,AT486,AV486,AX486,AZ486),0)))</x:f>
      </x:c>
      <x:c r="BD486" s="14" t="n">
        <x:f>LET(m,MIN(IF(E486&gt;0,E486,1E+99),IF(G486&gt;0,G486,1E+99),IF(I486&gt;0,I486,1E+99),IF(K486&gt;0,K486,1E+99),IF(M486&gt;0,M486,1E+99),IF(O486&gt;0,O486,1E+99),IF(Q486&gt;0,Q486,1E+99),IF(S486&gt;0,S486,1E+99),IF(U486&gt;0,U486,1E+99),IF(W486&gt;0,W486,1E+99),IF(Y486&gt;0,Y486,1E+99),IF(AA486&gt;0,AA486,1E+99),IF(AC486&gt;0,AC486,1E+99),IF(AE486&gt;0,AE486,1E+99),IF(AG486&gt;0,AG486,1E+99),IF(AI486&gt;0,AI486,1E+99),IF(AK486&gt;0,AK486,1E+99),IF(AM486&gt;0,AM486,1E+99),IF(AO486&gt;0,AO486,1E+99),IF(AQ486&gt;0,AQ486,1E+99),IF(AS486&gt;0,AS486,1E+99),IF(AU486&gt;0,AU486,1E+99),IF(AW486&gt;0,AW486,1E+99),IF(AY486&gt;0,AY486,1E+99),IF(BA486&gt;0,BA486,1E+99)),IF(m=1E+99,"",m))</x:f>
        <x:v>19.776</x:v>
      </x:c>
      <x:c r="BE486" s="16" t="e">
        <x:f>IF(BD486="","",INDEX({"v1.4.20","v1.4.20","v1.4.21","v1.4.21","v1.4.23","v1.4.23","v1.4.26","v1.4.26","v1.4.26.1","v1.4.26.1","v1.4.27","v1.4.27","v1.4.29","v1.4.29","v1.4.30","v1.4.30","v1.4.31","v1.4.31","v1.4.33","v1.4.33","v1.4.35","v1.4.35.2","v1.5","v1.5.1","v1.5.1"},MATCH(BD486,CHOOSE({1,2,3,4,5,6,7,8,9,10,11,12,13,14,15,16,17,18,19,20,21,22,23,24,25},E486,G486,I486,K486,M486,O486,Q486,S486,U486,W486,Y486,AA486,AC486,AE486,AG486,AI486,AK486,AM486,AO486,AQ486,AS486,AU486,AW486,AY486,BA486),0)))</x:f>
      </x:c>
      <x:c r="BF486" s="10" t="n">
        <x:f>IFERROR((AX486-BB486)/BB486,"")</x:f>
        <x:v>4.264335664335665</x:v>
      </x:c>
      <x:c r="BG486" s="10" t="n">
        <x:f>IFERROR((AY486-BD486)/BD486,"")</x:f>
        <x:v>0.4180825242718447</x:v>
      </x:c>
    </x:row>
    <x:row r="487">
      <x:c r="A487" t="str">
        <x:v>Master List</x:v>
      </x:c>
      <x:c r="B487" t="str">
        <x:v>Create Master List</x:v>
      </x:c>
      <x:c r="C487" t="str">
        <x:v>Set final Master List sheet name</x:v>
      </x:c>
      <x:c r="D487" s="8" t="n">
        <x:v>0.006</x:v>
      </x:c>
      <x:c r="E487" s="8" t="n">
        <x:v>22.108</x:v>
      </x:c>
      <x:c r="F487" s="8" t="n">
        <x:v>0.006</x:v>
      </x:c>
      <x:c r="G487" s="8" t="n">
        <x:v>22.108</x:v>
      </x:c>
      <x:c r="H487" s="8" t="n">
        <x:v>0.004</x:v>
      </x:c>
      <x:c r="I487" s="8" t="n">
        <x:v>25.149</x:v>
      </x:c>
      <x:c r="J487" s="8" t="n">
        <x:v>0.004</x:v>
      </x:c>
      <x:c r="K487" s="8" t="n">
        <x:v>25.149</x:v>
      </x:c>
      <x:c r="L487" s="8" t="n">
        <x:v>0.01</x:v>
      </x:c>
      <x:c r="M487" s="8" t="n">
        <x:v>66.476</x:v>
      </x:c>
      <x:c r="N487" s="8" t="n">
        <x:v>0.01</x:v>
      </x:c>
      <x:c r="O487" s="8" t="n">
        <x:v>66.476</x:v>
      </x:c>
      <x:c r="P487" s="8"/>
      <x:c r="Q487" s="8"/>
      <x:c r="R487" s="8"/>
      <x:c r="S487" s="8"/>
      <x:c r="T487" s="8" t="n">
        <x:v>0.004</x:v>
      </x:c>
      <x:c r="U487" s="8" t="n">
        <x:v>20.757</x:v>
      </x:c>
      <x:c r="V487" s="8" t="n">
        <x:v>0.004</x:v>
      </x:c>
      <x:c r="W487" s="8" t="n">
        <x:v>20.757</x:v>
      </x:c>
      <x:c r="X487" s="8"/>
      <x:c r="Y487" s="8"/>
      <x:c r="Z487" s="8"/>
      <x:c r="AA487" s="8"/>
      <x:c r="AB487" s="8"/>
      <x:c r="AC487" s="8"/>
      <x:c r="AD487" s="8"/>
      <x:c r="AE487" s="8"/>
      <x:c r="AF487" s="8" t="n">
        <x:v>0.004</x:v>
      </x:c>
      <x:c r="AG487" s="8" t="n">
        <x:v>24.739</x:v>
      </x:c>
      <x:c r="AH487" s="8" t="n">
        <x:v>0.004</x:v>
      </x:c>
      <x:c r="AI487" s="8" t="n">
        <x:v>24.739</x:v>
      </x:c>
      <x:c r="AJ487" s="8" t="n">
        <x:v>0.003</x:v>
      </x:c>
      <x:c r="AK487" s="8" t="n">
        <x:v>31.693</x:v>
      </x:c>
      <x:c r="AL487" s="8" t="n">
        <x:v>0.003</x:v>
      </x:c>
      <x:c r="AM487" s="8" t="n">
        <x:v>31.693</x:v>
      </x:c>
      <x:c r="AN487" s="8" t="n">
        <x:v>0.004</x:v>
      </x:c>
      <x:c r="AO487" s="8" t="n">
        <x:v>21.264</x:v>
      </x:c>
      <x:c r="AP487" s="8" t="n">
        <x:v>0.004</x:v>
      </x:c>
      <x:c r="AQ487" s="8" t="n">
        <x:v>21.264</x:v>
      </x:c>
      <x:c r="AR487" s="8"/>
      <x:c r="AS487" s="8"/>
      <x:c r="AT487" s="8" t="n">
        <x:v>0.004</x:v>
      </x:c>
      <x:c r="AU487" s="8" t="n">
        <x:v>22.631</x:v>
      </x:c>
      <x:c r="AV487" s="8" t="n">
        <x:v>0.006</x:v>
      </x:c>
      <x:c r="AW487" s="8" t="n">
        <x:v>29.525</x:v>
      </x:c>
      <x:c r="AX487" s="8" t="n">
        <x:v>0.009</x:v>
      </x:c>
      <x:c r="AY487" s="8" t="n">
        <x:v>33.267</x:v>
      </x:c>
      <x:c r="AZ487" s="8" t="n">
        <x:v>0.009</x:v>
      </x:c>
      <x:c r="BA487" s="8" t="n">
        <x:v>33.267</x:v>
      </x:c>
      <x:c r="BB487" s="8" t="n">
        <x:f>LET(m,MIN(IF(D487&gt;0,D487,1E+99),IF(F487&gt;0,F487,1E+99),IF(H487&gt;0,H487,1E+99),IF(J487&gt;0,J487,1E+99),IF(L487&gt;0,L487,1E+99),IF(N487&gt;0,N487,1E+99),IF(P487&gt;0,P487,1E+99),IF(R487&gt;0,R487,1E+99),IF(T487&gt;0,T487,1E+99),IF(V487&gt;0,V487,1E+99),IF(X487&gt;0,X487,1E+99),IF(Z487&gt;0,Z487,1E+99),IF(AB487&gt;0,AB487,1E+99),IF(AD487&gt;0,AD487,1E+99),IF(AF487&gt;0,AF487,1E+99),IF(AH487&gt;0,AH487,1E+99),IF(AJ487&gt;0,AJ487,1E+99),IF(AL487&gt;0,AL487,1E+99),IF(AN487&gt;0,AN487,1E+99),IF(AP487&gt;0,AP487,1E+99),IF(AR487&gt;0,AR487,1E+99),IF(AT487&gt;0,AT487,1E+99),IF(AV487&gt;0,AV487,1E+99),IF(AX487&gt;0,AX487,1E+99),IF(AZ487&gt;0,AZ487,1E+99)),IF(m=1E+99,"",m))</x:f>
        <x:v>0.003</x:v>
      </x:c>
      <x:c r="BC487" s="12" t="e">
        <x:f>IF(BB487="","",INDEX({"v1.4.20","v1.4.20","v1.4.21","v1.4.21","v1.4.23","v1.4.23","v1.4.26","v1.4.26","v1.4.26.1","v1.4.26.1","v1.4.27","v1.4.27","v1.4.29","v1.4.29","v1.4.30","v1.4.30","v1.4.31","v1.4.31","v1.4.33","v1.4.33","v1.4.35","v1.4.35.2","v1.5","v1.5.1","v1.5.1"},MATCH(BB487,CHOOSE({1,2,3,4,5,6,7,8,9,10,11,12,13,14,15,16,17,18,19,20,21,22,23,24,25},D487,F487,H487,J487,L487,N487,P487,R487,T487,V487,X487,Z487,AB487,AD487,AF487,AH487,AJ487,AL487,AN487,AP487,AR487,AT487,AV487,AX487,AZ487),0)))</x:f>
      </x:c>
      <x:c r="BD487" s="14" t="n">
        <x:f>LET(m,MIN(IF(E487&gt;0,E487,1E+99),IF(G487&gt;0,G487,1E+99),IF(I487&gt;0,I487,1E+99),IF(K487&gt;0,K487,1E+99),IF(M487&gt;0,M487,1E+99),IF(O487&gt;0,O487,1E+99),IF(Q487&gt;0,Q487,1E+99),IF(S487&gt;0,S487,1E+99),IF(U487&gt;0,U487,1E+99),IF(W487&gt;0,W487,1E+99),IF(Y487&gt;0,Y487,1E+99),IF(AA487&gt;0,AA487,1E+99),IF(AC487&gt;0,AC487,1E+99),IF(AE487&gt;0,AE487,1E+99),IF(AG487&gt;0,AG487,1E+99),IF(AI487&gt;0,AI487,1E+99),IF(AK487&gt;0,AK487,1E+99),IF(AM487&gt;0,AM487,1E+99),IF(AO487&gt;0,AO487,1E+99),IF(AQ487&gt;0,AQ487,1E+99),IF(AS487&gt;0,AS487,1E+99),IF(AU487&gt;0,AU487,1E+99),IF(AW487&gt;0,AW487,1E+99),IF(AY487&gt;0,AY487,1E+99),IF(BA487&gt;0,BA487,1E+99)),IF(m=1E+99,"",m))</x:f>
        <x:v>20.757</x:v>
      </x:c>
      <x:c r="BE487" s="16" t="e">
        <x:f>IF(BD487="","",INDEX({"v1.4.20","v1.4.20","v1.4.21","v1.4.21","v1.4.23","v1.4.23","v1.4.26","v1.4.26","v1.4.26.1","v1.4.26.1","v1.4.27","v1.4.27","v1.4.29","v1.4.29","v1.4.30","v1.4.30","v1.4.31","v1.4.31","v1.4.33","v1.4.33","v1.4.35","v1.4.35.2","v1.5","v1.5.1","v1.5.1"},MATCH(BD487,CHOOSE({1,2,3,4,5,6,7,8,9,10,11,12,13,14,15,16,17,18,19,20,21,22,23,24,25},E487,G487,I487,K487,M487,O487,Q487,S487,U487,W487,Y487,AA487,AC487,AE487,AG487,AI487,AK487,AM487,AO487,AQ487,AS487,AU487,AW487,AY487,BA487),0)))</x:f>
      </x:c>
      <x:c r="BF487" s="10" t="n">
        <x:f>IFERROR((AX487-BB487)/BB487,"")</x:f>
        <x:v>1.9999999999999998</x:v>
      </x:c>
      <x:c r="BG487" s="10" t="n">
        <x:f>IFERROR((AY487-BD487)/BD487,"")</x:f>
        <x:v>0.6026882497470734</x:v>
      </x:c>
    </x:row>
    <x:row r="488">
      <x:c r="A488" t="str">
        <x:v>Master List</x:v>
      </x:c>
      <x:c r="B488" t="str">
        <x:v>Create Master List</x:v>
      </x:c>
      <x:c r="C488" t="str">
        <x:v>Final Master List display enforcement</x:v>
      </x:c>
      <x:c r="D488" s="8" t="n">
        <x:v>0.001</x:v>
      </x:c>
      <x:c r="E488" s="8" t="n">
        <x:v>22.109</x:v>
      </x:c>
      <x:c r="F488" s="8" t="n">
        <x:v>0.001</x:v>
      </x:c>
      <x:c r="G488" s="8" t="n">
        <x:v>22.109</x:v>
      </x:c>
      <x:c r="H488" s="8" t="n">
        <x:v>0.001</x:v>
      </x:c>
      <x:c r="I488" s="8" t="n">
        <x:v>25.15</x:v>
      </x:c>
      <x:c r="J488" s="8" t="n">
        <x:v>0.001</x:v>
      </x:c>
      <x:c r="K488" s="8" t="n">
        <x:v>25.15</x:v>
      </x:c>
      <x:c r="L488" s="8" t="n">
        <x:v>0.001</x:v>
      </x:c>
      <x:c r="M488" s="8" t="n">
        <x:v>66.477</x:v>
      </x:c>
      <x:c r="N488" s="8" t="n">
        <x:v>0.001</x:v>
      </x:c>
      <x:c r="O488" s="8" t="n">
        <x:v>66.477</x:v>
      </x:c>
      <x:c r="P488" s="8"/>
      <x:c r="Q488" s="8"/>
      <x:c r="R488" s="8"/>
      <x:c r="S488" s="8"/>
      <x:c r="T488" s="8" t="n">
        <x:v>0.002</x:v>
      </x:c>
      <x:c r="U488" s="8" t="n">
        <x:v>20.759</x:v>
      </x:c>
      <x:c r="V488" s="8" t="n">
        <x:v>0.002</x:v>
      </x:c>
      <x:c r="W488" s="8" t="n">
        <x:v>20.759</x:v>
      </x:c>
      <x:c r="X488" s="8"/>
      <x:c r="Y488" s="8"/>
      <x:c r="Z488" s="8"/>
      <x:c r="AA488" s="8"/>
      <x:c r="AB488" s="8"/>
      <x:c r="AC488" s="8"/>
      <x:c r="AD488" s="8"/>
      <x:c r="AE488" s="8"/>
      <x:c r="AF488" s="8" t="n">
        <x:v>0.002</x:v>
      </x:c>
      <x:c r="AG488" s="8" t="n">
        <x:v>24.741</x:v>
      </x:c>
      <x:c r="AH488" s="8" t="n">
        <x:v>0.002</x:v>
      </x:c>
      <x:c r="AI488" s="8" t="n">
        <x:v>24.741</x:v>
      </x:c>
      <x:c r="AJ488" s="8" t="n">
        <x:v>0.002</x:v>
      </x:c>
      <x:c r="AK488" s="8" t="n">
        <x:v>31.695</x:v>
      </x:c>
      <x:c r="AL488" s="8" t="n">
        <x:v>0.002</x:v>
      </x:c>
      <x:c r="AM488" s="8" t="n">
        <x:v>31.695</x:v>
      </x:c>
      <x:c r="AN488" s="8" t="n">
        <x:v>0.002</x:v>
      </x:c>
      <x:c r="AO488" s="8" t="n">
        <x:v>21.266</x:v>
      </x:c>
      <x:c r="AP488" s="8" t="n">
        <x:v>0.002</x:v>
      </x:c>
      <x:c r="AQ488" s="8" t="n">
        <x:v>21.266</x:v>
      </x:c>
      <x:c r="AR488" s="8"/>
      <x:c r="AS488" s="8"/>
      <x:c r="AT488" s="8" t="n">
        <x:v>0.001</x:v>
      </x:c>
      <x:c r="AU488" s="8" t="n">
        <x:v>22.632</x:v>
      </x:c>
      <x:c r="AV488" s="8" t="n">
        <x:v>0.003</x:v>
      </x:c>
      <x:c r="AW488" s="8" t="n">
        <x:v>29.528</x:v>
      </x:c>
      <x:c r="AX488" s="8" t="n">
        <x:v>0.001</x:v>
      </x:c>
      <x:c r="AY488" s="8" t="n">
        <x:v>33.268</x:v>
      </x:c>
      <x:c r="AZ488" s="8" t="n">
        <x:v>0.001</x:v>
      </x:c>
      <x:c r="BA488" s="8" t="n">
        <x:v>33.268</x:v>
      </x:c>
      <x:c r="BB488" s="8" t="n">
        <x:f>LET(m,MIN(IF(D488&gt;0,D488,1E+99),IF(F488&gt;0,F488,1E+99),IF(H488&gt;0,H488,1E+99),IF(J488&gt;0,J488,1E+99),IF(L488&gt;0,L488,1E+99),IF(N488&gt;0,N488,1E+99),IF(P488&gt;0,P488,1E+99),IF(R488&gt;0,R488,1E+99),IF(T488&gt;0,T488,1E+99),IF(V488&gt;0,V488,1E+99),IF(X488&gt;0,X488,1E+99),IF(Z488&gt;0,Z488,1E+99),IF(AB488&gt;0,AB488,1E+99),IF(AD488&gt;0,AD488,1E+99),IF(AF488&gt;0,AF488,1E+99),IF(AH488&gt;0,AH488,1E+99),IF(AJ488&gt;0,AJ488,1E+99),IF(AL488&gt;0,AL488,1E+99),IF(AN488&gt;0,AN488,1E+99),IF(AP488&gt;0,AP488,1E+99),IF(AR488&gt;0,AR488,1E+99),IF(AT488&gt;0,AT488,1E+99),IF(AV488&gt;0,AV488,1E+99),IF(AX488&gt;0,AX488,1E+99),IF(AZ488&gt;0,AZ488,1E+99)),IF(m=1E+99,"",m))</x:f>
        <x:v>0.001</x:v>
      </x:c>
      <x:c r="BC488" s="12" t="str">
        <x:f>IF(BB488="","",INDEX({"v1.4.20","v1.4.20","v1.4.21","v1.4.21","v1.4.23","v1.4.23","v1.4.26","v1.4.26","v1.4.26.1","v1.4.26.1","v1.4.27","v1.4.27","v1.4.29","v1.4.29","v1.4.30","v1.4.30","v1.4.31","v1.4.31","v1.4.33","v1.4.33","v1.4.35","v1.4.35.2","v1.5","v1.5.1","v1.5.1"},MATCH(BB488,CHOOSE({1,2,3,4,5,6,7,8,9,10,11,12,13,14,15,16,17,18,19,20,21,22,23,24,25},D488,F488,H488,J488,L488,N488,P488,R488,T488,V488,X488,Z488,AB488,AD488,AF488,AH488,AJ488,AL488,AN488,AP488,AR488,AT488,AV488,AX488,AZ488),0)))</x:f>
        <x:v>v1.4.20</x:v>
      </x:c>
      <x:c r="BD488" s="14" t="n">
        <x:f>LET(m,MIN(IF(E488&gt;0,E488,1E+99),IF(G488&gt;0,G488,1E+99),IF(I488&gt;0,I488,1E+99),IF(K488&gt;0,K488,1E+99),IF(M488&gt;0,M488,1E+99),IF(O488&gt;0,O488,1E+99),IF(Q488&gt;0,Q488,1E+99),IF(S488&gt;0,S488,1E+99),IF(U488&gt;0,U488,1E+99),IF(W488&gt;0,W488,1E+99),IF(Y488&gt;0,Y488,1E+99),IF(AA488&gt;0,AA488,1E+99),IF(AC488&gt;0,AC488,1E+99),IF(AE488&gt;0,AE488,1E+99),IF(AG488&gt;0,AG488,1E+99),IF(AI488&gt;0,AI488,1E+99),IF(AK488&gt;0,AK488,1E+99),IF(AM488&gt;0,AM488,1E+99),IF(AO488&gt;0,AO488,1E+99),IF(AQ488&gt;0,AQ488,1E+99),IF(AS488&gt;0,AS488,1E+99),IF(AU488&gt;0,AU488,1E+99),IF(AW488&gt;0,AW488,1E+99),IF(AY488&gt;0,AY488,1E+99),IF(BA488&gt;0,BA488,1E+99)),IF(m=1E+99,"",m))</x:f>
        <x:v>20.759</x:v>
      </x:c>
      <x:c r="BE488" s="16" t="e">
        <x:f>IF(BD488="","",INDEX({"v1.4.20","v1.4.20","v1.4.21","v1.4.21","v1.4.23","v1.4.23","v1.4.26","v1.4.26","v1.4.26.1","v1.4.26.1","v1.4.27","v1.4.27","v1.4.29","v1.4.29","v1.4.30","v1.4.30","v1.4.31","v1.4.31","v1.4.33","v1.4.33","v1.4.35","v1.4.35.2","v1.5","v1.5.1","v1.5.1"},MATCH(BD488,CHOOSE({1,2,3,4,5,6,7,8,9,10,11,12,13,14,15,16,17,18,19,20,21,22,23,24,25},E488,G488,I488,K488,M488,O488,Q488,S488,U488,W488,Y488,AA488,AC488,AE488,AG488,AI488,AK488,AM488,AO488,AQ488,AS488,AU488,AW488,AY488,BA488),0)))</x:f>
      </x:c>
      <x:c r="BF488" s="10" t="n">
        <x:f>IFERROR((AX488-BB488)/BB488,"")</x:f>
        <x:v>0</x:v>
      </x:c>
      <x:c r="BG488" s="10" t="n">
        <x:f>IFERROR((AY488-BD488)/BD488,"")</x:f>
        <x:v>0.6025820126210318</x:v>
      </x:c>
    </x:row>
    <x:row r="489">
      <x:c r="A489" t="str">
        <x:v>Master List</x:v>
      </x:c>
      <x:c r="B489" t="str">
        <x:v>Create Master List</x:v>
      </x:c>
      <x:c r="C489" t="str">
        <x:v>Lock Master List final row heights</x:v>
      </x:c>
      <x:c r="D489" s="8" t="n">
        <x:v>1.59</x:v>
      </x:c>
      <x:c r="E489" s="8" t="n">
        <x:v>23.699</x:v>
      </x:c>
      <x:c r="F489" s="8" t="n">
        <x:v>1.59</x:v>
      </x:c>
      <x:c r="G489" s="8" t="n">
        <x:v>23.699</x:v>
      </x:c>
      <x:c r="H489" s="8" t="n">
        <x:v>1.426</x:v>
      </x:c>
      <x:c r="I489" s="8" t="n">
        <x:v>26.576</x:v>
      </x:c>
      <x:c r="J489" s="8" t="n">
        <x:v>1.426</x:v>
      </x:c>
      <x:c r="K489" s="8" t="n">
        <x:v>26.576</x:v>
      </x:c>
      <x:c r="L489" s="8" t="n">
        <x:v>4.417</x:v>
      </x:c>
      <x:c r="M489" s="8" t="n">
        <x:v>70.894</x:v>
      </x:c>
      <x:c r="N489" s="8" t="n">
        <x:v>4.417</x:v>
      </x:c>
      <x:c r="O489" s="8" t="n">
        <x:v>70.894</x:v>
      </x:c>
      <x:c r="P489" s="8"/>
      <x:c r="Q489" s="8"/>
      <x:c r="R489" s="8"/>
      <x:c r="S489" s="8"/>
      <x:c r="T489" s="8" t="n">
        <x:v>0.337</x:v>
      </x:c>
      <x:c r="U489" s="8" t="n">
        <x:v>21.096</x:v>
      </x:c>
      <x:c r="V489" s="8" t="n">
        <x:v>0.337</x:v>
      </x:c>
      <x:c r="W489" s="8" t="n">
        <x:v>21.096</x:v>
      </x:c>
      <x:c r="X489" s="8"/>
      <x:c r="Y489" s="8"/>
      <x:c r="Z489" s="8"/>
      <x:c r="AA489" s="8"/>
      <x:c r="AB489" s="8"/>
      <x:c r="AC489" s="8"/>
      <x:c r="AD489" s="8"/>
      <x:c r="AE489" s="8"/>
      <x:c r="AF489" s="8" t="n">
        <x:v>0.412</x:v>
      </x:c>
      <x:c r="AG489" s="8" t="n">
        <x:v>25.153</x:v>
      </x:c>
      <x:c r="AH489" s="8" t="n">
        <x:v>0.412</x:v>
      </x:c>
      <x:c r="AI489" s="8" t="n">
        <x:v>25.153</x:v>
      </x:c>
      <x:c r="AJ489" s="8" t="n">
        <x:v>0.479</x:v>
      </x:c>
      <x:c r="AK489" s="8" t="n">
        <x:v>32.174</x:v>
      </x:c>
      <x:c r="AL489" s="8" t="n">
        <x:v>0.479</x:v>
      </x:c>
      <x:c r="AM489" s="8" t="n">
        <x:v>32.174</x:v>
      </x:c>
      <x:c r="AN489" s="8" t="n">
        <x:v>0.211</x:v>
      </x:c>
      <x:c r="AO489" s="8" t="n">
        <x:v>21.477</x:v>
      </x:c>
      <x:c r="AP489" s="8" t="n">
        <x:v>0.211</x:v>
      </x:c>
      <x:c r="AQ489" s="8" t="n">
        <x:v>21.477</x:v>
      </x:c>
      <x:c r="AR489" s="8"/>
      <x:c r="AS489" s="8"/>
      <x:c r="AT489" s="8" t="n">
        <x:v>0.738</x:v>
      </x:c>
      <x:c r="AU489" s="8" t="n">
        <x:v>23.37</x:v>
      </x:c>
      <x:c r="AV489" s="8" t="n">
        <x:v>0.245</x:v>
      </x:c>
      <x:c r="AW489" s="8" t="n">
        <x:v>29.773</x:v>
      </x:c>
      <x:c r="AX489" s="8" t="n">
        <x:v>2.171</x:v>
      </x:c>
      <x:c r="AY489" s="8" t="n">
        <x:v>35.439</x:v>
      </x:c>
      <x:c r="AZ489" s="8" t="n">
        <x:v>2.171</x:v>
      </x:c>
      <x:c r="BA489" s="8" t="n">
        <x:v>35.439</x:v>
      </x:c>
      <x:c r="BB489" s="8" t="n">
        <x:f>LET(m,MIN(IF(D489&gt;0,D489,1E+99),IF(F489&gt;0,F489,1E+99),IF(H489&gt;0,H489,1E+99),IF(J489&gt;0,J489,1E+99),IF(L489&gt;0,L489,1E+99),IF(N489&gt;0,N489,1E+99),IF(P489&gt;0,P489,1E+99),IF(R489&gt;0,R489,1E+99),IF(T489&gt;0,T489,1E+99),IF(V489&gt;0,V489,1E+99),IF(X489&gt;0,X489,1E+99),IF(Z489&gt;0,Z489,1E+99),IF(AB489&gt;0,AB489,1E+99),IF(AD489&gt;0,AD489,1E+99),IF(AF489&gt;0,AF489,1E+99),IF(AH489&gt;0,AH489,1E+99),IF(AJ489&gt;0,AJ489,1E+99),IF(AL489&gt;0,AL489,1E+99),IF(AN489&gt;0,AN489,1E+99),IF(AP489&gt;0,AP489,1E+99),IF(AR489&gt;0,AR489,1E+99),IF(AT489&gt;0,AT489,1E+99),IF(AV489&gt;0,AV489,1E+99),IF(AX489&gt;0,AX489,1E+99),IF(AZ489&gt;0,AZ489,1E+99)),IF(m=1E+99,"",m))</x:f>
        <x:v>0.211</x:v>
      </x:c>
      <x:c r="BC489" s="12" t="e">
        <x:f>IF(BB489="","",INDEX({"v1.4.20","v1.4.20","v1.4.21","v1.4.21","v1.4.23","v1.4.23","v1.4.26","v1.4.26","v1.4.26.1","v1.4.26.1","v1.4.27","v1.4.27","v1.4.29","v1.4.29","v1.4.30","v1.4.30","v1.4.31","v1.4.31","v1.4.33","v1.4.33","v1.4.35","v1.4.35.2","v1.5","v1.5.1","v1.5.1"},MATCH(BB489,CHOOSE({1,2,3,4,5,6,7,8,9,10,11,12,13,14,15,16,17,18,19,20,21,22,23,24,25},D489,F489,H489,J489,L489,N489,P489,R489,T489,V489,X489,Z489,AB489,AD489,AF489,AH489,AJ489,AL489,AN489,AP489,AR489,AT489,AV489,AX489,AZ489),0)))</x:f>
      </x:c>
      <x:c r="BD489" s="14" t="n">
        <x:f>LET(m,MIN(IF(E489&gt;0,E489,1E+99),IF(G489&gt;0,G489,1E+99),IF(I489&gt;0,I489,1E+99),IF(K489&gt;0,K489,1E+99),IF(M489&gt;0,M489,1E+99),IF(O489&gt;0,O489,1E+99),IF(Q489&gt;0,Q489,1E+99),IF(S489&gt;0,S489,1E+99),IF(U489&gt;0,U489,1E+99),IF(W489&gt;0,W489,1E+99),IF(Y489&gt;0,Y489,1E+99),IF(AA489&gt;0,AA489,1E+99),IF(AC489&gt;0,AC489,1E+99),IF(AE489&gt;0,AE489,1E+99),IF(AG489&gt;0,AG489,1E+99),IF(AI489&gt;0,AI489,1E+99),IF(AK489&gt;0,AK489,1E+99),IF(AM489&gt;0,AM489,1E+99),IF(AO489&gt;0,AO489,1E+99),IF(AQ489&gt;0,AQ489,1E+99),IF(AS489&gt;0,AS489,1E+99),IF(AU489&gt;0,AU489,1E+99),IF(AW489&gt;0,AW489,1E+99),IF(AY489&gt;0,AY489,1E+99),IF(BA489&gt;0,BA489,1E+99)),IF(m=1E+99,"",m))</x:f>
        <x:v>21.096</x:v>
      </x:c>
      <x:c r="BE489" s="16" t="e">
        <x:f>IF(BD489="","",INDEX({"v1.4.20","v1.4.20","v1.4.21","v1.4.21","v1.4.23","v1.4.23","v1.4.26","v1.4.26","v1.4.26.1","v1.4.26.1","v1.4.27","v1.4.27","v1.4.29","v1.4.29","v1.4.30","v1.4.30","v1.4.31","v1.4.31","v1.4.33","v1.4.33","v1.4.35","v1.4.35.2","v1.5","v1.5.1","v1.5.1"},MATCH(BD489,CHOOSE({1,2,3,4,5,6,7,8,9,10,11,12,13,14,15,16,17,18,19,20,21,22,23,24,25},E489,G489,I489,K489,M489,O489,Q489,S489,U489,W489,Y489,AA489,AC489,AE489,AG489,AI489,AK489,AM489,AO489,AQ489,AS489,AU489,AW489,AY489,BA489),0)))</x:f>
      </x:c>
      <x:c r="BF489" s="10" t="n">
        <x:f>IFERROR((AX489-BB489)/BB489,"")</x:f>
        <x:v>9.28909952606635</x:v>
      </x:c>
      <x:c r="BG489" s="10" t="n">
        <x:f>IFERROR((AY489-BD489)/BD489,"")</x:f>
        <x:v>0.6798919226393629</x:v>
      </x:c>
    </x:row>
    <x:row r="490">
      <x:c r="A490" t="str">
        <x:v>Care Plan Due</x:v>
      </x:c>
      <x:c r="B490" t="str">
        <x:v>Create Master List</x:v>
      </x:c>
      <x:c r="C490" t="str">
        <x:v>Sync Care Plan Due to Master List primary rows</x:v>
      </x:c>
      <x:c r="D490" s="8"/>
      <x:c r="E490" s="8"/>
      <x:c r="F490" s="8"/>
      <x:c r="G490" s="8"/>
      <x:c r="H490" s="8"/>
      <x:c r="I490" s="8"/>
      <x:c r="J490" s="8"/>
      <x:c r="K490" s="8"/>
      <x:c r="L490" s="8" t="n">
        <x:v>8.056</x:v>
      </x:c>
      <x:c r="M490" s="8" t="n">
        <x:v>66.466</x:v>
      </x:c>
      <x:c r="N490" s="8" t="n">
        <x:v>8.056</x:v>
      </x:c>
      <x:c r="O490" s="8" t="n">
        <x:v>66.466</x:v>
      </x:c>
      <x:c r="P490" s="8"/>
      <x:c r="Q490" s="8"/>
      <x:c r="R490" s="8"/>
      <x:c r="S490" s="8"/>
      <x:c r="T490" s="8" t="n">
        <x:v>0.977</x:v>
      </x:c>
      <x:c r="U490" s="8" t="n">
        <x:v>20.753</x:v>
      </x:c>
      <x:c r="V490" s="8" t="n">
        <x:v>0.977</x:v>
      </x:c>
      <x:c r="W490" s="8" t="n">
        <x:v>20.753</x:v>
      </x:c>
      <x:c r="X490" s="8"/>
      <x:c r="Y490" s="8"/>
      <x:c r="Z490" s="8"/>
      <x:c r="AA490" s="8"/>
      <x:c r="AB490" s="8"/>
      <x:c r="AC490" s="8"/>
      <x:c r="AD490" s="8"/>
      <x:c r="AE490" s="8"/>
      <x:c r="AF490" s="8" t="n">
        <x:v>1.486</x:v>
      </x:c>
      <x:c r="AG490" s="8" t="n">
        <x:v>24.735</x:v>
      </x:c>
      <x:c r="AH490" s="8" t="n">
        <x:v>1.486</x:v>
      </x:c>
      <x:c r="AI490" s="8" t="n">
        <x:v>24.735</x:v>
      </x:c>
      <x:c r="AJ490" s="8" t="n">
        <x:v>1.572</x:v>
      </x:c>
      <x:c r="AK490" s="8" t="n">
        <x:v>31.69</x:v>
      </x:c>
      <x:c r="AL490" s="8" t="n">
        <x:v>1.572</x:v>
      </x:c>
      <x:c r="AM490" s="8" t="n">
        <x:v>31.69</x:v>
      </x:c>
      <x:c r="AN490" s="8" t="n">
        <x:v>1.057</x:v>
      </x:c>
      <x:c r="AO490" s="8" t="n">
        <x:v>21.26</x:v>
      </x:c>
      <x:c r="AP490" s="8" t="n">
        <x:v>1.057</x:v>
      </x:c>
      <x:c r="AQ490" s="8" t="n">
        <x:v>21.26</x:v>
      </x:c>
      <x:c r="AR490" s="8"/>
      <x:c r="AS490" s="8"/>
      <x:c r="AT490" s="8" t="n">
        <x:v>1.352</x:v>
      </x:c>
      <x:c r="AU490" s="8" t="n">
        <x:v>22.627</x:v>
      </x:c>
      <x:c r="AV490" s="8" t="n">
        <x:v>0.922</x:v>
      </x:c>
      <x:c r="AW490" s="8" t="n">
        <x:v>29.519</x:v>
      </x:c>
      <x:c r="AX490" s="8" t="n">
        <x:v>5.214</x:v>
      </x:c>
      <x:c r="AY490" s="8" t="n">
        <x:v>33.258</x:v>
      </x:c>
      <x:c r="AZ490" s="8" t="n">
        <x:v>5.214</x:v>
      </x:c>
      <x:c r="BA490" s="8" t="n">
        <x:v>33.258</x:v>
      </x:c>
      <x:c r="BB490" s="8" t="n">
        <x:f>LET(m,MIN(IF(D490&gt;0,D490,1E+99),IF(F490&gt;0,F490,1E+99),IF(H490&gt;0,H490,1E+99),IF(J490&gt;0,J490,1E+99),IF(L490&gt;0,L490,1E+99),IF(N490&gt;0,N490,1E+99),IF(P490&gt;0,P490,1E+99),IF(R490&gt;0,R490,1E+99),IF(T490&gt;0,T490,1E+99),IF(V490&gt;0,V490,1E+99),IF(X490&gt;0,X490,1E+99),IF(Z490&gt;0,Z490,1E+99),IF(AB490&gt;0,AB490,1E+99),IF(AD490&gt;0,AD490,1E+99),IF(AF490&gt;0,AF490,1E+99),IF(AH490&gt;0,AH490,1E+99),IF(AJ490&gt;0,AJ490,1E+99),IF(AL490&gt;0,AL490,1E+99),IF(AN490&gt;0,AN490,1E+99),IF(AP490&gt;0,AP490,1E+99),IF(AR490&gt;0,AR490,1E+99),IF(AT490&gt;0,AT490,1E+99),IF(AV490&gt;0,AV490,1E+99),IF(AX490&gt;0,AX490,1E+99),IF(AZ490&gt;0,AZ490,1E+99)),IF(m=1E+99,"",m))</x:f>
        <x:v>0.922</x:v>
      </x:c>
      <x:c r="BC490" s="12" t="e">
        <x:f>IF(BB490="","",INDEX({"v1.4.20","v1.4.20","v1.4.21","v1.4.21","v1.4.23","v1.4.23","v1.4.26","v1.4.26","v1.4.26.1","v1.4.26.1","v1.4.27","v1.4.27","v1.4.29","v1.4.29","v1.4.30","v1.4.30","v1.4.31","v1.4.31","v1.4.33","v1.4.33","v1.4.35","v1.4.35.2","v1.5","v1.5.1","v1.5.1"},MATCH(BB490,CHOOSE({1,2,3,4,5,6,7,8,9,10,11,12,13,14,15,16,17,18,19,20,21,22,23,24,25},D490,F490,H490,J490,L490,N490,P490,R490,T490,V490,X490,Z490,AB490,AD490,AF490,AH490,AJ490,AL490,AN490,AP490,AR490,AT490,AV490,AX490,AZ490),0)))</x:f>
      </x:c>
      <x:c r="BD490" s="14" t="n">
        <x:f>LET(m,MIN(IF(E490&gt;0,E490,1E+99),IF(G490&gt;0,G490,1E+99),IF(I490&gt;0,I490,1E+99),IF(K490&gt;0,K490,1E+99),IF(M490&gt;0,M490,1E+99),IF(O490&gt;0,O490,1E+99),IF(Q490&gt;0,Q490,1E+99),IF(S490&gt;0,S490,1E+99),IF(U490&gt;0,U490,1E+99),IF(W490&gt;0,W490,1E+99),IF(Y490&gt;0,Y490,1E+99),IF(AA490&gt;0,AA490,1E+99),IF(AC490&gt;0,AC490,1E+99),IF(AE490&gt;0,AE490,1E+99),IF(AG490&gt;0,AG490,1E+99),IF(AI490&gt;0,AI490,1E+99),IF(AK490&gt;0,AK490,1E+99),IF(AM490&gt;0,AM490,1E+99),IF(AO490&gt;0,AO490,1E+99),IF(AQ490&gt;0,AQ490,1E+99),IF(AS490&gt;0,AS490,1E+99),IF(AU490&gt;0,AU490,1E+99),IF(AW490&gt;0,AW490,1E+99),IF(AY490&gt;0,AY490,1E+99),IF(BA490&gt;0,BA490,1E+99)),IF(m=1E+99,"",m))</x:f>
        <x:v>20.753</x:v>
      </x:c>
      <x:c r="BE490" s="16" t="e">
        <x:f>IF(BD490="","",INDEX({"v1.4.20","v1.4.20","v1.4.21","v1.4.21","v1.4.23","v1.4.23","v1.4.26","v1.4.26","v1.4.26.1","v1.4.26.1","v1.4.27","v1.4.27","v1.4.29","v1.4.29","v1.4.30","v1.4.30","v1.4.31","v1.4.31","v1.4.33","v1.4.33","v1.4.35","v1.4.35.2","v1.5","v1.5.1","v1.5.1"},MATCH(BD490,CHOOSE({1,2,3,4,5,6,7,8,9,10,11,12,13,14,15,16,17,18,19,20,21,22,23,24,25},E490,G490,I490,K490,M490,O490,Q490,S490,U490,W490,Y490,AA490,AC490,AE490,AG490,AI490,AK490,AM490,AO490,AQ490,AS490,AU490,AW490,AY490,BA490),0)))</x:f>
      </x:c>
      <x:c r="BF490" s="10" t="n">
        <x:f>IFERROR((AX490-BB490)/BB490,"")</x:f>
        <x:v>4.655097613882864</x:v>
      </x:c>
      <x:c r="BG490" s="10" t="n">
        <x:f>IFERROR((AY490-BD490)/BD490,"")</x:f>
        <x:v>0.6025634847973789</x:v>
      </x:c>
    </x:row>
    <x:row r="491">
      <x:c r="A491" t="str"/>
      <x:c r="B491" t="str">
        <x:v>Framework Test 10 - Dashboard Audit</x:v>
      </x:c>
      <x:c r="C491" t="str">
        <x:v>Start</x:v>
      </x:c>
      <x:c r="D491" s="8" t="n">
        <x:v>0</x:v>
      </x:c>
      <x:c r="E491" s="8" t="n">
        <x:v>0</x:v>
      </x:c>
      <x:c r="F491" s="8"/>
      <x:c r="G491" s="8"/>
      <x:c r="H491" s="8" t="n">
        <x:v>0</x:v>
      </x:c>
      <x:c r="I491" s="8" t="n">
        <x:v>0</x:v>
      </x:c>
      <x:c r="J491" s="8" t="n">
        <x:v>0</x:v>
      </x:c>
      <x:c r="K491" s="8" t="n">
        <x:v>0</x:v>
      </x:c>
      <x:c r="L491" s="8" t="n">
        <x:v>0</x:v>
      </x:c>
      <x:c r="M491" s="8" t="n">
        <x:v>0</x:v>
      </x:c>
      <x:c r="N491" s="8" t="n">
        <x:v>0</x:v>
      </x:c>
      <x:c r="O491" s="8" t="n">
        <x:v>0</x:v>
      </x:c>
      <x:c r="P491" s="8" t="n">
        <x:v>0</x:v>
      </x:c>
      <x:c r="Q491" s="8" t="n">
        <x:v>0</x:v>
      </x:c>
      <x:c r="R491" s="8" t="n">
        <x:v>0</x:v>
      </x:c>
      <x:c r="S491" s="8" t="n">
        <x:v>0</x:v>
      </x:c>
      <x:c r="T491" s="8"/>
      <x:c r="U491" s="8"/>
      <x:c r="V491" s="8" t="n">
        <x:v>0</x:v>
      </x:c>
      <x:c r="W491" s="8" t="n">
        <x:v>0</x:v>
      </x:c>
      <x:c r="X491" s="8" t="n">
        <x:v>0</x:v>
      </x:c>
      <x:c r="Y491" s="8" t="n">
        <x:v>0</x:v>
      </x:c>
      <x:c r="Z491" s="8" t="n">
        <x:v>0</x:v>
      </x:c>
      <x:c r="AA491" s="8" t="n">
        <x:v>0</x:v>
      </x:c>
      <x:c r="AB491" s="8" t="n">
        <x:v>0</x:v>
      </x:c>
      <x:c r="AC491" s="8" t="n">
        <x:v>0</x:v>
      </x:c>
      <x:c r="AD491" s="8" t="n">
        <x:v>0</x:v>
      </x:c>
      <x:c r="AE491" s="8" t="n">
        <x:v>0</x:v>
      </x:c>
      <x:c r="AF491" s="8" t="n">
        <x:v>0</x:v>
      </x:c>
      <x:c r="AG491" s="8" t="n">
        <x:v>0</x:v>
      </x:c>
      <x:c r="AH491" s="8" t="n">
        <x:v>0</x:v>
      </x:c>
      <x:c r="AI491" s="8" t="n">
        <x:v>0</x:v>
      </x:c>
      <x:c r="AJ491" s="8"/>
      <x:c r="AK491" s="8"/>
      <x:c r="AL491" s="8" t="n">
        <x:v>0</x:v>
      </x:c>
      <x:c r="AM491" s="8" t="n">
        <x:v>0</x:v>
      </x:c>
      <x:c r="AN491" s="8" t="n">
        <x:v>0</x:v>
      </x:c>
      <x:c r="AO491" s="8" t="n">
        <x:v>0</x:v>
      </x:c>
      <x:c r="AP491" s="8"/>
      <x:c r="AQ491" s="8"/>
      <x:c r="AR491" s="8"/>
      <x:c r="AS491" s="8"/>
      <x:c r="AT491" s="8" t="n">
        <x:v>0</x:v>
      </x:c>
      <x:c r="AU491" s="8" t="n">
        <x:v>0</x:v>
      </x:c>
      <x:c r="AV491" s="8"/>
      <x:c r="AW491" s="8"/>
      <x:c r="AX491" s="8" t="n">
        <x:v>0</x:v>
      </x:c>
      <x:c r="AY491" s="8" t="n">
        <x:v>0</x:v>
      </x:c>
      <x:c r="AZ491" s="8"/>
      <x:c r="BA491" s="8"/>
      <x:c r="BB491" s="8" t="str">
        <x:f>LET(m,MIN(IF(D491&gt;0,D491,1E+99),IF(F491&gt;0,F491,1E+99),IF(H491&gt;0,H491,1E+99),IF(J491&gt;0,J491,1E+99),IF(L491&gt;0,L491,1E+99),IF(N491&gt;0,N491,1E+99),IF(P491&gt;0,P491,1E+99),IF(R491&gt;0,R491,1E+99),IF(T491&gt;0,T491,1E+99),IF(V491&gt;0,V491,1E+99),IF(X491&gt;0,X491,1E+99),IF(Z491&gt;0,Z491,1E+99),IF(AB491&gt;0,AB491,1E+99),IF(AD491&gt;0,AD491,1E+99),IF(AF491&gt;0,AF491,1E+99),IF(AH491&gt;0,AH491,1E+99),IF(AJ491&gt;0,AJ491,1E+99),IF(AL491&gt;0,AL491,1E+99),IF(AN491&gt;0,AN491,1E+99),IF(AP491&gt;0,AP491,1E+99),IF(AR491&gt;0,AR491,1E+99),IF(AT491&gt;0,AT491,1E+99),IF(AV491&gt;0,AV491,1E+99),IF(AX491&gt;0,AX491,1E+99),IF(AZ491&gt;0,AZ491,1E+99)),IF(m=1E+99,"",m))</x:f>
      </x:c>
      <x:c r="BC491" s="12" t="str">
        <x:f>IF(BB491="","",INDEX({"v1.4.20","v1.4.20","v1.4.21","v1.4.21","v1.4.23","v1.4.23","v1.4.26","v1.4.26","v1.4.26.1","v1.4.26.1","v1.4.27","v1.4.27","v1.4.29","v1.4.29","v1.4.30","v1.4.30","v1.4.31","v1.4.31","v1.4.33","v1.4.33","v1.4.35","v1.4.35.2","v1.5","v1.5.1","v1.5.1"},MATCH(BB491,CHOOSE({1,2,3,4,5,6,7,8,9,10,11,12,13,14,15,16,17,18,19,20,21,22,23,24,25},D491,F491,H491,J491,L491,N491,P491,R491,T491,V491,X491,Z491,AB491,AD491,AF491,AH491,AJ491,AL491,AN491,AP491,AR491,AT491,AV491,AX491,AZ491),0)))</x:f>
      </x:c>
      <x:c r="BD491" s="14" t="str">
        <x:f>LET(m,MIN(IF(E491&gt;0,E491,1E+99),IF(G491&gt;0,G491,1E+99),IF(I491&gt;0,I491,1E+99),IF(K491&gt;0,K491,1E+99),IF(M491&gt;0,M491,1E+99),IF(O491&gt;0,O491,1E+99),IF(Q491&gt;0,Q491,1E+99),IF(S491&gt;0,S491,1E+99),IF(U491&gt;0,U491,1E+99),IF(W491&gt;0,W491,1E+99),IF(Y491&gt;0,Y491,1E+99),IF(AA491&gt;0,AA491,1E+99),IF(AC491&gt;0,AC491,1E+99),IF(AE491&gt;0,AE491,1E+99),IF(AG491&gt;0,AG491,1E+99),IF(AI491&gt;0,AI491,1E+99),IF(AK491&gt;0,AK491,1E+99),IF(AM491&gt;0,AM491,1E+99),IF(AO491&gt;0,AO491,1E+99),IF(AQ491&gt;0,AQ491,1E+99),IF(AS491&gt;0,AS491,1E+99),IF(AU491&gt;0,AU491,1E+99),IF(AW491&gt;0,AW491,1E+99),IF(AY491&gt;0,AY491,1E+99),IF(BA491&gt;0,BA491,1E+99)),IF(m=1E+99,"",m))</x:f>
      </x:c>
      <x:c r="BE491" s="16" t="str">
        <x:f>IF(BD491="","",INDEX({"v1.4.20","v1.4.20","v1.4.21","v1.4.21","v1.4.23","v1.4.23","v1.4.26","v1.4.26","v1.4.26.1","v1.4.26.1","v1.4.27","v1.4.27","v1.4.29","v1.4.29","v1.4.30","v1.4.30","v1.4.31","v1.4.31","v1.4.33","v1.4.33","v1.4.35","v1.4.35.2","v1.5","v1.5.1","v1.5.1"},MATCH(BD491,CHOOSE({1,2,3,4,5,6,7,8,9,10,11,12,13,14,15,16,17,18,19,20,21,22,23,24,25},E491,G491,I491,K491,M491,O491,Q491,S491,U491,W491,Y491,AA491,AC491,AE491,AG491,AI491,AK491,AM491,AO491,AQ491,AS491,AU491,AW491,AY491,BA491),0)))</x:f>
      </x:c>
      <x:c r="BF491" s="10" t="str">
        <x:f>IFERROR((AX491-BB491)/BB491,"")</x:f>
      </x:c>
      <x:c r="BG491" s="10" t="str">
        <x:f>IFERROR((AY491-BD491)/BD491,"")</x:f>
      </x:c>
    </x:row>
    <x:row r="492">
      <x:c r="A492" t="str"/>
      <x:c r="B492" t="str">
        <x:v>Framework Test 10 - Dashboard Audit</x:v>
      </x:c>
      <x:c r="C492" t="str">
        <x:v>Dashboard loaded</x:v>
      </x:c>
      <x:c r="D492" s="8" t="n">
        <x:v>0.295</x:v>
      </x:c>
      <x:c r="E492" s="8" t="n">
        <x:v>0.295</x:v>
      </x:c>
      <x:c r="F492" s="8"/>
      <x:c r="G492" s="8"/>
      <x:c r="H492" s="8" t="n">
        <x:v>1.263</x:v>
      </x:c>
      <x:c r="I492" s="8" t="n">
        <x:v>1.263</x:v>
      </x:c>
      <x:c r="J492" s="8" t="n">
        <x:v>1.263</x:v>
      </x:c>
      <x:c r="K492" s="8" t="n">
        <x:v>1.263</x:v>
      </x:c>
      <x:c r="L492" s="8" t="n">
        <x:v>0.218</x:v>
      </x:c>
      <x:c r="M492" s="8" t="n">
        <x:v>0.218</x:v>
      </x:c>
      <x:c r="N492" s="8" t="n">
        <x:v>0.218</x:v>
      </x:c>
      <x:c r="O492" s="8" t="n">
        <x:v>0.218</x:v>
      </x:c>
      <x:c r="P492" s="8" t="n">
        <x:v>0.143</x:v>
      </x:c>
      <x:c r="Q492" s="8" t="n">
        <x:v>0.143</x:v>
      </x:c>
      <x:c r="R492" s="8" t="n">
        <x:v>0.143</x:v>
      </x:c>
      <x:c r="S492" s="8" t="n">
        <x:v>0.143</x:v>
      </x:c>
      <x:c r="T492" s="8"/>
      <x:c r="U492" s="8"/>
      <x:c r="V492" s="8" t="n">
        <x:v>6.169</x:v>
      </x:c>
      <x:c r="W492" s="8" t="n">
        <x:v>6.169</x:v>
      </x:c>
      <x:c r="X492" s="8" t="n">
        <x:v>0.205</x:v>
      </x:c>
      <x:c r="Y492" s="8" t="n">
        <x:v>0.205</x:v>
      </x:c>
      <x:c r="Z492" s="8" t="n">
        <x:v>0.205</x:v>
      </x:c>
      <x:c r="AA492" s="8" t="n">
        <x:v>0.205</x:v>
      </x:c>
      <x:c r="AB492" s="8" t="n">
        <x:v>0.305</x:v>
      </x:c>
      <x:c r="AC492" s="8" t="n">
        <x:v>0.305</x:v>
      </x:c>
      <x:c r="AD492" s="8" t="n">
        <x:v>0.305</x:v>
      </x:c>
      <x:c r="AE492" s="8" t="n">
        <x:v>0.305</x:v>
      </x:c>
      <x:c r="AF492" s="8" t="n">
        <x:v>0.254</x:v>
      </x:c>
      <x:c r="AG492" s="8" t="n">
        <x:v>0.254</x:v>
      </x:c>
      <x:c r="AH492" s="8" t="n">
        <x:v>0.254</x:v>
      </x:c>
      <x:c r="AI492" s="8" t="n">
        <x:v>0.254</x:v>
      </x:c>
      <x:c r="AJ492" s="8"/>
      <x:c r="AK492" s="8"/>
      <x:c r="AL492" s="8" t="n">
        <x:v>0.294</x:v>
      </x:c>
      <x:c r="AM492" s="8" t="n">
        <x:v>0.294</x:v>
      </x:c>
      <x:c r="AN492" s="8" t="n">
        <x:v>4.987</x:v>
      </x:c>
      <x:c r="AO492" s="8" t="n">
        <x:v>4.987</x:v>
      </x:c>
      <x:c r="AP492" s="8"/>
      <x:c r="AQ492" s="8"/>
      <x:c r="AR492" s="8"/>
      <x:c r="AS492" s="8"/>
      <x:c r="AT492" s="8" t="n">
        <x:v>6.288</x:v>
      </x:c>
      <x:c r="AU492" s="8" t="n">
        <x:v>6.288</x:v>
      </x:c>
      <x:c r="AV492" s="8"/>
      <x:c r="AW492" s="8"/>
      <x:c r="AX492" s="8" t="n">
        <x:v>5.872</x:v>
      </x:c>
      <x:c r="AY492" s="8" t="n">
        <x:v>5.872</x:v>
      </x:c>
      <x:c r="AZ492" s="8"/>
      <x:c r="BA492" s="8"/>
      <x:c r="BB492" s="8" t="n">
        <x:f>LET(m,MIN(IF(D492&gt;0,D492,1E+99),IF(F492&gt;0,F492,1E+99),IF(H492&gt;0,H492,1E+99),IF(J492&gt;0,J492,1E+99),IF(L492&gt;0,L492,1E+99),IF(N492&gt;0,N492,1E+99),IF(P492&gt;0,P492,1E+99),IF(R492&gt;0,R492,1E+99),IF(T492&gt;0,T492,1E+99),IF(V492&gt;0,V492,1E+99),IF(X492&gt;0,X492,1E+99),IF(Z492&gt;0,Z492,1E+99),IF(AB492&gt;0,AB492,1E+99),IF(AD492&gt;0,AD492,1E+99),IF(AF492&gt;0,AF492,1E+99),IF(AH492&gt;0,AH492,1E+99),IF(AJ492&gt;0,AJ492,1E+99),IF(AL492&gt;0,AL492,1E+99),IF(AN492&gt;0,AN492,1E+99),IF(AP492&gt;0,AP492,1E+99),IF(AR492&gt;0,AR492,1E+99),IF(AT492&gt;0,AT492,1E+99),IF(AV492&gt;0,AV492,1E+99),IF(AX492&gt;0,AX492,1E+99),IF(AZ492&gt;0,AZ492,1E+99)),IF(m=1E+99,"",m))</x:f>
        <x:v>0.143</x:v>
      </x:c>
      <x:c r="BC492" s="12" t="e">
        <x:f>IF(BB492="","",INDEX({"v1.4.20","v1.4.20","v1.4.21","v1.4.21","v1.4.23","v1.4.23","v1.4.26","v1.4.26","v1.4.26.1","v1.4.26.1","v1.4.27","v1.4.27","v1.4.29","v1.4.29","v1.4.30","v1.4.30","v1.4.31","v1.4.31","v1.4.33","v1.4.33","v1.4.35","v1.4.35.2","v1.5","v1.5.1","v1.5.1"},MATCH(BB492,CHOOSE({1,2,3,4,5,6,7,8,9,10,11,12,13,14,15,16,17,18,19,20,21,22,23,24,25},D492,F492,H492,J492,L492,N492,P492,R492,T492,V492,X492,Z492,AB492,AD492,AF492,AH492,AJ492,AL492,AN492,AP492,AR492,AT492,AV492,AX492,AZ492),0)))</x:f>
      </x:c>
      <x:c r="BD492" s="14" t="n">
        <x:f>LET(m,MIN(IF(E492&gt;0,E492,1E+99),IF(G492&gt;0,G492,1E+99),IF(I492&gt;0,I492,1E+99),IF(K492&gt;0,K492,1E+99),IF(M492&gt;0,M492,1E+99),IF(O492&gt;0,O492,1E+99),IF(Q492&gt;0,Q492,1E+99),IF(S492&gt;0,S492,1E+99),IF(U492&gt;0,U492,1E+99),IF(W492&gt;0,W492,1E+99),IF(Y492&gt;0,Y492,1E+99),IF(AA492&gt;0,AA492,1E+99),IF(AC492&gt;0,AC492,1E+99),IF(AE492&gt;0,AE492,1E+99),IF(AG492&gt;0,AG492,1E+99),IF(AI492&gt;0,AI492,1E+99),IF(AK492&gt;0,AK492,1E+99),IF(AM492&gt;0,AM492,1E+99),IF(AO492&gt;0,AO492,1E+99),IF(AQ492&gt;0,AQ492,1E+99),IF(AS492&gt;0,AS492,1E+99),IF(AU492&gt;0,AU492,1E+99),IF(AW492&gt;0,AW492,1E+99),IF(AY492&gt;0,AY492,1E+99),IF(BA492&gt;0,BA492,1E+99)),IF(m=1E+99,"",m))</x:f>
        <x:v>0.143</x:v>
      </x:c>
      <x:c r="BE492" s="16" t="e">
        <x:f>IF(BD492="","",INDEX({"v1.4.20","v1.4.20","v1.4.21","v1.4.21","v1.4.23","v1.4.23","v1.4.26","v1.4.26","v1.4.26.1","v1.4.26.1","v1.4.27","v1.4.27","v1.4.29","v1.4.29","v1.4.30","v1.4.30","v1.4.31","v1.4.31","v1.4.33","v1.4.33","v1.4.35","v1.4.35.2","v1.5","v1.5.1","v1.5.1"},MATCH(BD492,CHOOSE({1,2,3,4,5,6,7,8,9,10,11,12,13,14,15,16,17,18,19,20,21,22,23,24,25},E492,G492,I492,K492,M492,O492,Q492,S492,U492,W492,Y492,AA492,AC492,AE492,AG492,AI492,AK492,AM492,AO492,AQ492,AS492,AU492,AW492,AY492,BA492),0)))</x:f>
      </x:c>
      <x:c r="BF492" s="10" t="n">
        <x:f>IFERROR((AX492-BB492)/BB492,"")</x:f>
        <x:v>40.06293706293707</x:v>
      </x:c>
      <x:c r="BG492" s="10" t="n">
        <x:f>IFERROR((AY492-BD492)/BD492,"")</x:f>
        <x:v>40.06293706293707</x:v>
      </x:c>
    </x:row>
    <x:row r="493">
      <x:c r="A493" t="str"/>
      <x:c r="B493" t="str">
        <x:v>Framework Test 10 - Dashboard Audit</x:v>
      </x:c>
      <x:c r="C493" t="str">
        <x:v>Dashboard audit complete</x:v>
      </x:c>
      <x:c r="D493" s="8" t="n">
        <x:v>8.949</x:v>
      </x:c>
      <x:c r="E493" s="8" t="n">
        <x:v>9.244</x:v>
      </x:c>
      <x:c r="F493" s="8"/>
      <x:c r="G493" s="8"/>
      <x:c r="H493" s="8" t="n">
        <x:v>6.085</x:v>
      </x:c>
      <x:c r="I493" s="8" t="n">
        <x:v>7.348</x:v>
      </x:c>
      <x:c r="J493" s="8" t="n">
        <x:v>6.085</x:v>
      </x:c>
      <x:c r="K493" s="8" t="n">
        <x:v>7.348</x:v>
      </x:c>
      <x:c r="L493" s="8" t="n">
        <x:v>8.841</x:v>
      </x:c>
      <x:c r="M493" s="8" t="n">
        <x:v>9.059</x:v>
      </x:c>
      <x:c r="N493" s="8" t="n">
        <x:v>8.841</x:v>
      </x:c>
      <x:c r="O493" s="8" t="n">
        <x:v>9.059</x:v>
      </x:c>
      <x:c r="P493" s="8" t="n">
        <x:v>7.78</x:v>
      </x:c>
      <x:c r="Q493" s="8" t="n">
        <x:v>7.923</x:v>
      </x:c>
      <x:c r="R493" s="8" t="n">
        <x:v>7.78</x:v>
      </x:c>
      <x:c r="S493" s="8" t="n">
        <x:v>7.923</x:v>
      </x:c>
      <x:c r="T493" s="8"/>
      <x:c r="U493" s="8"/>
      <x:c r="V493" s="8" t="n">
        <x:v>7.417</x:v>
      </x:c>
      <x:c r="W493" s="8" t="n">
        <x:v>13.586</x:v>
      </x:c>
      <x:c r="X493" s="8" t="n">
        <x:v>6.486</x:v>
      </x:c>
      <x:c r="Y493" s="8" t="n">
        <x:v>6.691</x:v>
      </x:c>
      <x:c r="Z493" s="8" t="n">
        <x:v>6.486</x:v>
      </x:c>
      <x:c r="AA493" s="8" t="n">
        <x:v>6.691</x:v>
      </x:c>
      <x:c r="AB493" s="8" t="n">
        <x:v>12.862</x:v>
      </x:c>
      <x:c r="AC493" s="8" t="n">
        <x:v>13.167</x:v>
      </x:c>
      <x:c r="AD493" s="8" t="n">
        <x:v>12.862</x:v>
      </x:c>
      <x:c r="AE493" s="8" t="n">
        <x:v>13.167</x:v>
      </x:c>
      <x:c r="AF493" s="8" t="n">
        <x:v>8.885</x:v>
      </x:c>
      <x:c r="AG493" s="8" t="n">
        <x:v>9.139</x:v>
      </x:c>
      <x:c r="AH493" s="8" t="n">
        <x:v>8.885</x:v>
      </x:c>
      <x:c r="AI493" s="8" t="n">
        <x:v>9.139</x:v>
      </x:c>
      <x:c r="AJ493" s="8"/>
      <x:c r="AK493" s="8"/>
      <x:c r="AL493" s="8" t="n">
        <x:v>6.614</x:v>
      </x:c>
      <x:c r="AM493" s="8" t="n">
        <x:v>6.908</x:v>
      </x:c>
      <x:c r="AN493" s="8" t="n">
        <x:v>6.16</x:v>
      </x:c>
      <x:c r="AO493" s="8" t="n">
        <x:v>11.147</x:v>
      </x:c>
      <x:c r="AP493" s="8"/>
      <x:c r="AQ493" s="8"/>
      <x:c r="AR493" s="8"/>
      <x:c r="AS493" s="8"/>
      <x:c r="AT493" s="8" t="n">
        <x:v>6.931</x:v>
      </x:c>
      <x:c r="AU493" s="8" t="n">
        <x:v>13.219</x:v>
      </x:c>
      <x:c r="AV493" s="8"/>
      <x:c r="AW493" s="8"/>
      <x:c r="AX493" s="8" t="n">
        <x:v>10.2</x:v>
      </x:c>
      <x:c r="AY493" s="8" t="n">
        <x:v>16.072</x:v>
      </x:c>
      <x:c r="AZ493" s="8"/>
      <x:c r="BA493" s="8"/>
      <x:c r="BB493" s="8" t="n">
        <x:f>LET(m,MIN(IF(D493&gt;0,D493,1E+99),IF(F493&gt;0,F493,1E+99),IF(H493&gt;0,H493,1E+99),IF(J493&gt;0,J493,1E+99),IF(L493&gt;0,L493,1E+99),IF(N493&gt;0,N493,1E+99),IF(P493&gt;0,P493,1E+99),IF(R493&gt;0,R493,1E+99),IF(T493&gt;0,T493,1E+99),IF(V493&gt;0,V493,1E+99),IF(X493&gt;0,X493,1E+99),IF(Z493&gt;0,Z493,1E+99),IF(AB493&gt;0,AB493,1E+99),IF(AD493&gt;0,AD493,1E+99),IF(AF493&gt;0,AF493,1E+99),IF(AH493&gt;0,AH493,1E+99),IF(AJ493&gt;0,AJ493,1E+99),IF(AL493&gt;0,AL493,1E+99),IF(AN493&gt;0,AN493,1E+99),IF(AP493&gt;0,AP493,1E+99),IF(AR493&gt;0,AR493,1E+99),IF(AT493&gt;0,AT493,1E+99),IF(AV493&gt;0,AV493,1E+99),IF(AX493&gt;0,AX493,1E+99),IF(AZ493&gt;0,AZ493,1E+99)),IF(m=1E+99,"",m))</x:f>
        <x:v>6.085</x:v>
      </x:c>
      <x:c r="BC493" s="12" t="e">
        <x:f>IF(BB493="","",INDEX({"v1.4.20","v1.4.20","v1.4.21","v1.4.21","v1.4.23","v1.4.23","v1.4.26","v1.4.26","v1.4.26.1","v1.4.26.1","v1.4.27","v1.4.27","v1.4.29","v1.4.29","v1.4.30","v1.4.30","v1.4.31","v1.4.31","v1.4.33","v1.4.33","v1.4.35","v1.4.35.2","v1.5","v1.5.1","v1.5.1"},MATCH(BB493,CHOOSE({1,2,3,4,5,6,7,8,9,10,11,12,13,14,15,16,17,18,19,20,21,22,23,24,25},D493,F493,H493,J493,L493,N493,P493,R493,T493,V493,X493,Z493,AB493,AD493,AF493,AH493,AJ493,AL493,AN493,AP493,AR493,AT493,AV493,AX493,AZ493),0)))</x:f>
      </x:c>
      <x:c r="BD493" s="14" t="n">
        <x:f>LET(m,MIN(IF(E493&gt;0,E493,1E+99),IF(G493&gt;0,G493,1E+99),IF(I493&gt;0,I493,1E+99),IF(K493&gt;0,K493,1E+99),IF(M493&gt;0,M493,1E+99),IF(O493&gt;0,O493,1E+99),IF(Q493&gt;0,Q493,1E+99),IF(S493&gt;0,S493,1E+99),IF(U493&gt;0,U493,1E+99),IF(W493&gt;0,W493,1E+99),IF(Y493&gt;0,Y493,1E+99),IF(AA493&gt;0,AA493,1E+99),IF(AC493&gt;0,AC493,1E+99),IF(AE493&gt;0,AE493,1E+99),IF(AG493&gt;0,AG493,1E+99),IF(AI493&gt;0,AI493,1E+99),IF(AK493&gt;0,AK493,1E+99),IF(AM493&gt;0,AM493,1E+99),IF(AO493&gt;0,AO493,1E+99),IF(AQ493&gt;0,AQ493,1E+99),IF(AS493&gt;0,AS493,1E+99),IF(AU493&gt;0,AU493,1E+99),IF(AW493&gt;0,AW493,1E+99),IF(AY493&gt;0,AY493,1E+99),IF(BA493&gt;0,BA493,1E+99)),IF(m=1E+99,"",m))</x:f>
        <x:v>6.691</x:v>
      </x:c>
      <x:c r="BE493" s="16" t="e">
        <x:f>IF(BD493="","",INDEX({"v1.4.20","v1.4.20","v1.4.21","v1.4.21","v1.4.23","v1.4.23","v1.4.26","v1.4.26","v1.4.26.1","v1.4.26.1","v1.4.27","v1.4.27","v1.4.29","v1.4.29","v1.4.30","v1.4.30","v1.4.31","v1.4.31","v1.4.33","v1.4.33","v1.4.35","v1.4.35.2","v1.5","v1.5.1","v1.5.1"},MATCH(BD493,CHOOSE({1,2,3,4,5,6,7,8,9,10,11,12,13,14,15,16,17,18,19,20,21,22,23,24,25},E493,G493,I493,K493,M493,O493,Q493,S493,U493,W493,Y493,AA493,AC493,AE493,AG493,AI493,AK493,AM493,AO493,AQ493,AS493,AU493,AW493,AY493,BA493),0)))</x:f>
      </x:c>
      <x:c r="BF493" s="10" t="n">
        <x:f>IFERROR((AX493-BB493)/BB493,"")</x:f>
        <x:v>0.6762530813475759</x:v>
      </x:c>
      <x:c r="BG493" s="10" t="n">
        <x:f>IFERROR((AY493-BD493)/BD493,"")</x:f>
        <x:v>1.4020325810790615</x:v>
      </x:c>
    </x:row>
    <x:row r="494">
      <x:c r="A494" t="str"/>
      <x:c r="B494" t="str">
        <x:v>Framework Test 10 - Dashboard Audit</x:v>
      </x:c>
      <x:c r="C494" t="str">
        <x:v>Dashboard Quality Section F saved</x:v>
      </x:c>
      <x:c r="D494" s="8"/>
      <x:c r="E494" s="8"/>
      <x:c r="F494" s="8"/>
      <x:c r="G494" s="8"/>
      <x:c r="H494" s="8"/>
      <x:c r="I494" s="8"/>
      <x:c r="J494" s="8"/>
      <x:c r="K494" s="8"/>
      <x:c r="L494" s="8" t="n">
        <x:v>5.078</x:v>
      </x:c>
      <x:c r="M494" s="8" t="n">
        <x:v>14.137</x:v>
      </x:c>
      <x:c r="N494" s="8" t="n">
        <x:v>5.078</x:v>
      </x:c>
      <x:c r="O494" s="8" t="n">
        <x:v>14.137</x:v>
      </x:c>
      <x:c r="P494" s="8" t="n">
        <x:v>3.085</x:v>
      </x:c>
      <x:c r="Q494" s="8" t="n">
        <x:v>11.008</x:v>
      </x:c>
      <x:c r="R494" s="8" t="n">
        <x:v>3.085</x:v>
      </x:c>
      <x:c r="S494" s="8" t="n">
        <x:v>11.008</x:v>
      </x:c>
      <x:c r="T494" s="8"/>
      <x:c r="U494" s="8"/>
      <x:c r="V494" s="8" t="n">
        <x:v>4.732</x:v>
      </x:c>
      <x:c r="W494" s="8" t="n">
        <x:v>18.318</x:v>
      </x:c>
      <x:c r="X494" s="8" t="n">
        <x:v>5.918</x:v>
      </x:c>
      <x:c r="Y494" s="8" t="n">
        <x:v>12.609</x:v>
      </x:c>
      <x:c r="Z494" s="8" t="n">
        <x:v>5.918</x:v>
      </x:c>
      <x:c r="AA494" s="8" t="n">
        <x:v>12.609</x:v>
      </x:c>
      <x:c r="AB494" s="8" t="n">
        <x:v>7.164</x:v>
      </x:c>
      <x:c r="AC494" s="8" t="n">
        <x:v>20.331</x:v>
      </x:c>
      <x:c r="AD494" s="8" t="n">
        <x:v>7.164</x:v>
      </x:c>
      <x:c r="AE494" s="8" t="n">
        <x:v>20.331</x:v>
      </x:c>
      <x:c r="AF494" s="8" t="n">
        <x:v>4.487</x:v>
      </x:c>
      <x:c r="AG494" s="8" t="n">
        <x:v>13.626</x:v>
      </x:c>
      <x:c r="AH494" s="8" t="n">
        <x:v>4.487</x:v>
      </x:c>
      <x:c r="AI494" s="8" t="n">
        <x:v>13.626</x:v>
      </x:c>
      <x:c r="AJ494" s="8"/>
      <x:c r="AK494" s="8"/>
      <x:c r="AL494" s="8" t="n">
        <x:v>6.891</x:v>
      </x:c>
      <x:c r="AM494" s="8" t="n">
        <x:v>13.799</x:v>
      </x:c>
      <x:c r="AN494" s="8" t="n">
        <x:v>6.144</x:v>
      </x:c>
      <x:c r="AO494" s="8" t="n">
        <x:v>17.291</x:v>
      </x:c>
      <x:c r="AP494" s="8"/>
      <x:c r="AQ494" s="8"/>
      <x:c r="AR494" s="8"/>
      <x:c r="AS494" s="8"/>
      <x:c r="AT494" s="8" t="n">
        <x:v>5.605</x:v>
      </x:c>
      <x:c r="AU494" s="8" t="n">
        <x:v>18.824</x:v>
      </x:c>
      <x:c r="AV494" s="8"/>
      <x:c r="AW494" s="8"/>
      <x:c r="AX494" s="8" t="n">
        <x:v>6.464</x:v>
      </x:c>
      <x:c r="AY494" s="8" t="n">
        <x:v>22.536</x:v>
      </x:c>
      <x:c r="AZ494" s="8"/>
      <x:c r="BA494" s="8"/>
      <x:c r="BB494" s="8" t="n">
        <x:f>LET(m,MIN(IF(D494&gt;0,D494,1E+99),IF(F494&gt;0,F494,1E+99),IF(H494&gt;0,H494,1E+99),IF(J494&gt;0,J494,1E+99),IF(L494&gt;0,L494,1E+99),IF(N494&gt;0,N494,1E+99),IF(P494&gt;0,P494,1E+99),IF(R494&gt;0,R494,1E+99),IF(T494&gt;0,T494,1E+99),IF(V494&gt;0,V494,1E+99),IF(X494&gt;0,X494,1E+99),IF(Z494&gt;0,Z494,1E+99),IF(AB494&gt;0,AB494,1E+99),IF(AD494&gt;0,AD494,1E+99),IF(AF494&gt;0,AF494,1E+99),IF(AH494&gt;0,AH494,1E+99),IF(AJ494&gt;0,AJ494,1E+99),IF(AL494&gt;0,AL494,1E+99),IF(AN494&gt;0,AN494,1E+99),IF(AP494&gt;0,AP494,1E+99),IF(AR494&gt;0,AR494,1E+99),IF(AT494&gt;0,AT494,1E+99),IF(AV494&gt;0,AV494,1E+99),IF(AX494&gt;0,AX494,1E+99),IF(AZ494&gt;0,AZ494,1E+99)),IF(m=1E+99,"",m))</x:f>
        <x:v>3.085</x:v>
      </x:c>
      <x:c r="BC494" s="12" t="e">
        <x:f>IF(BB494="","",INDEX({"v1.4.20","v1.4.20","v1.4.21","v1.4.21","v1.4.23","v1.4.23","v1.4.26","v1.4.26","v1.4.26.1","v1.4.26.1","v1.4.27","v1.4.27","v1.4.29","v1.4.29","v1.4.30","v1.4.30","v1.4.31","v1.4.31","v1.4.33","v1.4.33","v1.4.35","v1.4.35.2","v1.5","v1.5.1","v1.5.1"},MATCH(BB494,CHOOSE({1,2,3,4,5,6,7,8,9,10,11,12,13,14,15,16,17,18,19,20,21,22,23,24,25},D494,F494,H494,J494,L494,N494,P494,R494,T494,V494,X494,Z494,AB494,AD494,AF494,AH494,AJ494,AL494,AN494,AP494,AR494,AT494,AV494,AX494,AZ494),0)))</x:f>
      </x:c>
      <x:c r="BD494" s="14" t="n">
        <x:f>LET(m,MIN(IF(E494&gt;0,E494,1E+99),IF(G494&gt;0,G494,1E+99),IF(I494&gt;0,I494,1E+99),IF(K494&gt;0,K494,1E+99),IF(M494&gt;0,M494,1E+99),IF(O494&gt;0,O494,1E+99),IF(Q494&gt;0,Q494,1E+99),IF(S494&gt;0,S494,1E+99),IF(U494&gt;0,U494,1E+99),IF(W494&gt;0,W494,1E+99),IF(Y494&gt;0,Y494,1E+99),IF(AA494&gt;0,AA494,1E+99),IF(AC494&gt;0,AC494,1E+99),IF(AE494&gt;0,AE494,1E+99),IF(AG494&gt;0,AG494,1E+99),IF(AI494&gt;0,AI494,1E+99),IF(AK494&gt;0,AK494,1E+99),IF(AM494&gt;0,AM494,1E+99),IF(AO494&gt;0,AO494,1E+99),IF(AQ494&gt;0,AQ494,1E+99),IF(AS494&gt;0,AS494,1E+99),IF(AU494&gt;0,AU494,1E+99),IF(AW494&gt;0,AW494,1E+99),IF(AY494&gt;0,AY494,1E+99),IF(BA494&gt;0,BA494,1E+99)),IF(m=1E+99,"",m))</x:f>
        <x:v>11.008</x:v>
      </x:c>
      <x:c r="BE494" s="16" t="e">
        <x:f>IF(BD494="","",INDEX({"v1.4.20","v1.4.20","v1.4.21","v1.4.21","v1.4.23","v1.4.23","v1.4.26","v1.4.26","v1.4.26.1","v1.4.26.1","v1.4.27","v1.4.27","v1.4.29","v1.4.29","v1.4.30","v1.4.30","v1.4.31","v1.4.31","v1.4.33","v1.4.33","v1.4.35","v1.4.35.2","v1.5","v1.5.1","v1.5.1"},MATCH(BD494,CHOOSE({1,2,3,4,5,6,7,8,9,10,11,12,13,14,15,16,17,18,19,20,21,22,23,24,25},E494,G494,I494,K494,M494,O494,Q494,S494,U494,W494,Y494,AA494,AC494,AE494,AG494,AI494,AK494,AM494,AO494,AQ494,AS494,AU494,AW494,AY494,BA494),0)))</x:f>
      </x:c>
      <x:c r="BF494" s="10" t="n">
        <x:f>IFERROR((AX494-BB494)/BB494,"")</x:f>
        <x:v>1.095299837925446</x:v>
      </x:c>
      <x:c r="BG494" s="10" t="n">
        <x:f>IFERROR((AY494-BD494)/BD494,"")</x:f>
        <x:v>1.0472383720930236</x:v>
      </x:c>
    </x:row>
    <x:row r="495">
      <x:c r="A495" t="str"/>
      <x:c r="B495" t="str">
        <x:v>Framework Test 10 - Dashboard Audit</x:v>
      </x:c>
      <x:c r="C495" t="str">
        <x:v>Complete</x:v>
      </x:c>
      <x:c r="D495" s="8" t="n">
        <x:v>0</x:v>
      </x:c>
      <x:c r="E495" s="8" t="n">
        <x:v>9.406</x:v>
      </x:c>
      <x:c r="F495" s="8"/>
      <x:c r="G495" s="8"/>
      <x:c r="H495" s="8" t="n">
        <x:v>0</x:v>
      </x:c>
      <x:c r="I495" s="8" t="n">
        <x:v>7.5</x:v>
      </x:c>
      <x:c r="J495" s="8" t="n">
        <x:v>0</x:v>
      </x:c>
      <x:c r="K495" s="8" t="n">
        <x:v>7.5</x:v>
      </x:c>
      <x:c r="L495" s="8" t="n">
        <x:v>0</x:v>
      </x:c>
      <x:c r="M495" s="8" t="n">
        <x:v>14.137</x:v>
      </x:c>
      <x:c r="N495" s="8" t="n">
        <x:v>0</x:v>
      </x:c>
      <x:c r="O495" s="8" t="n">
        <x:v>14.137</x:v>
      </x:c>
      <x:c r="P495" s="8" t="n">
        <x:v>0</x:v>
      </x:c>
      <x:c r="Q495" s="8" t="n">
        <x:v>11.008</x:v>
      </x:c>
      <x:c r="R495" s="8" t="n">
        <x:v>0</x:v>
      </x:c>
      <x:c r="S495" s="8" t="n">
        <x:v>11.008</x:v>
      </x:c>
      <x:c r="T495" s="8"/>
      <x:c r="U495" s="8"/>
      <x:c r="V495" s="8" t="n">
        <x:v>0</x:v>
      </x:c>
      <x:c r="W495" s="8" t="n">
        <x:v>18.318</x:v>
      </x:c>
      <x:c r="X495" s="8" t="n">
        <x:v>0</x:v>
      </x:c>
      <x:c r="Y495" s="8" t="n">
        <x:v>12.609</x:v>
      </x:c>
      <x:c r="Z495" s="8" t="n">
        <x:v>0</x:v>
      </x:c>
      <x:c r="AA495" s="8" t="n">
        <x:v>12.609</x:v>
      </x:c>
      <x:c r="AB495" s="8" t="n">
        <x:v>0</x:v>
      </x:c>
      <x:c r="AC495" s="8" t="n">
        <x:v>20.331</x:v>
      </x:c>
      <x:c r="AD495" s="8" t="n">
        <x:v>0</x:v>
      </x:c>
      <x:c r="AE495" s="8" t="n">
        <x:v>20.331</x:v>
      </x:c>
      <x:c r="AF495" s="8" t="n">
        <x:v>0</x:v>
      </x:c>
      <x:c r="AG495" s="8" t="n">
        <x:v>13.626</x:v>
      </x:c>
      <x:c r="AH495" s="8" t="n">
        <x:v>0</x:v>
      </x:c>
      <x:c r="AI495" s="8" t="n">
        <x:v>13.626</x:v>
      </x:c>
      <x:c r="AJ495" s="8"/>
      <x:c r="AK495" s="8"/>
      <x:c r="AL495" s="8" t="n">
        <x:v>0</x:v>
      </x:c>
      <x:c r="AM495" s="8" t="n">
        <x:v>13.799</x:v>
      </x:c>
      <x:c r="AN495" s="8" t="n">
        <x:v>0</x:v>
      </x:c>
      <x:c r="AO495" s="8" t="n">
        <x:v>17.291</x:v>
      </x:c>
      <x:c r="AP495" s="8"/>
      <x:c r="AQ495" s="8"/>
      <x:c r="AR495" s="8"/>
      <x:c r="AS495" s="8"/>
      <x:c r="AT495" s="8" t="n">
        <x:v>0</x:v>
      </x:c>
      <x:c r="AU495" s="8" t="n">
        <x:v>18.824</x:v>
      </x:c>
      <x:c r="AV495" s="8"/>
      <x:c r="AW495" s="8"/>
      <x:c r="AX495" s="8" t="n">
        <x:v>0</x:v>
      </x:c>
      <x:c r="AY495" s="8" t="n">
        <x:v>22.536</x:v>
      </x:c>
      <x:c r="AZ495" s="8"/>
      <x:c r="BA495" s="8"/>
      <x:c r="BB495" s="8" t="str">
        <x:f>LET(m,MIN(IF(D495&gt;0,D495,1E+99),IF(F495&gt;0,F495,1E+99),IF(H495&gt;0,H495,1E+99),IF(J495&gt;0,J495,1E+99),IF(L495&gt;0,L495,1E+99),IF(N495&gt;0,N495,1E+99),IF(P495&gt;0,P495,1E+99),IF(R495&gt;0,R495,1E+99),IF(T495&gt;0,T495,1E+99),IF(V495&gt;0,V495,1E+99),IF(X495&gt;0,X495,1E+99),IF(Z495&gt;0,Z495,1E+99),IF(AB495&gt;0,AB495,1E+99),IF(AD495&gt;0,AD495,1E+99),IF(AF495&gt;0,AF495,1E+99),IF(AH495&gt;0,AH495,1E+99),IF(AJ495&gt;0,AJ495,1E+99),IF(AL495&gt;0,AL495,1E+99),IF(AN495&gt;0,AN495,1E+99),IF(AP495&gt;0,AP495,1E+99),IF(AR495&gt;0,AR495,1E+99),IF(AT495&gt;0,AT495,1E+99),IF(AV495&gt;0,AV495,1E+99),IF(AX495&gt;0,AX495,1E+99),IF(AZ495&gt;0,AZ495,1E+99)),IF(m=1E+99,"",m))</x:f>
      </x:c>
      <x:c r="BC495" s="12" t="str">
        <x:f>IF(BB495="","",INDEX({"v1.4.20","v1.4.20","v1.4.21","v1.4.21","v1.4.23","v1.4.23","v1.4.26","v1.4.26","v1.4.26.1","v1.4.26.1","v1.4.27","v1.4.27","v1.4.29","v1.4.29","v1.4.30","v1.4.30","v1.4.31","v1.4.31","v1.4.33","v1.4.33","v1.4.35","v1.4.35.2","v1.5","v1.5.1","v1.5.1"},MATCH(BB495,CHOOSE({1,2,3,4,5,6,7,8,9,10,11,12,13,14,15,16,17,18,19,20,21,22,23,24,25},D495,F495,H495,J495,L495,N495,P495,R495,T495,V495,X495,Z495,AB495,AD495,AF495,AH495,AJ495,AL495,AN495,AP495,AR495,AT495,AV495,AX495,AZ495),0)))</x:f>
      </x:c>
      <x:c r="BD495" s="14" t="n">
        <x:f>LET(m,MIN(IF(E495&gt;0,E495,1E+99),IF(G495&gt;0,G495,1E+99),IF(I495&gt;0,I495,1E+99),IF(K495&gt;0,K495,1E+99),IF(M495&gt;0,M495,1E+99),IF(O495&gt;0,O495,1E+99),IF(Q495&gt;0,Q495,1E+99),IF(S495&gt;0,S495,1E+99),IF(U495&gt;0,U495,1E+99),IF(W495&gt;0,W495,1E+99),IF(Y495&gt;0,Y495,1E+99),IF(AA495&gt;0,AA495,1E+99),IF(AC495&gt;0,AC495,1E+99),IF(AE495&gt;0,AE495,1E+99),IF(AG495&gt;0,AG495,1E+99),IF(AI495&gt;0,AI495,1E+99),IF(AK495&gt;0,AK495,1E+99),IF(AM495&gt;0,AM495,1E+99),IF(AO495&gt;0,AO495,1E+99),IF(AQ495&gt;0,AQ495,1E+99),IF(AS495&gt;0,AS495,1E+99),IF(AU495&gt;0,AU495,1E+99),IF(AW495&gt;0,AW495,1E+99),IF(AY495&gt;0,AY495,1E+99),IF(BA495&gt;0,BA495,1E+99)),IF(m=1E+99,"",m))</x:f>
        <x:v>7.5</x:v>
      </x:c>
      <x:c r="BE495" s="16" t="e">
        <x:f>IF(BD495="","",INDEX({"v1.4.20","v1.4.20","v1.4.21","v1.4.21","v1.4.23","v1.4.23","v1.4.26","v1.4.26","v1.4.26.1","v1.4.26.1","v1.4.27","v1.4.27","v1.4.29","v1.4.29","v1.4.30","v1.4.30","v1.4.31","v1.4.31","v1.4.33","v1.4.33","v1.4.35","v1.4.35.2","v1.5","v1.5.1","v1.5.1"},MATCH(BD495,CHOOSE({1,2,3,4,5,6,7,8,9,10,11,12,13,14,15,16,17,18,19,20,21,22,23,24,25},E495,G495,I495,K495,M495,O495,Q495,S495,U495,W495,Y495,AA495,AC495,AE495,AG495,AI495,AK495,AM495,AO495,AQ495,AS495,AU495,AW495,AY495,BA495),0)))</x:f>
      </x:c>
      <x:c r="BF495" s="10" t="str">
        <x:f>IFERROR((AX495-BB495)/BB495,"")</x:f>
      </x:c>
      <x:c r="BG495" s="10" t="n">
        <x:f>IFERROR((AY495-BD495)/BD495,"")</x:f>
        <x:v>2.0048000000000004</x:v>
      </x:c>
    </x:row>
    <x:row r="496">
      <x:c r="A496" t="str"/>
      <x:c r="B496" t="str">
        <x:v>Framework Test 10 - Dashboard Audit</x:v>
      </x:c>
      <x:c r="C496" t="str">
        <x:v>Dashboard Quality Section E saved</x:v>
      </x:c>
      <x:c r="D496" s="8" t="n">
        <x:v>0.162</x:v>
      </x:c>
      <x:c r="E496" s="8" t="n">
        <x:v>9.406</x:v>
      </x:c>
      <x:c r="F496" s="8"/>
      <x:c r="G496" s="8"/>
      <x:c r="H496" s="8" t="n">
        <x:v>0.152</x:v>
      </x:c>
      <x:c r="I496" s="8" t="n">
        <x:v>7.5</x:v>
      </x:c>
      <x:c r="J496" s="8" t="n">
        <x:v>0.152</x:v>
      </x:c>
      <x:c r="K496" s="8" t="n">
        <x:v>7.5</x:v>
      </x:c>
      <x:c r="L496" s="8"/>
      <x:c r="M496" s="8"/>
      <x:c r="N496" s="8"/>
      <x:c r="O496" s="8"/>
      <x:c r="P496" s="8"/>
      <x:c r="Q496" s="8"/>
      <x:c r="R496" s="8"/>
      <x:c r="S496" s="8"/>
      <x:c r="T496" s="8"/>
      <x:c r="U496" s="8"/>
      <x:c r="V496" s="8"/>
      <x:c r="W496" s="8"/>
      <x:c r="X496" s="8"/>
      <x:c r="Y496" s="8"/>
      <x:c r="Z496" s="8"/>
      <x:c r="AA496" s="8"/>
      <x:c r="AB496" s="8"/>
      <x:c r="AC496" s="8"/>
      <x:c r="AD496" s="8"/>
      <x:c r="AE496" s="8"/>
      <x:c r="AF496" s="8"/>
      <x:c r="AG496" s="8"/>
      <x:c r="AH496" s="8"/>
      <x:c r="AI496" s="8"/>
      <x:c r="AJ496" s="8"/>
      <x:c r="AK496" s="8"/>
      <x:c r="AL496" s="8"/>
      <x:c r="AM496" s="8"/>
      <x:c r="AN496" s="8"/>
      <x:c r="AO496" s="8"/>
      <x:c r="AP496" s="8"/>
      <x:c r="AQ496" s="8"/>
      <x:c r="AR496" s="8"/>
      <x:c r="AS496" s="8"/>
      <x:c r="AT496" s="8"/>
      <x:c r="AU496" s="8"/>
      <x:c r="AV496" s="8"/>
      <x:c r="AW496" s="8"/>
      <x:c r="AX496" s="8"/>
      <x:c r="AY496" s="8"/>
      <x:c r="AZ496" s="8"/>
      <x:c r="BA496" s="8"/>
      <x:c r="BB496" s="8" t="n">
        <x:f>LET(m,MIN(IF(D496&gt;0,D496,1E+99),IF(F496&gt;0,F496,1E+99),IF(H496&gt;0,H496,1E+99),IF(J496&gt;0,J496,1E+99),IF(L496&gt;0,L496,1E+99),IF(N496&gt;0,N496,1E+99),IF(P496&gt;0,P496,1E+99),IF(R496&gt;0,R496,1E+99),IF(T496&gt;0,T496,1E+99),IF(V496&gt;0,V496,1E+99),IF(X496&gt;0,X496,1E+99),IF(Z496&gt;0,Z496,1E+99),IF(AB496&gt;0,AB496,1E+99),IF(AD496&gt;0,AD496,1E+99),IF(AF496&gt;0,AF496,1E+99),IF(AH496&gt;0,AH496,1E+99),IF(AJ496&gt;0,AJ496,1E+99),IF(AL496&gt;0,AL496,1E+99),IF(AN496&gt;0,AN496,1E+99),IF(AP496&gt;0,AP496,1E+99),IF(AR496&gt;0,AR496,1E+99),IF(AT496&gt;0,AT496,1E+99),IF(AV496&gt;0,AV496,1E+99),IF(AX496&gt;0,AX496,1E+99),IF(AZ496&gt;0,AZ496,1E+99)),IF(m=1E+99,"",m))</x:f>
        <x:v>0.152</x:v>
      </x:c>
      <x:c r="BC496" s="12" t="e">
        <x:f>IF(BB496="","",INDEX({"v1.4.20","v1.4.20","v1.4.21","v1.4.21","v1.4.23","v1.4.23","v1.4.26","v1.4.26","v1.4.26.1","v1.4.26.1","v1.4.27","v1.4.27","v1.4.29","v1.4.29","v1.4.30","v1.4.30","v1.4.31","v1.4.31","v1.4.33","v1.4.33","v1.4.35","v1.4.35.2","v1.5","v1.5.1","v1.5.1"},MATCH(BB496,CHOOSE({1,2,3,4,5,6,7,8,9,10,11,12,13,14,15,16,17,18,19,20,21,22,23,24,25},D496,F496,H496,J496,L496,N496,P496,R496,T496,V496,X496,Z496,AB496,AD496,AF496,AH496,AJ496,AL496,AN496,AP496,AR496,AT496,AV496,AX496,AZ496),0)))</x:f>
      </x:c>
      <x:c r="BD496" s="14" t="n">
        <x:f>LET(m,MIN(IF(E496&gt;0,E496,1E+99),IF(G496&gt;0,G496,1E+99),IF(I496&gt;0,I496,1E+99),IF(K496&gt;0,K496,1E+99),IF(M496&gt;0,M496,1E+99),IF(O496&gt;0,O496,1E+99),IF(Q496&gt;0,Q496,1E+99),IF(S496&gt;0,S496,1E+99),IF(U496&gt;0,U496,1E+99),IF(W496&gt;0,W496,1E+99),IF(Y496&gt;0,Y496,1E+99),IF(AA496&gt;0,AA496,1E+99),IF(AC496&gt;0,AC496,1E+99),IF(AE496&gt;0,AE496,1E+99),IF(AG496&gt;0,AG496,1E+99),IF(AI496&gt;0,AI496,1E+99),IF(AK496&gt;0,AK496,1E+99),IF(AM496&gt;0,AM496,1E+99),IF(AO496&gt;0,AO496,1E+99),IF(AQ496&gt;0,AQ496,1E+99),IF(AS496&gt;0,AS496,1E+99),IF(AU496&gt;0,AU496,1E+99),IF(AW496&gt;0,AW496,1E+99),IF(AY496&gt;0,AY496,1E+99),IF(BA496&gt;0,BA496,1E+99)),IF(m=1E+99,"",m))</x:f>
        <x:v>7.5</x:v>
      </x:c>
      <x:c r="BE496" s="16" t="e">
        <x:f>IF(BD496="","",INDEX({"v1.4.20","v1.4.20","v1.4.21","v1.4.21","v1.4.23","v1.4.23","v1.4.26","v1.4.26","v1.4.26.1","v1.4.26.1","v1.4.27","v1.4.27","v1.4.29","v1.4.29","v1.4.30","v1.4.30","v1.4.31","v1.4.31","v1.4.33","v1.4.33","v1.4.35","v1.4.35.2","v1.5","v1.5.1","v1.5.1"},MATCH(BD496,CHOOSE({1,2,3,4,5,6,7,8,9,10,11,12,13,14,15,16,17,18,19,20,21,22,23,24,25},E496,G496,I496,K496,M496,O496,Q496,S496,U496,W496,Y496,AA496,AC496,AE496,AG496,AI496,AK496,AM496,AO496,AQ496,AS496,AU496,AW496,AY496,BA496),0)))</x:f>
      </x:c>
      <x:c r="BF496" s="10" t="n">
        <x:f>IFERROR((AX496-BB496)/BB496,"")</x:f>
        <x:v>-1</x:v>
      </x:c>
      <x:c r="BG496" s="10" t="n">
        <x:f>IFERROR((AY496-BD496)/BD496,"")</x:f>
        <x:v>-1</x:v>
      </x:c>
    </x:row>
    <x:row r="497">
      <x:c r="A497" t="str"/>
      <x:c r="B497" t="str">
        <x:v>Framework Health Check</x:v>
      </x:c>
      <x:c r="C497" t="str">
        <x:v>Start</x:v>
      </x:c>
      <x:c r="D497" s="8" t="n">
        <x:v>0</x:v>
      </x:c>
      <x:c r="E497" s="8" t="n">
        <x:v>0</x:v>
      </x:c>
      <x:c r="F497" s="8"/>
      <x:c r="G497" s="8"/>
      <x:c r="H497" s="8" t="n">
        <x:v>0</x:v>
      </x:c>
      <x:c r="I497" s="8" t="n">
        <x:v>0</x:v>
      </x:c>
      <x:c r="J497" s="8" t="n">
        <x:v>0</x:v>
      </x:c>
      <x:c r="K497" s="8" t="n">
        <x:v>0</x:v>
      </x:c>
      <x:c r="L497" s="8" t="n">
        <x:v>0</x:v>
      </x:c>
      <x:c r="M497" s="8" t="n">
        <x:v>0</x:v>
      </x:c>
      <x:c r="N497" s="8" t="n">
        <x:v>0</x:v>
      </x:c>
      <x:c r="O497" s="8" t="n">
        <x:v>0</x:v>
      </x:c>
      <x:c r="P497" s="8" t="n">
        <x:v>0.001</x:v>
      </x:c>
      <x:c r="Q497" s="8" t="n">
        <x:v>0.001</x:v>
      </x:c>
      <x:c r="R497" s="8" t="n">
        <x:v>0.001</x:v>
      </x:c>
      <x:c r="S497" s="8" t="n">
        <x:v>0.001</x:v>
      </x:c>
      <x:c r="T497" s="8"/>
      <x:c r="U497" s="8"/>
      <x:c r="V497" s="8" t="n">
        <x:v>0</x:v>
      </x:c>
      <x:c r="W497" s="8" t="n">
        <x:v>0</x:v>
      </x:c>
      <x:c r="X497" s="8" t="n">
        <x:v>0</x:v>
      </x:c>
      <x:c r="Y497" s="8" t="n">
        <x:v>0</x:v>
      </x:c>
      <x:c r="Z497" s="8" t="n">
        <x:v>0</x:v>
      </x:c>
      <x:c r="AA497" s="8" t="n">
        <x:v>0</x:v>
      </x:c>
      <x:c r="AB497" s="8" t="n">
        <x:v>0</x:v>
      </x:c>
      <x:c r="AC497" s="8" t="n">
        <x:v>0</x:v>
      </x:c>
      <x:c r="AD497" s="8" t="n">
        <x:v>0</x:v>
      </x:c>
      <x:c r="AE497" s="8" t="n">
        <x:v>0</x:v>
      </x:c>
      <x:c r="AF497" s="8" t="n">
        <x:v>0</x:v>
      </x:c>
      <x:c r="AG497" s="8" t="n">
        <x:v>0</x:v>
      </x:c>
      <x:c r="AH497" s="8" t="n">
        <x:v>0</x:v>
      </x:c>
      <x:c r="AI497" s="8" t="n">
        <x:v>0</x:v>
      </x:c>
      <x:c r="AJ497" s="8"/>
      <x:c r="AK497" s="8"/>
      <x:c r="AL497" s="8" t="n">
        <x:v>0</x:v>
      </x:c>
      <x:c r="AM497" s="8" t="n">
        <x:v>0</x:v>
      </x:c>
      <x:c r="AN497" s="8" t="n">
        <x:v>0</x:v>
      </x:c>
      <x:c r="AO497" s="8" t="n">
        <x:v>0</x:v>
      </x:c>
      <x:c r="AP497" s="8"/>
      <x:c r="AQ497" s="8"/>
      <x:c r="AR497" s="8"/>
      <x:c r="AS497" s="8"/>
      <x:c r="AT497" s="8" t="n">
        <x:v>0</x:v>
      </x:c>
      <x:c r="AU497" s="8" t="n">
        <x:v>0</x:v>
      </x:c>
      <x:c r="AV497" s="8"/>
      <x:c r="AW497" s="8"/>
      <x:c r="AX497" s="8" t="n">
        <x:v>0</x:v>
      </x:c>
      <x:c r="AY497" s="8" t="n">
        <x:v>0</x:v>
      </x:c>
      <x:c r="AZ497" s="8"/>
      <x:c r="BA497" s="8"/>
      <x:c r="BB497" s="8" t="n">
        <x:f>LET(m,MIN(IF(D497&gt;0,D497,1E+99),IF(F497&gt;0,F497,1E+99),IF(H497&gt;0,H497,1E+99),IF(J497&gt;0,J497,1E+99),IF(L497&gt;0,L497,1E+99),IF(N497&gt;0,N497,1E+99),IF(P497&gt;0,P497,1E+99),IF(R497&gt;0,R497,1E+99),IF(T497&gt;0,T497,1E+99),IF(V497&gt;0,V497,1E+99),IF(X497&gt;0,X497,1E+99),IF(Z497&gt;0,Z497,1E+99),IF(AB497&gt;0,AB497,1E+99),IF(AD497&gt;0,AD497,1E+99),IF(AF497&gt;0,AF497,1E+99),IF(AH497&gt;0,AH497,1E+99),IF(AJ497&gt;0,AJ497,1E+99),IF(AL497&gt;0,AL497,1E+99),IF(AN497&gt;0,AN497,1E+99),IF(AP497&gt;0,AP497,1E+99),IF(AR497&gt;0,AR497,1E+99),IF(AT497&gt;0,AT497,1E+99),IF(AV497&gt;0,AV497,1E+99),IF(AX497&gt;0,AX497,1E+99),IF(AZ497&gt;0,AZ497,1E+99)),IF(m=1E+99,"",m))</x:f>
        <x:v>0.001</x:v>
      </x:c>
      <x:c r="BC497" s="12" t="e">
        <x:f>IF(BB497="","",INDEX({"v1.4.20","v1.4.20","v1.4.21","v1.4.21","v1.4.23","v1.4.23","v1.4.26","v1.4.26","v1.4.26.1","v1.4.26.1","v1.4.27","v1.4.27","v1.4.29","v1.4.29","v1.4.30","v1.4.30","v1.4.31","v1.4.31","v1.4.33","v1.4.33","v1.4.35","v1.4.35.2","v1.5","v1.5.1","v1.5.1"},MATCH(BB497,CHOOSE({1,2,3,4,5,6,7,8,9,10,11,12,13,14,15,16,17,18,19,20,21,22,23,24,25},D497,F497,H497,J497,L497,N497,P497,R497,T497,V497,X497,Z497,AB497,AD497,AF497,AH497,AJ497,AL497,AN497,AP497,AR497,AT497,AV497,AX497,AZ497),0)))</x:f>
      </x:c>
      <x:c r="BD497" s="14" t="n">
        <x:f>LET(m,MIN(IF(E497&gt;0,E497,1E+99),IF(G497&gt;0,G497,1E+99),IF(I497&gt;0,I497,1E+99),IF(K497&gt;0,K497,1E+99),IF(M497&gt;0,M497,1E+99),IF(O497&gt;0,O497,1E+99),IF(Q497&gt;0,Q497,1E+99),IF(S497&gt;0,S497,1E+99),IF(U497&gt;0,U497,1E+99),IF(W497&gt;0,W497,1E+99),IF(Y497&gt;0,Y497,1E+99),IF(AA497&gt;0,AA497,1E+99),IF(AC497&gt;0,AC497,1E+99),IF(AE497&gt;0,AE497,1E+99),IF(AG497&gt;0,AG497,1E+99),IF(AI497&gt;0,AI497,1E+99),IF(AK497&gt;0,AK497,1E+99),IF(AM497&gt;0,AM497,1E+99),IF(AO497&gt;0,AO497,1E+99),IF(AQ497&gt;0,AQ497,1E+99),IF(AS497&gt;0,AS497,1E+99),IF(AU497&gt;0,AU497,1E+99),IF(AW497&gt;0,AW497,1E+99),IF(AY497&gt;0,AY497,1E+99),IF(BA497&gt;0,BA497,1E+99)),IF(m=1E+99,"",m))</x:f>
        <x:v>0.001</x:v>
      </x:c>
      <x:c r="BE497" s="16" t="e">
        <x:f>IF(BD497="","",INDEX({"v1.4.20","v1.4.20","v1.4.21","v1.4.21","v1.4.23","v1.4.23","v1.4.26","v1.4.26","v1.4.26.1","v1.4.26.1","v1.4.27","v1.4.27","v1.4.29","v1.4.29","v1.4.30","v1.4.30","v1.4.31","v1.4.31","v1.4.33","v1.4.33","v1.4.35","v1.4.35.2","v1.5","v1.5.1","v1.5.1"},MATCH(BD497,CHOOSE({1,2,3,4,5,6,7,8,9,10,11,12,13,14,15,16,17,18,19,20,21,22,23,24,25},E497,G497,I497,K497,M497,O497,Q497,S497,U497,W497,Y497,AA497,AC497,AE497,AG497,AI497,AK497,AM497,AO497,AQ497,AS497,AU497,AW497,AY497,BA497),0)))</x:f>
      </x:c>
      <x:c r="BF497" s="10" t="n">
        <x:f>IFERROR((AX497-BB497)/BB497,"")</x:f>
        <x:v>-1</x:v>
      </x:c>
      <x:c r="BG497" s="10" t="n">
        <x:f>IFERROR((AY497-BD497)/BD497,"")</x:f>
        <x:v>-1</x:v>
      </x:c>
    </x:row>
    <x:row r="498">
      <x:c r="A498" t="str"/>
      <x:c r="B498" t="str">
        <x:v>Framework Health Check</x:v>
      </x:c>
      <x:c r="C498" t="str">
        <x:v>Dashboard Quality Section G saved</x:v>
      </x:c>
      <x:c r="D498" s="8"/>
      <x:c r="E498" s="8"/>
      <x:c r="F498" s="8"/>
      <x:c r="G498" s="8"/>
      <x:c r="H498" s="8"/>
      <x:c r="I498" s="8"/>
      <x:c r="J498" s="8"/>
      <x:c r="K498" s="8"/>
      <x:c r="L498" s="8" t="n">
        <x:v>6.477</x:v>
      </x:c>
      <x:c r="M498" s="8" t="n">
        <x:v>6.477</x:v>
      </x:c>
      <x:c r="N498" s="8" t="n">
        <x:v>6.477</x:v>
      </x:c>
      <x:c r="O498" s="8" t="n">
        <x:v>6.477</x:v>
      </x:c>
      <x:c r="P498" s="8" t="n">
        <x:v>3.317</x:v>
      </x:c>
      <x:c r="Q498" s="8" t="n">
        <x:v>3.318</x:v>
      </x:c>
      <x:c r="R498" s="8" t="n">
        <x:v>3.317</x:v>
      </x:c>
      <x:c r="S498" s="8" t="n">
        <x:v>3.318</x:v>
      </x:c>
      <x:c r="T498" s="8"/>
      <x:c r="U498" s="8"/>
      <x:c r="V498" s="8" t="n">
        <x:v>5.304</x:v>
      </x:c>
      <x:c r="W498" s="8" t="n">
        <x:v>5.304</x:v>
      </x:c>
      <x:c r="X498" s="8" t="n">
        <x:v>6.936</x:v>
      </x:c>
      <x:c r="Y498" s="8" t="n">
        <x:v>6.936</x:v>
      </x:c>
      <x:c r="Z498" s="8" t="n">
        <x:v>6.936</x:v>
      </x:c>
      <x:c r="AA498" s="8" t="n">
        <x:v>6.936</x:v>
      </x:c>
      <x:c r="AB498" s="8" t="n">
        <x:v>8.884</x:v>
      </x:c>
      <x:c r="AC498" s="8" t="n">
        <x:v>8.884</x:v>
      </x:c>
      <x:c r="AD498" s="8" t="n">
        <x:v>8.884</x:v>
      </x:c>
      <x:c r="AE498" s="8" t="n">
        <x:v>8.884</x:v>
      </x:c>
      <x:c r="AF498" s="8" t="n">
        <x:v>4.006</x:v>
      </x:c>
      <x:c r="AG498" s="8" t="n">
        <x:v>4.006</x:v>
      </x:c>
      <x:c r="AH498" s="8" t="n">
        <x:v>4.006</x:v>
      </x:c>
      <x:c r="AI498" s="8" t="n">
        <x:v>4.006</x:v>
      </x:c>
      <x:c r="AJ498" s="8"/>
      <x:c r="AK498" s="8"/>
      <x:c r="AL498" s="8" t="n">
        <x:v>6.977</x:v>
      </x:c>
      <x:c r="AM498" s="8" t="n">
        <x:v>6.977</x:v>
      </x:c>
      <x:c r="AN498" s="8" t="n">
        <x:v>8.001</x:v>
      </x:c>
      <x:c r="AO498" s="8" t="n">
        <x:v>8.001</x:v>
      </x:c>
      <x:c r="AP498" s="8"/>
      <x:c r="AQ498" s="8"/>
      <x:c r="AR498" s="8"/>
      <x:c r="AS498" s="8"/>
      <x:c r="AT498" s="8" t="n">
        <x:v>4.81</x:v>
      </x:c>
      <x:c r="AU498" s="8" t="n">
        <x:v>4.81</x:v>
      </x:c>
      <x:c r="AV498" s="8"/>
      <x:c r="AW498" s="8"/>
      <x:c r="AX498" s="8" t="n">
        <x:v>5.588</x:v>
      </x:c>
      <x:c r="AY498" s="8" t="n">
        <x:v>5.588</x:v>
      </x:c>
      <x:c r="AZ498" s="8"/>
      <x:c r="BA498" s="8"/>
      <x:c r="BB498" s="8" t="n">
        <x:f>LET(m,MIN(IF(D498&gt;0,D498,1E+99),IF(F498&gt;0,F498,1E+99),IF(H498&gt;0,H498,1E+99),IF(J498&gt;0,J498,1E+99),IF(L498&gt;0,L498,1E+99),IF(N498&gt;0,N498,1E+99),IF(P498&gt;0,P498,1E+99),IF(R498&gt;0,R498,1E+99),IF(T498&gt;0,T498,1E+99),IF(V498&gt;0,V498,1E+99),IF(X498&gt;0,X498,1E+99),IF(Z498&gt;0,Z498,1E+99),IF(AB498&gt;0,AB498,1E+99),IF(AD498&gt;0,AD498,1E+99),IF(AF498&gt;0,AF498,1E+99),IF(AH498&gt;0,AH498,1E+99),IF(AJ498&gt;0,AJ498,1E+99),IF(AL498&gt;0,AL498,1E+99),IF(AN498&gt;0,AN498,1E+99),IF(AP498&gt;0,AP498,1E+99),IF(AR498&gt;0,AR498,1E+99),IF(AT498&gt;0,AT498,1E+99),IF(AV498&gt;0,AV498,1E+99),IF(AX498&gt;0,AX498,1E+99),IF(AZ498&gt;0,AZ498,1E+99)),IF(m=1E+99,"",m))</x:f>
        <x:v>3.317</x:v>
      </x:c>
      <x:c r="BC498" s="12" t="e">
        <x:f>IF(BB498="","",INDEX({"v1.4.20","v1.4.20","v1.4.21","v1.4.21","v1.4.23","v1.4.23","v1.4.26","v1.4.26","v1.4.26.1","v1.4.26.1","v1.4.27","v1.4.27","v1.4.29","v1.4.29","v1.4.30","v1.4.30","v1.4.31","v1.4.31","v1.4.33","v1.4.33","v1.4.35","v1.4.35.2","v1.5","v1.5.1","v1.5.1"},MATCH(BB498,CHOOSE({1,2,3,4,5,6,7,8,9,10,11,12,13,14,15,16,17,18,19,20,21,22,23,24,25},D498,F498,H498,J498,L498,N498,P498,R498,T498,V498,X498,Z498,AB498,AD498,AF498,AH498,AJ498,AL498,AN498,AP498,AR498,AT498,AV498,AX498,AZ498),0)))</x:f>
      </x:c>
      <x:c r="BD498" s="14" t="n">
        <x:f>LET(m,MIN(IF(E498&gt;0,E498,1E+99),IF(G498&gt;0,G498,1E+99),IF(I498&gt;0,I498,1E+99),IF(K498&gt;0,K498,1E+99),IF(M498&gt;0,M498,1E+99),IF(O498&gt;0,O498,1E+99),IF(Q498&gt;0,Q498,1E+99),IF(S498&gt;0,S498,1E+99),IF(U498&gt;0,U498,1E+99),IF(W498&gt;0,W498,1E+99),IF(Y498&gt;0,Y498,1E+99),IF(AA498&gt;0,AA498,1E+99),IF(AC498&gt;0,AC498,1E+99),IF(AE498&gt;0,AE498,1E+99),IF(AG498&gt;0,AG498,1E+99),IF(AI498&gt;0,AI498,1E+99),IF(AK498&gt;0,AK498,1E+99),IF(AM498&gt;0,AM498,1E+99),IF(AO498&gt;0,AO498,1E+99),IF(AQ498&gt;0,AQ498,1E+99),IF(AS498&gt;0,AS498,1E+99),IF(AU498&gt;0,AU498,1E+99),IF(AW498&gt;0,AW498,1E+99),IF(AY498&gt;0,AY498,1E+99),IF(BA498&gt;0,BA498,1E+99)),IF(m=1E+99,"",m))</x:f>
        <x:v>3.318</x:v>
      </x:c>
      <x:c r="BE498" s="16" t="e">
        <x:f>IF(BD498="","",INDEX({"v1.4.20","v1.4.20","v1.4.21","v1.4.21","v1.4.23","v1.4.23","v1.4.26","v1.4.26","v1.4.26.1","v1.4.26.1","v1.4.27","v1.4.27","v1.4.29","v1.4.29","v1.4.30","v1.4.30","v1.4.31","v1.4.31","v1.4.33","v1.4.33","v1.4.35","v1.4.35.2","v1.5","v1.5.1","v1.5.1"},MATCH(BD498,CHOOSE({1,2,3,4,5,6,7,8,9,10,11,12,13,14,15,16,17,18,19,20,21,22,23,24,25},E498,G498,I498,K498,M498,O498,Q498,S498,U498,W498,Y498,AA498,AC498,AE498,AG498,AI498,AK498,AM498,AO498,AQ498,AS498,AU498,AW498,AY498,BA498),0)))</x:f>
      </x:c>
      <x:c r="BF498" s="10" t="n">
        <x:f>IFERROR((AX498-BB498)/BB498,"")</x:f>
        <x:v>0.6846548085619535</x:v>
      </x:c>
      <x:c r="BG498" s="10" t="n">
        <x:f>IFERROR((AY498-BD498)/BD498,"")</x:f>
        <x:v>0.6841470765521398</x:v>
      </x:c>
    </x:row>
    <x:row r="499">
      <x:c r="A499" t="str"/>
      <x:c r="B499" t="str">
        <x:v>Framework Health Check</x:v>
      </x:c>
      <x:c r="C499" t="str">
        <x:v>Complete</x:v>
      </x:c>
      <x:c r="D499" s="8" t="n">
        <x:v>0</x:v>
      </x:c>
      <x:c r="E499" s="8" t="n">
        <x:v>0.146</x:v>
      </x:c>
      <x:c r="F499" s="8"/>
      <x:c r="G499" s="8"/>
      <x:c r="H499" s="8" t="n">
        <x:v>0</x:v>
      </x:c>
      <x:c r="I499" s="8" t="n">
        <x:v>0.405</x:v>
      </x:c>
      <x:c r="J499" s="8" t="n">
        <x:v>0</x:v>
      </x:c>
      <x:c r="K499" s="8" t="n">
        <x:v>0.405</x:v>
      </x:c>
      <x:c r="L499" s="8"/>
      <x:c r="M499" s="8"/>
      <x:c r="N499" s="8"/>
      <x:c r="O499" s="8"/>
      <x:c r="P499" s="8"/>
      <x:c r="Q499" s="8"/>
      <x:c r="R499" s="8"/>
      <x:c r="S499" s="8"/>
      <x:c r="T499" s="8"/>
      <x:c r="U499" s="8"/>
      <x:c r="V499" s="8" t="n">
        <x:v>0</x:v>
      </x:c>
      <x:c r="W499" s="8" t="n">
        <x:v>5.304</x:v>
      </x:c>
      <x:c r="X499" s="8" t="n">
        <x:v>0</x:v>
      </x:c>
      <x:c r="Y499" s="8" t="n">
        <x:v>6.936</x:v>
      </x:c>
      <x:c r="Z499" s="8" t="n">
        <x:v>0</x:v>
      </x:c>
      <x:c r="AA499" s="8" t="n">
        <x:v>6.936</x:v>
      </x:c>
      <x:c r="AB499" s="8" t="n">
        <x:v>0</x:v>
      </x:c>
      <x:c r="AC499" s="8" t="n">
        <x:v>8.884</x:v>
      </x:c>
      <x:c r="AD499" s="8" t="n">
        <x:v>0</x:v>
      </x:c>
      <x:c r="AE499" s="8" t="n">
        <x:v>8.884</x:v>
      </x:c>
      <x:c r="AF499" s="8" t="n">
        <x:v>0</x:v>
      </x:c>
      <x:c r="AG499" s="8" t="n">
        <x:v>4.007</x:v>
      </x:c>
      <x:c r="AH499" s="8" t="n">
        <x:v>0</x:v>
      </x:c>
      <x:c r="AI499" s="8" t="n">
        <x:v>4.007</x:v>
      </x:c>
      <x:c r="AJ499" s="8"/>
      <x:c r="AK499" s="8"/>
      <x:c r="AL499" s="8" t="n">
        <x:v>0</x:v>
      </x:c>
      <x:c r="AM499" s="8" t="n">
        <x:v>6.978</x:v>
      </x:c>
      <x:c r="AN499" s="8" t="n">
        <x:v>0</x:v>
      </x:c>
      <x:c r="AO499" s="8" t="n">
        <x:v>8.001</x:v>
      </x:c>
      <x:c r="AP499" s="8"/>
      <x:c r="AQ499" s="8"/>
      <x:c r="AR499" s="8"/>
      <x:c r="AS499" s="8"/>
      <x:c r="AT499" s="8" t="n">
        <x:v>0</x:v>
      </x:c>
      <x:c r="AU499" s="8" t="n">
        <x:v>4.81</x:v>
      </x:c>
      <x:c r="AV499" s="8"/>
      <x:c r="AW499" s="8"/>
      <x:c r="AX499" s="8" t="n">
        <x:v>0</x:v>
      </x:c>
      <x:c r="AY499" s="8" t="n">
        <x:v>5.588</x:v>
      </x:c>
      <x:c r="AZ499" s="8"/>
      <x:c r="BA499" s="8"/>
      <x:c r="BB499" s="8" t="str">
        <x:f>LET(m,MIN(IF(D499&gt;0,D499,1E+99),IF(F499&gt;0,F499,1E+99),IF(H499&gt;0,H499,1E+99),IF(J499&gt;0,J499,1E+99),IF(L499&gt;0,L499,1E+99),IF(N499&gt;0,N499,1E+99),IF(P499&gt;0,P499,1E+99),IF(R499&gt;0,R499,1E+99),IF(T499&gt;0,T499,1E+99),IF(V499&gt;0,V499,1E+99),IF(X499&gt;0,X499,1E+99),IF(Z499&gt;0,Z499,1E+99),IF(AB499&gt;0,AB499,1E+99),IF(AD499&gt;0,AD499,1E+99),IF(AF499&gt;0,AF499,1E+99),IF(AH499&gt;0,AH499,1E+99),IF(AJ499&gt;0,AJ499,1E+99),IF(AL499&gt;0,AL499,1E+99),IF(AN499&gt;0,AN499,1E+99),IF(AP499&gt;0,AP499,1E+99),IF(AR499&gt;0,AR499,1E+99),IF(AT499&gt;0,AT499,1E+99),IF(AV499&gt;0,AV499,1E+99),IF(AX499&gt;0,AX499,1E+99),IF(AZ499&gt;0,AZ499,1E+99)),IF(m=1E+99,"",m))</x:f>
      </x:c>
      <x:c r="BC499" s="12" t="str">
        <x:f>IF(BB499="","",INDEX({"v1.4.20","v1.4.20","v1.4.21","v1.4.21","v1.4.23","v1.4.23","v1.4.26","v1.4.26","v1.4.26.1","v1.4.26.1","v1.4.27","v1.4.27","v1.4.29","v1.4.29","v1.4.30","v1.4.30","v1.4.31","v1.4.31","v1.4.33","v1.4.33","v1.4.35","v1.4.35.2","v1.5","v1.5.1","v1.5.1"},MATCH(BB499,CHOOSE({1,2,3,4,5,6,7,8,9,10,11,12,13,14,15,16,17,18,19,20,21,22,23,24,25},D499,F499,H499,J499,L499,N499,P499,R499,T499,V499,X499,Z499,AB499,AD499,AF499,AH499,AJ499,AL499,AN499,AP499,AR499,AT499,AV499,AX499,AZ499),0)))</x:f>
      </x:c>
      <x:c r="BD499" s="14" t="n">
        <x:f>LET(m,MIN(IF(E499&gt;0,E499,1E+99),IF(G499&gt;0,G499,1E+99),IF(I499&gt;0,I499,1E+99),IF(K499&gt;0,K499,1E+99),IF(M499&gt;0,M499,1E+99),IF(O499&gt;0,O499,1E+99),IF(Q499&gt;0,Q499,1E+99),IF(S499&gt;0,S499,1E+99),IF(U499&gt;0,U499,1E+99),IF(W499&gt;0,W499,1E+99),IF(Y499&gt;0,Y499,1E+99),IF(AA499&gt;0,AA499,1E+99),IF(AC499&gt;0,AC499,1E+99),IF(AE499&gt;0,AE499,1E+99),IF(AG499&gt;0,AG499,1E+99),IF(AI499&gt;0,AI499,1E+99),IF(AK499&gt;0,AK499,1E+99),IF(AM499&gt;0,AM499,1E+99),IF(AO499&gt;0,AO499,1E+99),IF(AQ499&gt;0,AQ499,1E+99),IF(AS499&gt;0,AS499,1E+99),IF(AU499&gt;0,AU499,1E+99),IF(AW499&gt;0,AW499,1E+99),IF(AY499&gt;0,AY499,1E+99),IF(BA499&gt;0,BA499,1E+99)),IF(m=1E+99,"",m))</x:f>
        <x:v>0.146</x:v>
      </x:c>
      <x:c r="BE499" s="16" t="str">
        <x:f>IF(BD499="","",INDEX({"v1.4.20","v1.4.20","v1.4.21","v1.4.21","v1.4.23","v1.4.23","v1.4.26","v1.4.26","v1.4.26.1","v1.4.26.1","v1.4.27","v1.4.27","v1.4.29","v1.4.29","v1.4.30","v1.4.30","v1.4.31","v1.4.31","v1.4.33","v1.4.33","v1.4.35","v1.4.35.2","v1.5","v1.5.1","v1.5.1"},MATCH(BD499,CHOOSE({1,2,3,4,5,6,7,8,9,10,11,12,13,14,15,16,17,18,19,20,21,22,23,24,25},E499,G499,I499,K499,M499,O499,Q499,S499,U499,W499,Y499,AA499,AC499,AE499,AG499,AI499,AK499,AM499,AO499,AQ499,AS499,AU499,AW499,AY499,BA499),0)))</x:f>
        <x:v>v1.4.20</x:v>
      </x:c>
      <x:c r="BF499" s="10" t="str">
        <x:f>IFERROR((AX499-BB499)/BB499,"")</x:f>
      </x:c>
      <x:c r="BG499" s="10" t="n">
        <x:f>IFERROR((AY499-BD499)/BD499,"")</x:f>
        <x:v>37.27397260273973</x:v>
      </x:c>
    </x:row>
    <x:row r="500">
      <x:c r="A500" t="str"/>
      <x:c r="B500" t="str">
        <x:v>Framework Health Check</x:v>
      </x:c>
      <x:c r="C500" t="str">
        <x:v>Dashboard Quality Section J saved</x:v>
      </x:c>
      <x:c r="D500" s="8" t="n">
        <x:v>0.146</x:v>
      </x:c>
      <x:c r="E500" s="8" t="n">
        <x:v>0.146</x:v>
      </x:c>
      <x:c r="F500" s="8"/>
      <x:c r="G500" s="8"/>
      <x:c r="H500" s="8" t="n">
        <x:v>0.405</x:v>
      </x:c>
      <x:c r="I500" s="8" t="n">
        <x:v>0.405</x:v>
      </x:c>
      <x:c r="J500" s="8" t="n">
        <x:v>0.405</x:v>
      </x:c>
      <x:c r="K500" s="8" t="n">
        <x:v>0.405</x:v>
      </x:c>
      <x:c r="L500" s="8"/>
      <x:c r="M500" s="8"/>
      <x:c r="N500" s="8"/>
      <x:c r="O500" s="8"/>
      <x:c r="P500" s="8"/>
      <x:c r="Q500" s="8"/>
      <x:c r="R500" s="8"/>
      <x:c r="S500" s="8"/>
      <x:c r="T500" s="8"/>
      <x:c r="U500" s="8"/>
      <x:c r="V500" s="8"/>
      <x:c r="W500" s="8"/>
      <x:c r="X500" s="8"/>
      <x:c r="Y500" s="8"/>
      <x:c r="Z500" s="8"/>
      <x:c r="AA500" s="8"/>
      <x:c r="AB500" s="8"/>
      <x:c r="AC500" s="8"/>
      <x:c r="AD500" s="8"/>
      <x:c r="AE500" s="8"/>
      <x:c r="AF500" s="8"/>
      <x:c r="AG500" s="8"/>
      <x:c r="AH500" s="8"/>
      <x:c r="AI500" s="8"/>
      <x:c r="AJ500" s="8"/>
      <x:c r="AK500" s="8"/>
      <x:c r="AL500" s="8"/>
      <x:c r="AM500" s="8"/>
      <x:c r="AN500" s="8"/>
      <x:c r="AO500" s="8"/>
      <x:c r="AP500" s="8"/>
      <x:c r="AQ500" s="8"/>
      <x:c r="AR500" s="8"/>
      <x:c r="AS500" s="8"/>
      <x:c r="AT500" s="8"/>
      <x:c r="AU500" s="8"/>
      <x:c r="AV500" s="8"/>
      <x:c r="AW500" s="8"/>
      <x:c r="AX500" s="8"/>
      <x:c r="AY500" s="8"/>
      <x:c r="AZ500" s="8"/>
      <x:c r="BA500" s="8"/>
      <x:c r="BB500" s="8" t="n">
        <x:f>LET(m,MIN(IF(D500&gt;0,D500,1E+99),IF(F500&gt;0,F500,1E+99),IF(H500&gt;0,H500,1E+99),IF(J500&gt;0,J500,1E+99),IF(L500&gt;0,L500,1E+99),IF(N500&gt;0,N500,1E+99),IF(P500&gt;0,P500,1E+99),IF(R500&gt;0,R500,1E+99),IF(T500&gt;0,T500,1E+99),IF(V500&gt;0,V500,1E+99),IF(X500&gt;0,X500,1E+99),IF(Z500&gt;0,Z500,1E+99),IF(AB500&gt;0,AB500,1E+99),IF(AD500&gt;0,AD500,1E+99),IF(AF500&gt;0,AF500,1E+99),IF(AH500&gt;0,AH500,1E+99),IF(AJ500&gt;0,AJ500,1E+99),IF(AL500&gt;0,AL500,1E+99),IF(AN500&gt;0,AN500,1E+99),IF(AP500&gt;0,AP500,1E+99),IF(AR500&gt;0,AR500,1E+99),IF(AT500&gt;0,AT500,1E+99),IF(AV500&gt;0,AV500,1E+99),IF(AX500&gt;0,AX500,1E+99),IF(AZ500&gt;0,AZ500,1E+99)),IF(m=1E+99,"",m))</x:f>
        <x:v>0.146</x:v>
      </x:c>
      <x:c r="BC500" s="12" t="str">
        <x:f>IF(BB500="","",INDEX({"v1.4.20","v1.4.20","v1.4.21","v1.4.21","v1.4.23","v1.4.23","v1.4.26","v1.4.26","v1.4.26.1","v1.4.26.1","v1.4.27","v1.4.27","v1.4.29","v1.4.29","v1.4.30","v1.4.30","v1.4.31","v1.4.31","v1.4.33","v1.4.33","v1.4.35","v1.4.35.2","v1.5","v1.5.1","v1.5.1"},MATCH(BB500,CHOOSE({1,2,3,4,5,6,7,8,9,10,11,12,13,14,15,16,17,18,19,20,21,22,23,24,25},D500,F500,H500,J500,L500,N500,P500,R500,T500,V500,X500,Z500,AB500,AD500,AF500,AH500,AJ500,AL500,AN500,AP500,AR500,AT500,AV500,AX500,AZ500),0)))</x:f>
        <x:v>v1.4.20</x:v>
      </x:c>
      <x:c r="BD500" s="14" t="n">
        <x:f>LET(m,MIN(IF(E500&gt;0,E500,1E+99),IF(G500&gt;0,G500,1E+99),IF(I500&gt;0,I500,1E+99),IF(K500&gt;0,K500,1E+99),IF(M500&gt;0,M500,1E+99),IF(O500&gt;0,O500,1E+99),IF(Q500&gt;0,Q500,1E+99),IF(S500&gt;0,S500,1E+99),IF(U500&gt;0,U500,1E+99),IF(W500&gt;0,W500,1E+99),IF(Y500&gt;0,Y500,1E+99),IF(AA500&gt;0,AA500,1E+99),IF(AC500&gt;0,AC500,1E+99),IF(AE500&gt;0,AE500,1E+99),IF(AG500&gt;0,AG500,1E+99),IF(AI500&gt;0,AI500,1E+99),IF(AK500&gt;0,AK500,1E+99),IF(AM500&gt;0,AM500,1E+99),IF(AO500&gt;0,AO500,1E+99),IF(AQ500&gt;0,AQ500,1E+99),IF(AS500&gt;0,AS500,1E+99),IF(AU500&gt;0,AU500,1E+99),IF(AW500&gt;0,AW500,1E+99),IF(AY500&gt;0,AY500,1E+99),IF(BA500&gt;0,BA500,1E+99)),IF(m=1E+99,"",m))</x:f>
        <x:v>0.146</x:v>
      </x:c>
      <x:c r="BE500" s="16" t="str">
        <x:f>IF(BD500="","",INDEX({"v1.4.20","v1.4.20","v1.4.21","v1.4.21","v1.4.23","v1.4.23","v1.4.26","v1.4.26","v1.4.26.1","v1.4.26.1","v1.4.27","v1.4.27","v1.4.29","v1.4.29","v1.4.30","v1.4.30","v1.4.31","v1.4.31","v1.4.33","v1.4.33","v1.4.35","v1.4.35.2","v1.5","v1.5.1","v1.5.1"},MATCH(BD500,CHOOSE({1,2,3,4,5,6,7,8,9,10,11,12,13,14,15,16,17,18,19,20,21,22,23,24,25},E500,G500,I500,K500,M500,O500,Q500,S500,U500,W500,Y500,AA500,AC500,AE500,AG500,AI500,AK500,AM500,AO500,AQ500,AS500,AU500,AW500,AY500,BA500),0)))</x:f>
        <x:v>v1.4.20</x:v>
      </x:c>
      <x:c r="BF500" s="10" t="n">
        <x:f>IFERROR((AX500-BB500)/BB500,"")</x:f>
        <x:v>-1</x:v>
      </x:c>
      <x:c r="BG500" s="10" t="n">
        <x:f>IFERROR((AY500-BD500)/BD500,"")</x:f>
        <x:v>-1</x:v>
      </x:c>
    </x:row>
    <x:row r="501">
      <x:c r="A501" t="str"/>
      <x:c r="B501" t="str">
        <x:v>Framework Health Check</x:v>
      </x:c>
      <x:c r="C501" t="str">
        <x:v>ERROR - Framework Health Check failed: 3 issue(s)</x:v>
      </x:c>
      <x:c r="D501" s="8"/>
      <x:c r="E501" s="8"/>
      <x:c r="F501" s="8"/>
      <x:c r="G501" s="8"/>
      <x:c r="H501" s="8"/>
      <x:c r="I501" s="8"/>
      <x:c r="J501" s="8"/>
      <x:c r="K501" s="8"/>
      <x:c r="L501" s="8" t="n">
        <x:v>0</x:v>
      </x:c>
      <x:c r="M501" s="8" t="n">
        <x:v>6.477</x:v>
      </x:c>
      <x:c r="N501" s="8" t="n">
        <x:v>0</x:v>
      </x:c>
      <x:c r="O501" s="8" t="n">
        <x:v>6.477</x:v>
      </x:c>
      <x:c r="P501" s="8" t="n">
        <x:v>0.002</x:v>
      </x:c>
      <x:c r="Q501" s="8" t="n">
        <x:v>3.32</x:v>
      </x:c>
      <x:c r="R501" s="8" t="n">
        <x:v>0.002</x:v>
      </x:c>
      <x:c r="S501" s="8" t="n">
        <x:v>3.32</x:v>
      </x:c>
      <x:c r="T501" s="8"/>
      <x:c r="U501" s="8"/>
      <x:c r="V501" s="8"/>
      <x:c r="W501" s="8"/>
      <x:c r="X501" s="8"/>
      <x:c r="Y501" s="8"/>
      <x:c r="Z501" s="8"/>
      <x:c r="AA501" s="8"/>
      <x:c r="AB501" s="8"/>
      <x:c r="AC501" s="8"/>
      <x:c r="AD501" s="8"/>
      <x:c r="AE501" s="8"/>
      <x:c r="AF501" s="8"/>
      <x:c r="AG501" s="8"/>
      <x:c r="AH501" s="8"/>
      <x:c r="AI501" s="8"/>
      <x:c r="AJ501" s="8"/>
      <x:c r="AK501" s="8"/>
      <x:c r="AL501" s="8"/>
      <x:c r="AM501" s="8"/>
      <x:c r="AN501" s="8"/>
      <x:c r="AO501" s="8"/>
      <x:c r="AP501" s="8"/>
      <x:c r="AQ501" s="8"/>
      <x:c r="AR501" s="8"/>
      <x:c r="AS501" s="8"/>
      <x:c r="AT501" s="8"/>
      <x:c r="AU501" s="8"/>
      <x:c r="AV501" s="8"/>
      <x:c r="AW501" s="8"/>
      <x:c r="AX501" s="8"/>
      <x:c r="AY501" s="8"/>
      <x:c r="AZ501" s="8"/>
      <x:c r="BA501" s="8"/>
      <x:c r="BB501" s="8" t="n">
        <x:f>LET(m,MIN(IF(D501&gt;0,D501,1E+99),IF(F501&gt;0,F501,1E+99),IF(H501&gt;0,H501,1E+99),IF(J501&gt;0,J501,1E+99),IF(L501&gt;0,L501,1E+99),IF(N501&gt;0,N501,1E+99),IF(P501&gt;0,P501,1E+99),IF(R501&gt;0,R501,1E+99),IF(T501&gt;0,T501,1E+99),IF(V501&gt;0,V501,1E+99),IF(X501&gt;0,X501,1E+99),IF(Z501&gt;0,Z501,1E+99),IF(AB501&gt;0,AB501,1E+99),IF(AD501&gt;0,AD501,1E+99),IF(AF501&gt;0,AF501,1E+99),IF(AH501&gt;0,AH501,1E+99),IF(AJ501&gt;0,AJ501,1E+99),IF(AL501&gt;0,AL501,1E+99),IF(AN501&gt;0,AN501,1E+99),IF(AP501&gt;0,AP501,1E+99),IF(AR501&gt;0,AR501,1E+99),IF(AT501&gt;0,AT501,1E+99),IF(AV501&gt;0,AV501,1E+99),IF(AX501&gt;0,AX501,1E+99),IF(AZ501&gt;0,AZ501,1E+99)),IF(m=1E+99,"",m))</x:f>
        <x:v>0.002</x:v>
      </x:c>
      <x:c r="BC501" s="12" t="e">
        <x:f>IF(BB501="","",INDEX({"v1.4.20","v1.4.20","v1.4.21","v1.4.21","v1.4.23","v1.4.23","v1.4.26","v1.4.26","v1.4.26.1","v1.4.26.1","v1.4.27","v1.4.27","v1.4.29","v1.4.29","v1.4.30","v1.4.30","v1.4.31","v1.4.31","v1.4.33","v1.4.33","v1.4.35","v1.4.35.2","v1.5","v1.5.1","v1.5.1"},MATCH(BB501,CHOOSE({1,2,3,4,5,6,7,8,9,10,11,12,13,14,15,16,17,18,19,20,21,22,23,24,25},D501,F501,H501,J501,L501,N501,P501,R501,T501,V501,X501,Z501,AB501,AD501,AF501,AH501,AJ501,AL501,AN501,AP501,AR501,AT501,AV501,AX501,AZ501),0)))</x:f>
      </x:c>
      <x:c r="BD501" s="14" t="n">
        <x:f>LET(m,MIN(IF(E501&gt;0,E501,1E+99),IF(G501&gt;0,G501,1E+99),IF(I501&gt;0,I501,1E+99),IF(K501&gt;0,K501,1E+99),IF(M501&gt;0,M501,1E+99),IF(O501&gt;0,O501,1E+99),IF(Q501&gt;0,Q501,1E+99),IF(S501&gt;0,S501,1E+99),IF(U501&gt;0,U501,1E+99),IF(W501&gt;0,W501,1E+99),IF(Y501&gt;0,Y501,1E+99),IF(AA501&gt;0,AA501,1E+99),IF(AC501&gt;0,AC501,1E+99),IF(AE501&gt;0,AE501,1E+99),IF(AG501&gt;0,AG501,1E+99),IF(AI501&gt;0,AI501,1E+99),IF(AK501&gt;0,AK501,1E+99),IF(AM501&gt;0,AM501,1E+99),IF(AO501&gt;0,AO501,1E+99),IF(AQ501&gt;0,AQ501,1E+99),IF(AS501&gt;0,AS501,1E+99),IF(AU501&gt;0,AU501,1E+99),IF(AW501&gt;0,AW501,1E+99),IF(AY501&gt;0,AY501,1E+99),IF(BA501&gt;0,BA501,1E+99)),IF(m=1E+99,"",m))</x:f>
        <x:v>3.32</x:v>
      </x:c>
      <x:c r="BE501" s="16" t="e">
        <x:f>IF(BD501="","",INDEX({"v1.4.20","v1.4.20","v1.4.21","v1.4.21","v1.4.23","v1.4.23","v1.4.26","v1.4.26","v1.4.26.1","v1.4.26.1","v1.4.27","v1.4.27","v1.4.29","v1.4.29","v1.4.30","v1.4.30","v1.4.31","v1.4.31","v1.4.33","v1.4.33","v1.4.35","v1.4.35.2","v1.5","v1.5.1","v1.5.1"},MATCH(BD501,CHOOSE({1,2,3,4,5,6,7,8,9,10,11,12,13,14,15,16,17,18,19,20,21,22,23,24,25},E501,G501,I501,K501,M501,O501,Q501,S501,U501,W501,Y501,AA501,AC501,AE501,AG501,AI501,AK501,AM501,AO501,AQ501,AS501,AU501,AW501,AY501,BA501),0)))</x:f>
      </x:c>
      <x:c r="BF501" s="10" t="n">
        <x:f>IFERROR((AX501-BB501)/BB501,"")</x:f>
        <x:v>-1</x:v>
      </x:c>
      <x:c r="BG501" s="10" t="n">
        <x:f>IFERROR((AY501-BD501)/BD501,"")</x:f>
        <x:v>-1</x:v>
      </x:c>
    </x:row>
    <x:row r="502">
      <x:c r="A502" t="str"/>
      <x:c r="B502" t="str">
        <x:v>Framework Health Check</x:v>
      </x:c>
      <x:c r="C502" t="str">
        <x:v>Framework Health Check issues detected: 3</x:v>
      </x:c>
      <x:c r="D502" s="8"/>
      <x:c r="E502" s="8"/>
      <x:c r="F502" s="8"/>
      <x:c r="G502" s="8"/>
      <x:c r="H502" s="8"/>
      <x:c r="I502" s="8"/>
      <x:c r="J502" s="8"/>
      <x:c r="K502" s="8"/>
      <x:c r="L502" s="8"/>
      <x:c r="M502" s="8"/>
      <x:c r="N502" s="8"/>
      <x:c r="O502" s="8"/>
      <x:c r="P502" s="8"/>
      <x:c r="Q502" s="8"/>
      <x:c r="R502" s="8"/>
      <x:c r="S502" s="8"/>
      <x:c r="T502" s="8"/>
      <x:c r="U502" s="8"/>
      <x:c r="V502" s="8"/>
      <x:c r="W502" s="8"/>
      <x:c r="X502" s="8" t="n">
        <x:v>0</x:v>
      </x:c>
      <x:c r="Y502" s="8" t="n">
        <x:v>6.936</x:v>
      </x:c>
      <x:c r="Z502" s="8" t="n">
        <x:v>0</x:v>
      </x:c>
      <x:c r="AA502" s="8" t="n">
        <x:v>6.936</x:v>
      </x:c>
      <x:c r="AB502" s="8" t="n">
        <x:v>0</x:v>
      </x:c>
      <x:c r="AC502" s="8" t="n">
        <x:v>8.884</x:v>
      </x:c>
      <x:c r="AD502" s="8" t="n">
        <x:v>0</x:v>
      </x:c>
      <x:c r="AE502" s="8" t="n">
        <x:v>8.884</x:v>
      </x:c>
      <x:c r="AF502" s="8" t="n">
        <x:v>0.001</x:v>
      </x:c>
      <x:c r="AG502" s="8" t="n">
        <x:v>4.007</x:v>
      </x:c>
      <x:c r="AH502" s="8" t="n">
        <x:v>0.001</x:v>
      </x:c>
      <x:c r="AI502" s="8" t="n">
        <x:v>4.007</x:v>
      </x:c>
      <x:c r="AJ502" s="8"/>
      <x:c r="AK502" s="8"/>
      <x:c r="AL502" s="8" t="n">
        <x:v>0.001</x:v>
      </x:c>
      <x:c r="AM502" s="8" t="n">
        <x:v>6.978</x:v>
      </x:c>
      <x:c r="AN502" s="8"/>
      <x:c r="AO502" s="8"/>
      <x:c r="AP502" s="8"/>
      <x:c r="AQ502" s="8"/>
      <x:c r="AR502" s="8"/>
      <x:c r="AS502" s="8"/>
      <x:c r="AT502" s="8"/>
      <x:c r="AU502" s="8"/>
      <x:c r="AV502" s="8"/>
      <x:c r="AW502" s="8"/>
      <x:c r="AX502" s="8"/>
      <x:c r="AY502" s="8"/>
      <x:c r="AZ502" s="8"/>
      <x:c r="BA502" s="8"/>
      <x:c r="BB502" s="8" t="n">
        <x:f>LET(m,MIN(IF(D502&gt;0,D502,1E+99),IF(F502&gt;0,F502,1E+99),IF(H502&gt;0,H502,1E+99),IF(J502&gt;0,J502,1E+99),IF(L502&gt;0,L502,1E+99),IF(N502&gt;0,N502,1E+99),IF(P502&gt;0,P502,1E+99),IF(R502&gt;0,R502,1E+99),IF(T502&gt;0,T502,1E+99),IF(V502&gt;0,V502,1E+99),IF(X502&gt;0,X502,1E+99),IF(Z502&gt;0,Z502,1E+99),IF(AB502&gt;0,AB502,1E+99),IF(AD502&gt;0,AD502,1E+99),IF(AF502&gt;0,AF502,1E+99),IF(AH502&gt;0,AH502,1E+99),IF(AJ502&gt;0,AJ502,1E+99),IF(AL502&gt;0,AL502,1E+99),IF(AN502&gt;0,AN502,1E+99),IF(AP502&gt;0,AP502,1E+99),IF(AR502&gt;0,AR502,1E+99),IF(AT502&gt;0,AT502,1E+99),IF(AV502&gt;0,AV502,1E+99),IF(AX502&gt;0,AX502,1E+99),IF(AZ502&gt;0,AZ502,1E+99)),IF(m=1E+99,"",m))</x:f>
        <x:v>0.001</x:v>
      </x:c>
      <x:c r="BC502" s="12" t="e">
        <x:f>IF(BB502="","",INDEX({"v1.4.20","v1.4.20","v1.4.21","v1.4.21","v1.4.23","v1.4.23","v1.4.26","v1.4.26","v1.4.26.1","v1.4.26.1","v1.4.27","v1.4.27","v1.4.29","v1.4.29","v1.4.30","v1.4.30","v1.4.31","v1.4.31","v1.4.33","v1.4.33","v1.4.35","v1.4.35.2","v1.5","v1.5.1","v1.5.1"},MATCH(BB502,CHOOSE({1,2,3,4,5,6,7,8,9,10,11,12,13,14,15,16,17,18,19,20,21,22,23,24,25},D502,F502,H502,J502,L502,N502,P502,R502,T502,V502,X502,Z502,AB502,AD502,AF502,AH502,AJ502,AL502,AN502,AP502,AR502,AT502,AV502,AX502,AZ502),0)))</x:f>
      </x:c>
      <x:c r="BD502" s="14" t="n">
        <x:f>LET(m,MIN(IF(E502&gt;0,E502,1E+99),IF(G502&gt;0,G502,1E+99),IF(I502&gt;0,I502,1E+99),IF(K502&gt;0,K502,1E+99),IF(M502&gt;0,M502,1E+99),IF(O502&gt;0,O502,1E+99),IF(Q502&gt;0,Q502,1E+99),IF(S502&gt;0,S502,1E+99),IF(U502&gt;0,U502,1E+99),IF(W502&gt;0,W502,1E+99),IF(Y502&gt;0,Y502,1E+99),IF(AA502&gt;0,AA502,1E+99),IF(AC502&gt;0,AC502,1E+99),IF(AE502&gt;0,AE502,1E+99),IF(AG502&gt;0,AG502,1E+99),IF(AI502&gt;0,AI502,1E+99),IF(AK502&gt;0,AK502,1E+99),IF(AM502&gt;0,AM502,1E+99),IF(AO502&gt;0,AO502,1E+99),IF(AQ502&gt;0,AQ502,1E+99),IF(AS502&gt;0,AS502,1E+99),IF(AU502&gt;0,AU502,1E+99),IF(AW502&gt;0,AW502,1E+99),IF(AY502&gt;0,AY502,1E+99),IF(BA502&gt;0,BA502,1E+99)),IF(m=1E+99,"",m))</x:f>
        <x:v>4.007</x:v>
      </x:c>
      <x:c r="BE502" s="16" t="e">
        <x:f>IF(BD502="","",INDEX({"v1.4.20","v1.4.20","v1.4.21","v1.4.21","v1.4.23","v1.4.23","v1.4.26","v1.4.26","v1.4.26.1","v1.4.26.1","v1.4.27","v1.4.27","v1.4.29","v1.4.29","v1.4.30","v1.4.30","v1.4.31","v1.4.31","v1.4.33","v1.4.33","v1.4.35","v1.4.35.2","v1.5","v1.5.1","v1.5.1"},MATCH(BD502,CHOOSE({1,2,3,4,5,6,7,8,9,10,11,12,13,14,15,16,17,18,19,20,21,22,23,24,25},E502,G502,I502,K502,M502,O502,Q502,S502,U502,W502,Y502,AA502,AC502,AE502,AG502,AI502,AK502,AM502,AO502,AQ502,AS502,AU502,AW502,AY502,BA502),0)))</x:f>
      </x:c>
      <x:c r="BF502" s="10" t="n">
        <x:f>IFERROR((AX502-BB502)/BB502,"")</x:f>
        <x:v>-1</x:v>
      </x:c>
      <x:c r="BG502" s="10" t="n">
        <x:f>IFERROR((AY502-BD502)/BD502,"")</x:f>
        <x:v>-1</x:v>
      </x:c>
    </x:row>
    <x:row r="503">
      <x:c r="A503" t="str"/>
      <x:c r="B503" t="str">
        <x:v>Master List Health Check</x:v>
      </x:c>
      <x:c r="C503" t="str">
        <x:v>Start</x:v>
      </x:c>
      <x:c r="D503" s="8"/>
      <x:c r="E503" s="8"/>
      <x:c r="F503" s="8"/>
      <x:c r="G503" s="8"/>
      <x:c r="H503" s="8"/>
      <x:c r="I503" s="8"/>
      <x:c r="J503" s="8"/>
      <x:c r="K503" s="8"/>
      <x:c r="L503" s="8"/>
      <x:c r="M503" s="8"/>
      <x:c r="N503" s="8"/>
      <x:c r="O503" s="8"/>
      <x:c r="P503" s="8"/>
      <x:c r="Q503" s="8"/>
      <x:c r="R503" s="8"/>
      <x:c r="S503" s="8"/>
      <x:c r="T503" s="8"/>
      <x:c r="U503" s="8"/>
      <x:c r="V503" s="8" t="n">
        <x:v>0</x:v>
      </x:c>
      <x:c r="W503" s="8" t="n">
        <x:v>0</x:v>
      </x:c>
      <x:c r="X503" s="8"/>
      <x:c r="Y503" s="8"/>
      <x:c r="Z503" s="8"/>
      <x:c r="AA503" s="8"/>
      <x:c r="AB503" s="8"/>
      <x:c r="AC503" s="8"/>
      <x:c r="AD503" s="8"/>
      <x:c r="AE503" s="8"/>
      <x:c r="AF503" s="8"/>
      <x:c r="AG503" s="8"/>
      <x:c r="AH503" s="8"/>
      <x:c r="AI503" s="8"/>
      <x:c r="AJ503" s="8"/>
      <x:c r="AK503" s="8"/>
      <x:c r="AL503" s="8"/>
      <x:c r="AM503" s="8"/>
      <x:c r="AN503" s="8" t="n">
        <x:v>0</x:v>
      </x:c>
      <x:c r="AO503" s="8" t="n">
        <x:v>0</x:v>
      </x:c>
      <x:c r="AP503" s="8"/>
      <x:c r="AQ503" s="8"/>
      <x:c r="AR503" s="8"/>
      <x:c r="AS503" s="8"/>
      <x:c r="AT503" s="8" t="n">
        <x:v>0</x:v>
      </x:c>
      <x:c r="AU503" s="8" t="n">
        <x:v>0</x:v>
      </x:c>
      <x:c r="AV503" s="8"/>
      <x:c r="AW503" s="8"/>
      <x:c r="AX503" s="8" t="n">
        <x:v>0</x:v>
      </x:c>
      <x:c r="AY503" s="8" t="n">
        <x:v>0</x:v>
      </x:c>
      <x:c r="AZ503" s="8"/>
      <x:c r="BA503" s="8"/>
      <x:c r="BB503" s="8" t="str">
        <x:f>LET(m,MIN(IF(D503&gt;0,D503,1E+99),IF(F503&gt;0,F503,1E+99),IF(H503&gt;0,H503,1E+99),IF(J503&gt;0,J503,1E+99),IF(L503&gt;0,L503,1E+99),IF(N503&gt;0,N503,1E+99),IF(P503&gt;0,P503,1E+99),IF(R503&gt;0,R503,1E+99),IF(T503&gt;0,T503,1E+99),IF(V503&gt;0,V503,1E+99),IF(X503&gt;0,X503,1E+99),IF(Z503&gt;0,Z503,1E+99),IF(AB503&gt;0,AB503,1E+99),IF(AD503&gt;0,AD503,1E+99),IF(AF503&gt;0,AF503,1E+99),IF(AH503&gt;0,AH503,1E+99),IF(AJ503&gt;0,AJ503,1E+99),IF(AL503&gt;0,AL503,1E+99),IF(AN503&gt;0,AN503,1E+99),IF(AP503&gt;0,AP503,1E+99),IF(AR503&gt;0,AR503,1E+99),IF(AT503&gt;0,AT503,1E+99),IF(AV503&gt;0,AV503,1E+99),IF(AX503&gt;0,AX503,1E+99),IF(AZ503&gt;0,AZ503,1E+99)),IF(m=1E+99,"",m))</x:f>
      </x:c>
      <x:c r="BC503" s="12" t="str">
        <x:f>IF(BB503="","",INDEX({"v1.4.20","v1.4.20","v1.4.21","v1.4.21","v1.4.23","v1.4.23","v1.4.26","v1.4.26","v1.4.26.1","v1.4.26.1","v1.4.27","v1.4.27","v1.4.29","v1.4.29","v1.4.30","v1.4.30","v1.4.31","v1.4.31","v1.4.33","v1.4.33","v1.4.35","v1.4.35.2","v1.5","v1.5.1","v1.5.1"},MATCH(BB503,CHOOSE({1,2,3,4,5,6,7,8,9,10,11,12,13,14,15,16,17,18,19,20,21,22,23,24,25},D503,F503,H503,J503,L503,N503,P503,R503,T503,V503,X503,Z503,AB503,AD503,AF503,AH503,AJ503,AL503,AN503,AP503,AR503,AT503,AV503,AX503,AZ503),0)))</x:f>
      </x:c>
      <x:c r="BD503" s="14" t="str">
        <x:f>LET(m,MIN(IF(E503&gt;0,E503,1E+99),IF(G503&gt;0,G503,1E+99),IF(I503&gt;0,I503,1E+99),IF(K503&gt;0,K503,1E+99),IF(M503&gt;0,M503,1E+99),IF(O503&gt;0,O503,1E+99),IF(Q503&gt;0,Q503,1E+99),IF(S503&gt;0,S503,1E+99),IF(U503&gt;0,U503,1E+99),IF(W503&gt;0,W503,1E+99),IF(Y503&gt;0,Y503,1E+99),IF(AA503&gt;0,AA503,1E+99),IF(AC503&gt;0,AC503,1E+99),IF(AE503&gt;0,AE503,1E+99),IF(AG503&gt;0,AG503,1E+99),IF(AI503&gt;0,AI503,1E+99),IF(AK503&gt;0,AK503,1E+99),IF(AM503&gt;0,AM503,1E+99),IF(AO503&gt;0,AO503,1E+99),IF(AQ503&gt;0,AQ503,1E+99),IF(AS503&gt;0,AS503,1E+99),IF(AU503&gt;0,AU503,1E+99),IF(AW503&gt;0,AW503,1E+99),IF(AY503&gt;0,AY503,1E+99),IF(BA503&gt;0,BA503,1E+99)),IF(m=1E+99,"",m))</x:f>
      </x:c>
      <x:c r="BE503" s="16" t="str">
        <x:f>IF(BD503="","",INDEX({"v1.4.20","v1.4.20","v1.4.21","v1.4.21","v1.4.23","v1.4.23","v1.4.26","v1.4.26","v1.4.26.1","v1.4.26.1","v1.4.27","v1.4.27","v1.4.29","v1.4.29","v1.4.30","v1.4.30","v1.4.31","v1.4.31","v1.4.33","v1.4.33","v1.4.35","v1.4.35.2","v1.5","v1.5.1","v1.5.1"},MATCH(BD503,CHOOSE({1,2,3,4,5,6,7,8,9,10,11,12,13,14,15,16,17,18,19,20,21,22,23,24,25},E503,G503,I503,K503,M503,O503,Q503,S503,U503,W503,Y503,AA503,AC503,AE503,AG503,AI503,AK503,AM503,AO503,AQ503,AS503,AU503,AW503,AY503,BA503),0)))</x:f>
      </x:c>
      <x:c r="BF503" s="10" t="str">
        <x:f>IFERROR((AX503-BB503)/BB503,"")</x:f>
      </x:c>
      <x:c r="BG503" s="10" t="str">
        <x:f>IFERROR((AY503-BD503)/BD503,"")</x:f>
      </x:c>
    </x:row>
    <x:row r="504">
      <x:c r="A504" t="str"/>
      <x:c r="B504" t="str">
        <x:v>Master List Health Check</x:v>
      </x:c>
      <x:c r="C504" t="str">
        <x:v>Dashboard Quality Section K saved</x:v>
      </x:c>
      <x:c r="D504" s="8"/>
      <x:c r="E504" s="8"/>
      <x:c r="F504" s="8"/>
      <x:c r="G504" s="8"/>
      <x:c r="H504" s="8"/>
      <x:c r="I504" s="8"/>
      <x:c r="J504" s="8"/>
      <x:c r="K504" s="8"/>
      <x:c r="L504" s="8"/>
      <x:c r="M504" s="8"/>
      <x:c r="N504" s="8"/>
      <x:c r="O504" s="8"/>
      <x:c r="P504" s="8"/>
      <x:c r="Q504" s="8"/>
      <x:c r="R504" s="8"/>
      <x:c r="S504" s="8"/>
      <x:c r="T504" s="8"/>
      <x:c r="U504" s="8"/>
      <x:c r="V504" s="8" t="n">
        <x:v>5.118</x:v>
      </x:c>
      <x:c r="W504" s="8" t="n">
        <x:v>5.118</x:v>
      </x:c>
      <x:c r="X504" s="8"/>
      <x:c r="Y504" s="8"/>
      <x:c r="Z504" s="8"/>
      <x:c r="AA504" s="8"/>
      <x:c r="AB504" s="8"/>
      <x:c r="AC504" s="8"/>
      <x:c r="AD504" s="8"/>
      <x:c r="AE504" s="8"/>
      <x:c r="AF504" s="8"/>
      <x:c r="AG504" s="8"/>
      <x:c r="AH504" s="8"/>
      <x:c r="AI504" s="8"/>
      <x:c r="AJ504" s="8"/>
      <x:c r="AK504" s="8"/>
      <x:c r="AL504" s="8"/>
      <x:c r="AM504" s="8"/>
      <x:c r="AN504" s="8" t="n">
        <x:v>6.548</x:v>
      </x:c>
      <x:c r="AO504" s="8" t="n">
        <x:v>6.548</x:v>
      </x:c>
      <x:c r="AP504" s="8"/>
      <x:c r="AQ504" s="8"/>
      <x:c r="AR504" s="8"/>
      <x:c r="AS504" s="8"/>
      <x:c r="AT504" s="8" t="n">
        <x:v>6.107</x:v>
      </x:c>
      <x:c r="AU504" s="8" t="n">
        <x:v>6.107</x:v>
      </x:c>
      <x:c r="AV504" s="8"/>
      <x:c r="AW504" s="8"/>
      <x:c r="AX504" s="8" t="n">
        <x:v>6.395</x:v>
      </x:c>
      <x:c r="AY504" s="8" t="n">
        <x:v>6.395</x:v>
      </x:c>
      <x:c r="AZ504" s="8"/>
      <x:c r="BA504" s="8"/>
      <x:c r="BB504" s="8" t="n">
        <x:f>LET(m,MIN(IF(D504&gt;0,D504,1E+99),IF(F504&gt;0,F504,1E+99),IF(H504&gt;0,H504,1E+99),IF(J504&gt;0,J504,1E+99),IF(L504&gt;0,L504,1E+99),IF(N504&gt;0,N504,1E+99),IF(P504&gt;0,P504,1E+99),IF(R504&gt;0,R504,1E+99),IF(T504&gt;0,T504,1E+99),IF(V504&gt;0,V504,1E+99),IF(X504&gt;0,X504,1E+99),IF(Z504&gt;0,Z504,1E+99),IF(AB504&gt;0,AB504,1E+99),IF(AD504&gt;0,AD504,1E+99),IF(AF504&gt;0,AF504,1E+99),IF(AH504&gt;0,AH504,1E+99),IF(AJ504&gt;0,AJ504,1E+99),IF(AL504&gt;0,AL504,1E+99),IF(AN504&gt;0,AN504,1E+99),IF(AP504&gt;0,AP504,1E+99),IF(AR504&gt;0,AR504,1E+99),IF(AT504&gt;0,AT504,1E+99),IF(AV504&gt;0,AV504,1E+99),IF(AX504&gt;0,AX504,1E+99),IF(AZ504&gt;0,AZ504,1E+99)),IF(m=1E+99,"",m))</x:f>
        <x:v>5.118</x:v>
      </x:c>
      <x:c r="BC504" s="12" t="e">
        <x:f>IF(BB504="","",INDEX({"v1.4.20","v1.4.20","v1.4.21","v1.4.21","v1.4.23","v1.4.23","v1.4.26","v1.4.26","v1.4.26.1","v1.4.26.1","v1.4.27","v1.4.27","v1.4.29","v1.4.29","v1.4.30","v1.4.30","v1.4.31","v1.4.31","v1.4.33","v1.4.33","v1.4.35","v1.4.35.2","v1.5","v1.5.1","v1.5.1"},MATCH(BB504,CHOOSE({1,2,3,4,5,6,7,8,9,10,11,12,13,14,15,16,17,18,19,20,21,22,23,24,25},D504,F504,H504,J504,L504,N504,P504,R504,T504,V504,X504,Z504,AB504,AD504,AF504,AH504,AJ504,AL504,AN504,AP504,AR504,AT504,AV504,AX504,AZ504),0)))</x:f>
      </x:c>
      <x:c r="BD504" s="14" t="n">
        <x:f>LET(m,MIN(IF(E504&gt;0,E504,1E+99),IF(G504&gt;0,G504,1E+99),IF(I504&gt;0,I504,1E+99),IF(K504&gt;0,K504,1E+99),IF(M504&gt;0,M504,1E+99),IF(O504&gt;0,O504,1E+99),IF(Q504&gt;0,Q504,1E+99),IF(S504&gt;0,S504,1E+99),IF(U504&gt;0,U504,1E+99),IF(W504&gt;0,W504,1E+99),IF(Y504&gt;0,Y504,1E+99),IF(AA504&gt;0,AA504,1E+99),IF(AC504&gt;0,AC504,1E+99),IF(AE504&gt;0,AE504,1E+99),IF(AG504&gt;0,AG504,1E+99),IF(AI504&gt;0,AI504,1E+99),IF(AK504&gt;0,AK504,1E+99),IF(AM504&gt;0,AM504,1E+99),IF(AO504&gt;0,AO504,1E+99),IF(AQ504&gt;0,AQ504,1E+99),IF(AS504&gt;0,AS504,1E+99),IF(AU504&gt;0,AU504,1E+99),IF(AW504&gt;0,AW504,1E+99),IF(AY504&gt;0,AY504,1E+99),IF(BA504&gt;0,BA504,1E+99)),IF(m=1E+99,"",m))</x:f>
        <x:v>5.118</x:v>
      </x:c>
      <x:c r="BE504" s="16" t="e">
        <x:f>IF(BD504="","",INDEX({"v1.4.20","v1.4.20","v1.4.21","v1.4.21","v1.4.23","v1.4.23","v1.4.26","v1.4.26","v1.4.26.1","v1.4.26.1","v1.4.27","v1.4.27","v1.4.29","v1.4.29","v1.4.30","v1.4.30","v1.4.31","v1.4.31","v1.4.33","v1.4.33","v1.4.35","v1.4.35.2","v1.5","v1.5.1","v1.5.1"},MATCH(BD504,CHOOSE({1,2,3,4,5,6,7,8,9,10,11,12,13,14,15,16,17,18,19,20,21,22,23,24,25},E504,G504,I504,K504,M504,O504,Q504,S504,U504,W504,Y504,AA504,AC504,AE504,AG504,AI504,AK504,AM504,AO504,AQ504,AS504,AU504,AW504,AY504,BA504),0)))</x:f>
      </x:c>
      <x:c r="BF504" s="10" t="n">
        <x:f>IFERROR((AX504-BB504)/BB504,"")</x:f>
        <x:v>0.24951152794060164</x:v>
      </x:c>
      <x:c r="BG504" s="10" t="n">
        <x:f>IFERROR((AY504-BD504)/BD504,"")</x:f>
        <x:v>0.24951152794060164</x:v>
      </x:c>
    </x:row>
    <x:row r="505">
      <x:c r="A505" t="str"/>
      <x:c r="B505" t="str">
        <x:v>Master List Health Check</x:v>
      </x:c>
      <x:c r="C505" t="str">
        <x:v>Complete</x:v>
      </x:c>
      <x:c r="D505" s="8"/>
      <x:c r="E505" s="8"/>
      <x:c r="F505" s="8"/>
      <x:c r="G505" s="8"/>
      <x:c r="H505" s="8"/>
      <x:c r="I505" s="8"/>
      <x:c r="J505" s="8"/>
      <x:c r="K505" s="8"/>
      <x:c r="L505" s="8"/>
      <x:c r="M505" s="8"/>
      <x:c r="N505" s="8"/>
      <x:c r="O505" s="8"/>
      <x:c r="P505" s="8"/>
      <x:c r="Q505" s="8"/>
      <x:c r="R505" s="8"/>
      <x:c r="S505" s="8"/>
      <x:c r="T505" s="8"/>
      <x:c r="U505" s="8"/>
      <x:c r="V505" s="8" t="n">
        <x:v>0</x:v>
      </x:c>
      <x:c r="W505" s="8" t="n">
        <x:v>5.118</x:v>
      </x:c>
      <x:c r="X505" s="8"/>
      <x:c r="Y505" s="8"/>
      <x:c r="Z505" s="8"/>
      <x:c r="AA505" s="8"/>
      <x:c r="AB505" s="8"/>
      <x:c r="AC505" s="8"/>
      <x:c r="AD505" s="8"/>
      <x:c r="AE505" s="8"/>
      <x:c r="AF505" s="8"/>
      <x:c r="AG505" s="8"/>
      <x:c r="AH505" s="8"/>
      <x:c r="AI505" s="8"/>
      <x:c r="AJ505" s="8"/>
      <x:c r="AK505" s="8"/>
      <x:c r="AL505" s="8"/>
      <x:c r="AM505" s="8"/>
      <x:c r="AN505" s="8" t="n">
        <x:v>0</x:v>
      </x:c>
      <x:c r="AO505" s="8" t="n">
        <x:v>6.548</x:v>
      </x:c>
      <x:c r="AP505" s="8"/>
      <x:c r="AQ505" s="8"/>
      <x:c r="AR505" s="8"/>
      <x:c r="AS505" s="8"/>
      <x:c r="AT505" s="8" t="n">
        <x:v>0</x:v>
      </x:c>
      <x:c r="AU505" s="8" t="n">
        <x:v>6.107</x:v>
      </x:c>
      <x:c r="AV505" s="8"/>
      <x:c r="AW505" s="8"/>
      <x:c r="AX505" s="8" t="n">
        <x:v>0</x:v>
      </x:c>
      <x:c r="AY505" s="8" t="n">
        <x:v>6.395</x:v>
      </x:c>
      <x:c r="AZ505" s="8"/>
      <x:c r="BA505" s="8"/>
      <x:c r="BB505" s="8" t="str">
        <x:f>LET(m,MIN(IF(D505&gt;0,D505,1E+99),IF(F505&gt;0,F505,1E+99),IF(H505&gt;0,H505,1E+99),IF(J505&gt;0,J505,1E+99),IF(L505&gt;0,L505,1E+99),IF(N505&gt;0,N505,1E+99),IF(P505&gt;0,P505,1E+99),IF(R505&gt;0,R505,1E+99),IF(T505&gt;0,T505,1E+99),IF(V505&gt;0,V505,1E+99),IF(X505&gt;0,X505,1E+99),IF(Z505&gt;0,Z505,1E+99),IF(AB505&gt;0,AB505,1E+99),IF(AD505&gt;0,AD505,1E+99),IF(AF505&gt;0,AF505,1E+99),IF(AH505&gt;0,AH505,1E+99),IF(AJ505&gt;0,AJ505,1E+99),IF(AL505&gt;0,AL505,1E+99),IF(AN505&gt;0,AN505,1E+99),IF(AP505&gt;0,AP505,1E+99),IF(AR505&gt;0,AR505,1E+99),IF(AT505&gt;0,AT505,1E+99),IF(AV505&gt;0,AV505,1E+99),IF(AX505&gt;0,AX505,1E+99),IF(AZ505&gt;0,AZ505,1E+99)),IF(m=1E+99,"",m))</x:f>
      </x:c>
      <x:c r="BC505" s="12" t="str">
        <x:f>IF(BB505="","",INDEX({"v1.4.20","v1.4.20","v1.4.21","v1.4.21","v1.4.23","v1.4.23","v1.4.26","v1.4.26","v1.4.26.1","v1.4.26.1","v1.4.27","v1.4.27","v1.4.29","v1.4.29","v1.4.30","v1.4.30","v1.4.31","v1.4.31","v1.4.33","v1.4.33","v1.4.35","v1.4.35.2","v1.5","v1.5.1","v1.5.1"},MATCH(BB505,CHOOSE({1,2,3,4,5,6,7,8,9,10,11,12,13,14,15,16,17,18,19,20,21,22,23,24,25},D505,F505,H505,J505,L505,N505,P505,R505,T505,V505,X505,Z505,AB505,AD505,AF505,AH505,AJ505,AL505,AN505,AP505,AR505,AT505,AV505,AX505,AZ505),0)))</x:f>
      </x:c>
      <x:c r="BD505" s="14" t="n">
        <x:f>LET(m,MIN(IF(E505&gt;0,E505,1E+99),IF(G505&gt;0,G505,1E+99),IF(I505&gt;0,I505,1E+99),IF(K505&gt;0,K505,1E+99),IF(M505&gt;0,M505,1E+99),IF(O505&gt;0,O505,1E+99),IF(Q505&gt;0,Q505,1E+99),IF(S505&gt;0,S505,1E+99),IF(U505&gt;0,U505,1E+99),IF(W505&gt;0,W505,1E+99),IF(Y505&gt;0,Y505,1E+99),IF(AA505&gt;0,AA505,1E+99),IF(AC505&gt;0,AC505,1E+99),IF(AE505&gt;0,AE505,1E+99),IF(AG505&gt;0,AG505,1E+99),IF(AI505&gt;0,AI505,1E+99),IF(AK505&gt;0,AK505,1E+99),IF(AM505&gt;0,AM505,1E+99),IF(AO505&gt;0,AO505,1E+99),IF(AQ505&gt;0,AQ505,1E+99),IF(AS505&gt;0,AS505,1E+99),IF(AU505&gt;0,AU505,1E+99),IF(AW505&gt;0,AW505,1E+99),IF(AY505&gt;0,AY505,1E+99),IF(BA505&gt;0,BA505,1E+99)),IF(m=1E+99,"",m))</x:f>
        <x:v>5.118</x:v>
      </x:c>
      <x:c r="BE505" s="16" t="e">
        <x:f>IF(BD505="","",INDEX({"v1.4.20","v1.4.20","v1.4.21","v1.4.21","v1.4.23","v1.4.23","v1.4.26","v1.4.26","v1.4.26.1","v1.4.26.1","v1.4.27","v1.4.27","v1.4.29","v1.4.29","v1.4.30","v1.4.30","v1.4.31","v1.4.31","v1.4.33","v1.4.33","v1.4.35","v1.4.35.2","v1.5","v1.5.1","v1.5.1"},MATCH(BD505,CHOOSE({1,2,3,4,5,6,7,8,9,10,11,12,13,14,15,16,17,18,19,20,21,22,23,24,25},E505,G505,I505,K505,M505,O505,Q505,S505,U505,W505,Y505,AA505,AC505,AE505,AG505,AI505,AK505,AM505,AO505,AQ505,AS505,AU505,AW505,AY505,BA505),0)))</x:f>
      </x:c>
      <x:c r="BF505" s="10" t="str">
        <x:f>IFERROR((AX505-BB505)/BB505,"")</x:f>
      </x:c>
      <x:c r="BG505" s="10" t="n">
        <x:f>IFERROR((AY505-BD505)/BD505,"")</x:f>
        <x:v>0.24951152794060164</x:v>
      </x:c>
    </x:row>
    <x:row r="506">
      <x:c r="A506" t="str"/>
      <x:c r="B506" t="str">
        <x:v>Care Plan Sync Diagnostics</x:v>
      </x:c>
      <x:c r="C506" t="str">
        <x:v>Start</x:v>
      </x:c>
      <x:c r="D506" s="8"/>
      <x:c r="E506" s="8"/>
      <x:c r="F506" s="8"/>
      <x:c r="G506" s="8"/>
      <x:c r="H506" s="8"/>
      <x:c r="I506" s="8"/>
      <x:c r="J506" s="8"/>
      <x:c r="K506" s="8"/>
      <x:c r="L506" s="8"/>
      <x:c r="M506" s="8"/>
      <x:c r="N506" s="8"/>
      <x:c r="O506" s="8"/>
      <x:c r="P506" s="8"/>
      <x:c r="Q506" s="8"/>
      <x:c r="R506" s="8"/>
      <x:c r="S506" s="8"/>
      <x:c r="T506" s="8"/>
      <x:c r="U506" s="8"/>
      <x:c r="V506" s="8" t="n">
        <x:v>0</x:v>
      </x:c>
      <x:c r="W506" s="8" t="n">
        <x:v>0</x:v>
      </x:c>
      <x:c r="X506" s="8"/>
      <x:c r="Y506" s="8"/>
      <x:c r="Z506" s="8"/>
      <x:c r="AA506" s="8"/>
      <x:c r="AB506" s="8"/>
      <x:c r="AC506" s="8"/>
      <x:c r="AD506" s="8"/>
      <x:c r="AE506" s="8"/>
      <x:c r="AF506" s="8"/>
      <x:c r="AG506" s="8"/>
      <x:c r="AH506" s="8"/>
      <x:c r="AI506" s="8"/>
      <x:c r="AJ506" s="8"/>
      <x:c r="AK506" s="8"/>
      <x:c r="AL506" s="8"/>
      <x:c r="AM506" s="8"/>
      <x:c r="AN506" s="8" t="n">
        <x:v>0</x:v>
      </x:c>
      <x:c r="AO506" s="8" t="n">
        <x:v>0</x:v>
      </x:c>
      <x:c r="AP506" s="8"/>
      <x:c r="AQ506" s="8"/>
      <x:c r="AR506" s="8"/>
      <x:c r="AS506" s="8"/>
      <x:c r="AT506" s="8" t="n">
        <x:v>0</x:v>
      </x:c>
      <x:c r="AU506" s="8" t="n">
        <x:v>0</x:v>
      </x:c>
      <x:c r="AV506" s="8"/>
      <x:c r="AW506" s="8"/>
      <x:c r="AX506" s="8" t="n">
        <x:v>0.001</x:v>
      </x:c>
      <x:c r="AY506" s="8" t="n">
        <x:v>0.001</x:v>
      </x:c>
      <x:c r="AZ506" s="8"/>
      <x:c r="BA506" s="8"/>
      <x:c r="BB506" s="8" t="n">
        <x:f>LET(m,MIN(IF(D506&gt;0,D506,1E+99),IF(F506&gt;0,F506,1E+99),IF(H506&gt;0,H506,1E+99),IF(J506&gt;0,J506,1E+99),IF(L506&gt;0,L506,1E+99),IF(N506&gt;0,N506,1E+99),IF(P506&gt;0,P506,1E+99),IF(R506&gt;0,R506,1E+99),IF(T506&gt;0,T506,1E+99),IF(V506&gt;0,V506,1E+99),IF(X506&gt;0,X506,1E+99),IF(Z506&gt;0,Z506,1E+99),IF(AB506&gt;0,AB506,1E+99),IF(AD506&gt;0,AD506,1E+99),IF(AF506&gt;0,AF506,1E+99),IF(AH506&gt;0,AH506,1E+99),IF(AJ506&gt;0,AJ506,1E+99),IF(AL506&gt;0,AL506,1E+99),IF(AN506&gt;0,AN506,1E+99),IF(AP506&gt;0,AP506,1E+99),IF(AR506&gt;0,AR506,1E+99),IF(AT506&gt;0,AT506,1E+99),IF(AV506&gt;0,AV506,1E+99),IF(AX506&gt;0,AX506,1E+99),IF(AZ506&gt;0,AZ506,1E+99)),IF(m=1E+99,"",m))</x:f>
        <x:v>0.001</x:v>
      </x:c>
      <x:c r="BC506" s="12" t="e">
        <x:f>IF(BB506="","",INDEX({"v1.4.20","v1.4.20","v1.4.21","v1.4.21","v1.4.23","v1.4.23","v1.4.26","v1.4.26","v1.4.26.1","v1.4.26.1","v1.4.27","v1.4.27","v1.4.29","v1.4.29","v1.4.30","v1.4.30","v1.4.31","v1.4.31","v1.4.33","v1.4.33","v1.4.35","v1.4.35.2","v1.5","v1.5.1","v1.5.1"},MATCH(BB506,CHOOSE({1,2,3,4,5,6,7,8,9,10,11,12,13,14,15,16,17,18,19,20,21,22,23,24,25},D506,F506,H506,J506,L506,N506,P506,R506,T506,V506,X506,Z506,AB506,AD506,AF506,AH506,AJ506,AL506,AN506,AP506,AR506,AT506,AV506,AX506,AZ506),0)))</x:f>
      </x:c>
      <x:c r="BD506" s="14" t="n">
        <x:f>LET(m,MIN(IF(E506&gt;0,E506,1E+99),IF(G506&gt;0,G506,1E+99),IF(I506&gt;0,I506,1E+99),IF(K506&gt;0,K506,1E+99),IF(M506&gt;0,M506,1E+99),IF(O506&gt;0,O506,1E+99),IF(Q506&gt;0,Q506,1E+99),IF(S506&gt;0,S506,1E+99),IF(U506&gt;0,U506,1E+99),IF(W506&gt;0,W506,1E+99),IF(Y506&gt;0,Y506,1E+99),IF(AA506&gt;0,AA506,1E+99),IF(AC506&gt;0,AC506,1E+99),IF(AE506&gt;0,AE506,1E+99),IF(AG506&gt;0,AG506,1E+99),IF(AI506&gt;0,AI506,1E+99),IF(AK506&gt;0,AK506,1E+99),IF(AM506&gt;0,AM506,1E+99),IF(AO506&gt;0,AO506,1E+99),IF(AQ506&gt;0,AQ506,1E+99),IF(AS506&gt;0,AS506,1E+99),IF(AU506&gt;0,AU506,1E+99),IF(AW506&gt;0,AW506,1E+99),IF(AY506&gt;0,AY506,1E+99),IF(BA506&gt;0,BA506,1E+99)),IF(m=1E+99,"",m))</x:f>
        <x:v>0.001</x:v>
      </x:c>
      <x:c r="BE506" s="16" t="e">
        <x:f>IF(BD506="","",INDEX({"v1.4.20","v1.4.20","v1.4.21","v1.4.21","v1.4.23","v1.4.23","v1.4.26","v1.4.26","v1.4.26.1","v1.4.26.1","v1.4.27","v1.4.27","v1.4.29","v1.4.29","v1.4.30","v1.4.30","v1.4.31","v1.4.31","v1.4.33","v1.4.33","v1.4.35","v1.4.35.2","v1.5","v1.5.1","v1.5.1"},MATCH(BD506,CHOOSE({1,2,3,4,5,6,7,8,9,10,11,12,13,14,15,16,17,18,19,20,21,22,23,24,25},E506,G506,I506,K506,M506,O506,Q506,S506,U506,W506,Y506,AA506,AC506,AE506,AG506,AI506,AK506,AM506,AO506,AQ506,AS506,AU506,AW506,AY506,BA506),0)))</x:f>
      </x:c>
      <x:c r="BF506" s="10" t="n">
        <x:f>IFERROR((AX506-BB506)/BB506,"")</x:f>
        <x:v>0</x:v>
      </x:c>
      <x:c r="BG506" s="10" t="n">
        <x:f>IFERROR((AY506-BD506)/BD506,"")</x:f>
        <x:v>0</x:v>
      </x:c>
    </x:row>
    <x:row r="507">
      <x:c r="A507" t="str"/>
      <x:c r="B507" t="str">
        <x:v>Care Plan Sync Diagnostics</x:v>
      </x:c>
      <x:c r="C507" t="str">
        <x:v>Dashboard Quality Section L saved</x:v>
      </x:c>
      <x:c r="D507" s="8"/>
      <x:c r="E507" s="8"/>
      <x:c r="F507" s="8"/>
      <x:c r="G507" s="8"/>
      <x:c r="H507" s="8"/>
      <x:c r="I507" s="8"/>
      <x:c r="J507" s="8"/>
      <x:c r="K507" s="8"/>
      <x:c r="L507" s="8"/>
      <x:c r="M507" s="8"/>
      <x:c r="N507" s="8"/>
      <x:c r="O507" s="8"/>
      <x:c r="P507" s="8"/>
      <x:c r="Q507" s="8"/>
      <x:c r="R507" s="8"/>
      <x:c r="S507" s="8"/>
      <x:c r="T507" s="8"/>
      <x:c r="U507" s="8"/>
      <x:c r="V507" s="8" t="n">
        <x:v>6.944</x:v>
      </x:c>
      <x:c r="W507" s="8" t="n">
        <x:v>6.944</x:v>
      </x:c>
      <x:c r="X507" s="8"/>
      <x:c r="Y507" s="8"/>
      <x:c r="Z507" s="8"/>
      <x:c r="AA507" s="8"/>
      <x:c r="AB507" s="8"/>
      <x:c r="AC507" s="8"/>
      <x:c r="AD507" s="8"/>
      <x:c r="AE507" s="8"/>
      <x:c r="AF507" s="8"/>
      <x:c r="AG507" s="8"/>
      <x:c r="AH507" s="8"/>
      <x:c r="AI507" s="8"/>
      <x:c r="AJ507" s="8"/>
      <x:c r="AK507" s="8"/>
      <x:c r="AL507" s="8"/>
      <x:c r="AM507" s="8"/>
      <x:c r="AN507" s="8" t="n">
        <x:v>6.677</x:v>
      </x:c>
      <x:c r="AO507" s="8" t="n">
        <x:v>6.677</x:v>
      </x:c>
      <x:c r="AP507" s="8"/>
      <x:c r="AQ507" s="8"/>
      <x:c r="AR507" s="8"/>
      <x:c r="AS507" s="8"/>
      <x:c r="AT507" s="8" t="n">
        <x:v>5.46</x:v>
      </x:c>
      <x:c r="AU507" s="8" t="n">
        <x:v>5.46</x:v>
      </x:c>
      <x:c r="AV507" s="8"/>
      <x:c r="AW507" s="8"/>
      <x:c r="AX507" s="8" t="n">
        <x:v>6.584</x:v>
      </x:c>
      <x:c r="AY507" s="8" t="n">
        <x:v>6.585</x:v>
      </x:c>
      <x:c r="AZ507" s="8"/>
      <x:c r="BA507" s="8"/>
      <x:c r="BB507" s="8" t="n">
        <x:f>LET(m,MIN(IF(D507&gt;0,D507,1E+99),IF(F507&gt;0,F507,1E+99),IF(H507&gt;0,H507,1E+99),IF(J507&gt;0,J507,1E+99),IF(L507&gt;0,L507,1E+99),IF(N507&gt;0,N507,1E+99),IF(P507&gt;0,P507,1E+99),IF(R507&gt;0,R507,1E+99),IF(T507&gt;0,T507,1E+99),IF(V507&gt;0,V507,1E+99),IF(X507&gt;0,X507,1E+99),IF(Z507&gt;0,Z507,1E+99),IF(AB507&gt;0,AB507,1E+99),IF(AD507&gt;0,AD507,1E+99),IF(AF507&gt;0,AF507,1E+99),IF(AH507&gt;0,AH507,1E+99),IF(AJ507&gt;0,AJ507,1E+99),IF(AL507&gt;0,AL507,1E+99),IF(AN507&gt;0,AN507,1E+99),IF(AP507&gt;0,AP507,1E+99),IF(AR507&gt;0,AR507,1E+99),IF(AT507&gt;0,AT507,1E+99),IF(AV507&gt;0,AV507,1E+99),IF(AX507&gt;0,AX507,1E+99),IF(AZ507&gt;0,AZ507,1E+99)),IF(m=1E+99,"",m))</x:f>
        <x:v>5.46</x:v>
      </x:c>
      <x:c r="BC507" s="12" t="e">
        <x:f>IF(BB507="","",INDEX({"v1.4.20","v1.4.20","v1.4.21","v1.4.21","v1.4.23","v1.4.23","v1.4.26","v1.4.26","v1.4.26.1","v1.4.26.1","v1.4.27","v1.4.27","v1.4.29","v1.4.29","v1.4.30","v1.4.30","v1.4.31","v1.4.31","v1.4.33","v1.4.33","v1.4.35","v1.4.35.2","v1.5","v1.5.1","v1.5.1"},MATCH(BB507,CHOOSE({1,2,3,4,5,6,7,8,9,10,11,12,13,14,15,16,17,18,19,20,21,22,23,24,25},D507,F507,H507,J507,L507,N507,P507,R507,T507,V507,X507,Z507,AB507,AD507,AF507,AH507,AJ507,AL507,AN507,AP507,AR507,AT507,AV507,AX507,AZ507),0)))</x:f>
      </x:c>
      <x:c r="BD507" s="14" t="n">
        <x:f>LET(m,MIN(IF(E507&gt;0,E507,1E+99),IF(G507&gt;0,G507,1E+99),IF(I507&gt;0,I507,1E+99),IF(K507&gt;0,K507,1E+99),IF(M507&gt;0,M507,1E+99),IF(O507&gt;0,O507,1E+99),IF(Q507&gt;0,Q507,1E+99),IF(S507&gt;0,S507,1E+99),IF(U507&gt;0,U507,1E+99),IF(W507&gt;0,W507,1E+99),IF(Y507&gt;0,Y507,1E+99),IF(AA507&gt;0,AA507,1E+99),IF(AC507&gt;0,AC507,1E+99),IF(AE507&gt;0,AE507,1E+99),IF(AG507&gt;0,AG507,1E+99),IF(AI507&gt;0,AI507,1E+99),IF(AK507&gt;0,AK507,1E+99),IF(AM507&gt;0,AM507,1E+99),IF(AO507&gt;0,AO507,1E+99),IF(AQ507&gt;0,AQ507,1E+99),IF(AS507&gt;0,AS507,1E+99),IF(AU507&gt;0,AU507,1E+99),IF(AW507&gt;0,AW507,1E+99),IF(AY507&gt;0,AY507,1E+99),IF(BA507&gt;0,BA507,1E+99)),IF(m=1E+99,"",m))</x:f>
        <x:v>5.46</x:v>
      </x:c>
      <x:c r="BE507" s="16" t="e">
        <x:f>IF(BD507="","",INDEX({"v1.4.20","v1.4.20","v1.4.21","v1.4.21","v1.4.23","v1.4.23","v1.4.26","v1.4.26","v1.4.26.1","v1.4.26.1","v1.4.27","v1.4.27","v1.4.29","v1.4.29","v1.4.30","v1.4.30","v1.4.31","v1.4.31","v1.4.33","v1.4.33","v1.4.35","v1.4.35.2","v1.5","v1.5.1","v1.5.1"},MATCH(BD507,CHOOSE({1,2,3,4,5,6,7,8,9,10,11,12,13,14,15,16,17,18,19,20,21,22,23,24,25},E507,G507,I507,K507,M507,O507,Q507,S507,U507,W507,Y507,AA507,AC507,AE507,AG507,AI507,AK507,AM507,AO507,AQ507,AS507,AU507,AW507,AY507,BA507),0)))</x:f>
      </x:c>
      <x:c r="BF507" s="10" t="n">
        <x:f>IFERROR((AX507-BB507)/BB507,"")</x:f>
        <x:v>0.2058608058608058</x:v>
      </x:c>
      <x:c r="BG507" s="10" t="n">
        <x:f>IFERROR((AY507-BD507)/BD507,"")</x:f>
        <x:v>0.20604395604395603</x:v>
      </x:c>
    </x:row>
    <x:row r="508">
      <x:c r="A508" t="str"/>
      <x:c r="B508" t="str">
        <x:v>Care Plan Sync Diagnostics</x:v>
      </x:c>
      <x:c r="C508" t="str">
        <x:v>Complete</x:v>
      </x:c>
      <x:c r="D508" s="8"/>
      <x:c r="E508" s="8"/>
      <x:c r="F508" s="8"/>
      <x:c r="G508" s="8"/>
      <x:c r="H508" s="8"/>
      <x:c r="I508" s="8"/>
      <x:c r="J508" s="8"/>
      <x:c r="K508" s="8"/>
      <x:c r="L508" s="8"/>
      <x:c r="M508" s="8"/>
      <x:c r="N508" s="8"/>
      <x:c r="O508" s="8"/>
      <x:c r="P508" s="8"/>
      <x:c r="Q508" s="8"/>
      <x:c r="R508" s="8"/>
      <x:c r="S508" s="8"/>
      <x:c r="T508" s="8"/>
      <x:c r="U508" s="8"/>
      <x:c r="V508" s="8" t="n">
        <x:v>0</x:v>
      </x:c>
      <x:c r="W508" s="8" t="n">
        <x:v>6.944</x:v>
      </x:c>
      <x:c r="X508" s="8"/>
      <x:c r="Y508" s="8"/>
      <x:c r="Z508" s="8"/>
      <x:c r="AA508" s="8"/>
      <x:c r="AB508" s="8"/>
      <x:c r="AC508" s="8"/>
      <x:c r="AD508" s="8"/>
      <x:c r="AE508" s="8"/>
      <x:c r="AF508" s="8"/>
      <x:c r="AG508" s="8"/>
      <x:c r="AH508" s="8"/>
      <x:c r="AI508" s="8"/>
      <x:c r="AJ508" s="8"/>
      <x:c r="AK508" s="8"/>
      <x:c r="AL508" s="8"/>
      <x:c r="AM508" s="8"/>
      <x:c r="AN508" s="8" t="n">
        <x:v>0</x:v>
      </x:c>
      <x:c r="AO508" s="8" t="n">
        <x:v>6.677</x:v>
      </x:c>
      <x:c r="AP508" s="8"/>
      <x:c r="AQ508" s="8"/>
      <x:c r="AR508" s="8"/>
      <x:c r="AS508" s="8"/>
      <x:c r="AT508" s="8" t="n">
        <x:v>0</x:v>
      </x:c>
      <x:c r="AU508" s="8" t="n">
        <x:v>5.46</x:v>
      </x:c>
      <x:c r="AV508" s="8"/>
      <x:c r="AW508" s="8"/>
      <x:c r="AX508" s="8" t="n">
        <x:v>0</x:v>
      </x:c>
      <x:c r="AY508" s="8" t="n">
        <x:v>6.585</x:v>
      </x:c>
      <x:c r="AZ508" s="8"/>
      <x:c r="BA508" s="8"/>
      <x:c r="BB508" s="8" t="str">
        <x:f>LET(m,MIN(IF(D508&gt;0,D508,1E+99),IF(F508&gt;0,F508,1E+99),IF(H508&gt;0,H508,1E+99),IF(J508&gt;0,J508,1E+99),IF(L508&gt;0,L508,1E+99),IF(N508&gt;0,N508,1E+99),IF(P508&gt;0,P508,1E+99),IF(R508&gt;0,R508,1E+99),IF(T508&gt;0,T508,1E+99),IF(V508&gt;0,V508,1E+99),IF(X508&gt;0,X508,1E+99),IF(Z508&gt;0,Z508,1E+99),IF(AB508&gt;0,AB508,1E+99),IF(AD508&gt;0,AD508,1E+99),IF(AF508&gt;0,AF508,1E+99),IF(AH508&gt;0,AH508,1E+99),IF(AJ508&gt;0,AJ508,1E+99),IF(AL508&gt;0,AL508,1E+99),IF(AN508&gt;0,AN508,1E+99),IF(AP508&gt;0,AP508,1E+99),IF(AR508&gt;0,AR508,1E+99),IF(AT508&gt;0,AT508,1E+99),IF(AV508&gt;0,AV508,1E+99),IF(AX508&gt;0,AX508,1E+99),IF(AZ508&gt;0,AZ508,1E+99)),IF(m=1E+99,"",m))</x:f>
      </x:c>
      <x:c r="BC508" s="12" t="str">
        <x:f>IF(BB508="","",INDEX({"v1.4.20","v1.4.20","v1.4.21","v1.4.21","v1.4.23","v1.4.23","v1.4.26","v1.4.26","v1.4.26.1","v1.4.26.1","v1.4.27","v1.4.27","v1.4.29","v1.4.29","v1.4.30","v1.4.30","v1.4.31","v1.4.31","v1.4.33","v1.4.33","v1.4.35","v1.4.35.2","v1.5","v1.5.1","v1.5.1"},MATCH(BB508,CHOOSE({1,2,3,4,5,6,7,8,9,10,11,12,13,14,15,16,17,18,19,20,21,22,23,24,25},D508,F508,H508,J508,L508,N508,P508,R508,T508,V508,X508,Z508,AB508,AD508,AF508,AH508,AJ508,AL508,AN508,AP508,AR508,AT508,AV508,AX508,AZ508),0)))</x:f>
      </x:c>
      <x:c r="BD508" s="14" t="n">
        <x:f>LET(m,MIN(IF(E508&gt;0,E508,1E+99),IF(G508&gt;0,G508,1E+99),IF(I508&gt;0,I508,1E+99),IF(K508&gt;0,K508,1E+99),IF(M508&gt;0,M508,1E+99),IF(O508&gt;0,O508,1E+99),IF(Q508&gt;0,Q508,1E+99),IF(S508&gt;0,S508,1E+99),IF(U508&gt;0,U508,1E+99),IF(W508&gt;0,W508,1E+99),IF(Y508&gt;0,Y508,1E+99),IF(AA508&gt;0,AA508,1E+99),IF(AC508&gt;0,AC508,1E+99),IF(AE508&gt;0,AE508,1E+99),IF(AG508&gt;0,AG508,1E+99),IF(AI508&gt;0,AI508,1E+99),IF(AK508&gt;0,AK508,1E+99),IF(AM508&gt;0,AM508,1E+99),IF(AO508&gt;0,AO508,1E+99),IF(AQ508&gt;0,AQ508,1E+99),IF(AS508&gt;0,AS508,1E+99),IF(AU508&gt;0,AU508,1E+99),IF(AW508&gt;0,AW508,1E+99),IF(AY508&gt;0,AY508,1E+99),IF(BA508&gt;0,BA508,1E+99)),IF(m=1E+99,"",m))</x:f>
        <x:v>5.46</x:v>
      </x:c>
      <x:c r="BE508" s="16" t="e">
        <x:f>IF(BD508="","",INDEX({"v1.4.20","v1.4.20","v1.4.21","v1.4.21","v1.4.23","v1.4.23","v1.4.26","v1.4.26","v1.4.26.1","v1.4.26.1","v1.4.27","v1.4.27","v1.4.29","v1.4.29","v1.4.30","v1.4.30","v1.4.31","v1.4.31","v1.4.33","v1.4.33","v1.4.35","v1.4.35.2","v1.5","v1.5.1","v1.5.1"},MATCH(BD508,CHOOSE({1,2,3,4,5,6,7,8,9,10,11,12,13,14,15,16,17,18,19,20,21,22,23,24,25},E508,G508,I508,K508,M508,O508,Q508,S508,U508,W508,Y508,AA508,AC508,AE508,AG508,AI508,AK508,AM508,AO508,AQ508,AS508,AU508,AW508,AY508,BA508),0)))</x:f>
      </x:c>
      <x:c r="BF508" s="10" t="str">
        <x:f>IFERROR((AX508-BB508)/BB508,"")</x:f>
      </x:c>
      <x:c r="BG508" s="10" t="n">
        <x:f>IFERROR((AY508-BD508)/BD508,"")</x:f>
        <x:v>0.20604395604395603</x:v>
      </x:c>
    </x:row>
    <x:row r="509">
      <x:c r="A509" t="str"/>
      <x:c r="B509" t="str">
        <x:v>Run Dashboard Quality Workflow</x:v>
      </x:c>
      <x:c r="C509" t="str">
        <x:v>Start</x:v>
      </x:c>
      <x:c r="D509" s="8"/>
      <x:c r="E509" s="8"/>
      <x:c r="F509" s="8"/>
      <x:c r="G509" s="8"/>
      <x:c r="H509" s="8"/>
      <x:c r="I509" s="8"/>
      <x:c r="J509" s="8"/>
      <x:c r="K509" s="8"/>
      <x:c r="L509" s="8"/>
      <x:c r="M509" s="8"/>
      <x:c r="N509" s="8"/>
      <x:c r="O509" s="8"/>
      <x:c r="P509" s="8"/>
      <x:c r="Q509" s="8"/>
      <x:c r="R509" s="8"/>
      <x:c r="S509" s="8"/>
      <x:c r="T509" s="8"/>
      <x:c r="U509" s="8"/>
      <x:c r="V509" s="8"/>
      <x:c r="W509" s="8"/>
      <x:c r="X509" s="8"/>
      <x:c r="Y509" s="8"/>
      <x:c r="Z509" s="8"/>
      <x:c r="AA509" s="8"/>
      <x:c r="AB509" s="8"/>
      <x:c r="AC509" s="8"/>
      <x:c r="AD509" s="8"/>
      <x:c r="AE509" s="8"/>
      <x:c r="AF509" s="8"/>
      <x:c r="AG509" s="8"/>
      <x:c r="AH509" s="8"/>
      <x:c r="AI509" s="8"/>
      <x:c r="AJ509" s="8"/>
      <x:c r="AK509" s="8"/>
      <x:c r="AL509" s="8"/>
      <x:c r="AM509" s="8"/>
      <x:c r="AN509" s="8"/>
      <x:c r="AO509" s="8"/>
      <x:c r="AP509" s="8"/>
      <x:c r="AQ509" s="8"/>
      <x:c r="AR509" s="8"/>
      <x:c r="AS509" s="8"/>
      <x:c r="AT509" s="8"/>
      <x:c r="AU509" s="8"/>
      <x:c r="AV509" s="8" t="n">
        <x:v>0</x:v>
      </x:c>
      <x:c r="AW509" s="8" t="n">
        <x:v>0</x:v>
      </x:c>
      <x:c r="AX509" s="8" t="n">
        <x:v>0.001</x:v>
      </x:c>
      <x:c r="AY509" s="8" t="n">
        <x:v>0.001</x:v>
      </x:c>
      <x:c r="AZ509" s="8"/>
      <x:c r="BA509" s="8"/>
      <x:c r="BB509" s="8" t="n">
        <x:f>LET(m,MIN(IF(D509&gt;0,D509,1E+99),IF(F509&gt;0,F509,1E+99),IF(H509&gt;0,H509,1E+99),IF(J509&gt;0,J509,1E+99),IF(L509&gt;0,L509,1E+99),IF(N509&gt;0,N509,1E+99),IF(P509&gt;0,P509,1E+99),IF(R509&gt;0,R509,1E+99),IF(T509&gt;0,T509,1E+99),IF(V509&gt;0,V509,1E+99),IF(X509&gt;0,X509,1E+99),IF(Z509&gt;0,Z509,1E+99),IF(AB509&gt;0,AB509,1E+99),IF(AD509&gt;0,AD509,1E+99),IF(AF509&gt;0,AF509,1E+99),IF(AH509&gt;0,AH509,1E+99),IF(AJ509&gt;0,AJ509,1E+99),IF(AL509&gt;0,AL509,1E+99),IF(AN509&gt;0,AN509,1E+99),IF(AP509&gt;0,AP509,1E+99),IF(AR509&gt;0,AR509,1E+99),IF(AT509&gt;0,AT509,1E+99),IF(AV509&gt;0,AV509,1E+99),IF(AX509&gt;0,AX509,1E+99),IF(AZ509&gt;0,AZ509,1E+99)),IF(m=1E+99,"",m))</x:f>
        <x:v>0.001</x:v>
      </x:c>
      <x:c r="BC509" s="12" t="e">
        <x:f>IF(BB509="","",INDEX({"v1.4.20","v1.4.20","v1.4.21","v1.4.21","v1.4.23","v1.4.23","v1.4.26","v1.4.26","v1.4.26.1","v1.4.26.1","v1.4.27","v1.4.27","v1.4.29","v1.4.29","v1.4.30","v1.4.30","v1.4.31","v1.4.31","v1.4.33","v1.4.33","v1.4.35","v1.4.35.2","v1.5","v1.5.1","v1.5.1"},MATCH(BB509,CHOOSE({1,2,3,4,5,6,7,8,9,10,11,12,13,14,15,16,17,18,19,20,21,22,23,24,25},D509,F509,H509,J509,L509,N509,P509,R509,T509,V509,X509,Z509,AB509,AD509,AF509,AH509,AJ509,AL509,AN509,AP509,AR509,AT509,AV509,AX509,AZ509),0)))</x:f>
      </x:c>
      <x:c r="BD509" s="14" t="n">
        <x:f>LET(m,MIN(IF(E509&gt;0,E509,1E+99),IF(G509&gt;0,G509,1E+99),IF(I509&gt;0,I509,1E+99),IF(K509&gt;0,K509,1E+99),IF(M509&gt;0,M509,1E+99),IF(O509&gt;0,O509,1E+99),IF(Q509&gt;0,Q509,1E+99),IF(S509&gt;0,S509,1E+99),IF(U509&gt;0,U509,1E+99),IF(W509&gt;0,W509,1E+99),IF(Y509&gt;0,Y509,1E+99),IF(AA509&gt;0,AA509,1E+99),IF(AC509&gt;0,AC509,1E+99),IF(AE509&gt;0,AE509,1E+99),IF(AG509&gt;0,AG509,1E+99),IF(AI509&gt;0,AI509,1E+99),IF(AK509&gt;0,AK509,1E+99),IF(AM509&gt;0,AM509,1E+99),IF(AO509&gt;0,AO509,1E+99),IF(AQ509&gt;0,AQ509,1E+99),IF(AS509&gt;0,AS509,1E+99),IF(AU509&gt;0,AU509,1E+99),IF(AW509&gt;0,AW509,1E+99),IF(AY509&gt;0,AY509,1E+99),IF(BA509&gt;0,BA509,1E+99)),IF(m=1E+99,"",m))</x:f>
        <x:v>0.001</x:v>
      </x:c>
      <x:c r="BE509" s="16" t="e">
        <x:f>IF(BD509="","",INDEX({"v1.4.20","v1.4.20","v1.4.21","v1.4.21","v1.4.23","v1.4.23","v1.4.26","v1.4.26","v1.4.26.1","v1.4.26.1","v1.4.27","v1.4.27","v1.4.29","v1.4.29","v1.4.30","v1.4.30","v1.4.31","v1.4.31","v1.4.33","v1.4.33","v1.4.35","v1.4.35.2","v1.5","v1.5.1","v1.5.1"},MATCH(BD509,CHOOSE({1,2,3,4,5,6,7,8,9,10,11,12,13,14,15,16,17,18,19,20,21,22,23,24,25},E509,G509,I509,K509,M509,O509,Q509,S509,U509,W509,Y509,AA509,AC509,AE509,AG509,AI509,AK509,AM509,AO509,AQ509,AS509,AU509,AW509,AY509,BA509),0)))</x:f>
      </x:c>
      <x:c r="BF509" s="10" t="n">
        <x:f>IFERROR((AX509-BB509)/BB509,"")</x:f>
        <x:v>0</x:v>
      </x:c>
      <x:c r="BG509" s="10" t="n">
        <x:f>IFERROR((AY509-BD509)/BD509,"")</x:f>
        <x:v>0</x:v>
      </x:c>
    </x:row>
    <x:row r="510">
      <x:c r="A510" t="str"/>
      <x:c r="B510" t="str">
        <x:v>Run Dashboard Quality Workflow</x:v>
      </x:c>
      <x:c r="C510" t="str">
        <x:v>Section F Dashboard Audit complete</x:v>
      </x:c>
      <x:c r="D510" s="8"/>
      <x:c r="E510" s="8"/>
      <x:c r="F510" s="8"/>
      <x:c r="G510" s="8"/>
      <x:c r="H510" s="8"/>
      <x:c r="I510" s="8"/>
      <x:c r="J510" s="8"/>
      <x:c r="K510" s="8"/>
      <x:c r="L510" s="8"/>
      <x:c r="M510" s="8"/>
      <x:c r="N510" s="8"/>
      <x:c r="O510" s="8"/>
      <x:c r="P510" s="8"/>
      <x:c r="Q510" s="8"/>
      <x:c r="R510" s="8"/>
      <x:c r="S510" s="8"/>
      <x:c r="T510" s="8"/>
      <x:c r="U510" s="8"/>
      <x:c r="V510" s="8"/>
      <x:c r="W510" s="8"/>
      <x:c r="X510" s="8"/>
      <x:c r="Y510" s="8"/>
      <x:c r="Z510" s="8"/>
      <x:c r="AA510" s="8"/>
      <x:c r="AB510" s="8"/>
      <x:c r="AC510" s="8"/>
      <x:c r="AD510" s="8"/>
      <x:c r="AE510" s="8"/>
      <x:c r="AF510" s="8"/>
      <x:c r="AG510" s="8"/>
      <x:c r="AH510" s="8"/>
      <x:c r="AI510" s="8"/>
      <x:c r="AJ510" s="8"/>
      <x:c r="AK510" s="8"/>
      <x:c r="AL510" s="8"/>
      <x:c r="AM510" s="8"/>
      <x:c r="AN510" s="8"/>
      <x:c r="AO510" s="8"/>
      <x:c r="AP510" s="8"/>
      <x:c r="AQ510" s="8"/>
      <x:c r="AR510" s="8"/>
      <x:c r="AS510" s="8"/>
      <x:c r="AT510" s="8"/>
      <x:c r="AU510" s="8"/>
      <x:c r="AV510" s="8"/>
      <x:c r="AW510" s="8"/>
      <x:c r="AX510" s="8" t="n">
        <x:v>24.572</x:v>
      </x:c>
      <x:c r="AY510" s="8" t="n">
        <x:v>24.573</x:v>
      </x:c>
      <x:c r="AZ510" s="8"/>
      <x:c r="BA510" s="8"/>
      <x:c r="BB510" s="8" t="n">
        <x:f>LET(m,MIN(IF(D510&gt;0,D510,1E+99),IF(F510&gt;0,F510,1E+99),IF(H510&gt;0,H510,1E+99),IF(J510&gt;0,J510,1E+99),IF(L510&gt;0,L510,1E+99),IF(N510&gt;0,N510,1E+99),IF(P510&gt;0,P510,1E+99),IF(R510&gt;0,R510,1E+99),IF(T510&gt;0,T510,1E+99),IF(V510&gt;0,V510,1E+99),IF(X510&gt;0,X510,1E+99),IF(Z510&gt;0,Z510,1E+99),IF(AB510&gt;0,AB510,1E+99),IF(AD510&gt;0,AD510,1E+99),IF(AF510&gt;0,AF510,1E+99),IF(AH510&gt;0,AH510,1E+99),IF(AJ510&gt;0,AJ510,1E+99),IF(AL510&gt;0,AL510,1E+99),IF(AN510&gt;0,AN510,1E+99),IF(AP510&gt;0,AP510,1E+99),IF(AR510&gt;0,AR510,1E+99),IF(AT510&gt;0,AT510,1E+99),IF(AV510&gt;0,AV510,1E+99),IF(AX510&gt;0,AX510,1E+99),IF(AZ510&gt;0,AZ510,1E+99)),IF(m=1E+99,"",m))</x:f>
        <x:v>24.572</x:v>
      </x:c>
      <x:c r="BC510" s="12" t="e">
        <x:f>IF(BB510="","",INDEX({"v1.4.20","v1.4.20","v1.4.21","v1.4.21","v1.4.23","v1.4.23","v1.4.26","v1.4.26","v1.4.26.1","v1.4.26.1","v1.4.27","v1.4.27","v1.4.29","v1.4.29","v1.4.30","v1.4.30","v1.4.31","v1.4.31","v1.4.33","v1.4.33","v1.4.35","v1.4.35.2","v1.5","v1.5.1","v1.5.1"},MATCH(BB510,CHOOSE({1,2,3,4,5,6,7,8,9,10,11,12,13,14,15,16,17,18,19,20,21,22,23,24,25},D510,F510,H510,J510,L510,N510,P510,R510,T510,V510,X510,Z510,AB510,AD510,AF510,AH510,AJ510,AL510,AN510,AP510,AR510,AT510,AV510,AX510,AZ510),0)))</x:f>
      </x:c>
      <x:c r="BD510" s="14" t="n">
        <x:f>LET(m,MIN(IF(E510&gt;0,E510,1E+99),IF(G510&gt;0,G510,1E+99),IF(I510&gt;0,I510,1E+99),IF(K510&gt;0,K510,1E+99),IF(M510&gt;0,M510,1E+99),IF(O510&gt;0,O510,1E+99),IF(Q510&gt;0,Q510,1E+99),IF(S510&gt;0,S510,1E+99),IF(U510&gt;0,U510,1E+99),IF(W510&gt;0,W510,1E+99),IF(Y510&gt;0,Y510,1E+99),IF(AA510&gt;0,AA510,1E+99),IF(AC510&gt;0,AC510,1E+99),IF(AE510&gt;0,AE510,1E+99),IF(AG510&gt;0,AG510,1E+99),IF(AI510&gt;0,AI510,1E+99),IF(AK510&gt;0,AK510,1E+99),IF(AM510&gt;0,AM510,1E+99),IF(AO510&gt;0,AO510,1E+99),IF(AQ510&gt;0,AQ510,1E+99),IF(AS510&gt;0,AS510,1E+99),IF(AU510&gt;0,AU510,1E+99),IF(AW510&gt;0,AW510,1E+99),IF(AY510&gt;0,AY510,1E+99),IF(BA510&gt;0,BA510,1E+99)),IF(m=1E+99,"",m))</x:f>
        <x:v>24.573</x:v>
      </x:c>
      <x:c r="BE510" s="16" t="e">
        <x:f>IF(BD510="","",INDEX({"v1.4.20","v1.4.20","v1.4.21","v1.4.21","v1.4.23","v1.4.23","v1.4.26","v1.4.26","v1.4.26.1","v1.4.26.1","v1.4.27","v1.4.27","v1.4.29","v1.4.29","v1.4.30","v1.4.30","v1.4.31","v1.4.31","v1.4.33","v1.4.33","v1.4.35","v1.4.35.2","v1.5","v1.5.1","v1.5.1"},MATCH(BD510,CHOOSE({1,2,3,4,5,6,7,8,9,10,11,12,13,14,15,16,17,18,19,20,21,22,23,24,25},E510,G510,I510,K510,M510,O510,Q510,S510,U510,W510,Y510,AA510,AC510,AE510,AG510,AI510,AK510,AM510,AO510,AQ510,AS510,AU510,AW510,AY510,BA510),0)))</x:f>
      </x:c>
      <x:c r="BF510" s="10" t="n">
        <x:f>IFERROR((AX510-BB510)/BB510,"")</x:f>
        <x:v>0</x:v>
      </x:c>
      <x:c r="BG510" s="10" t="n">
        <x:f>IFERROR((AY510-BD510)/BD510,"")</x:f>
        <x:v>0</x:v>
      </x:c>
    </x:row>
    <x:row r="511">
      <x:c r="A511" t="str"/>
      <x:c r="B511" t="str">
        <x:v>Run Dashboard Quality Workflow</x:v>
      </x:c>
      <x:c r="C511" t="str">
        <x:v>Section G Framework Health Check complete</x:v>
      </x:c>
      <x:c r="D511" s="8"/>
      <x:c r="E511" s="8"/>
      <x:c r="F511" s="8"/>
      <x:c r="G511" s="8"/>
      <x:c r="H511" s="8"/>
      <x:c r="I511" s="8"/>
      <x:c r="J511" s="8"/>
      <x:c r="K511" s="8"/>
      <x:c r="L511" s="8"/>
      <x:c r="M511" s="8"/>
      <x:c r="N511" s="8"/>
      <x:c r="O511" s="8"/>
      <x:c r="P511" s="8"/>
      <x:c r="Q511" s="8"/>
      <x:c r="R511" s="8"/>
      <x:c r="S511" s="8"/>
      <x:c r="T511" s="8"/>
      <x:c r="U511" s="8"/>
      <x:c r="V511" s="8"/>
      <x:c r="W511" s="8"/>
      <x:c r="X511" s="8"/>
      <x:c r="Y511" s="8"/>
      <x:c r="Z511" s="8"/>
      <x:c r="AA511" s="8"/>
      <x:c r="AB511" s="8"/>
      <x:c r="AC511" s="8"/>
      <x:c r="AD511" s="8"/>
      <x:c r="AE511" s="8"/>
      <x:c r="AF511" s="8"/>
      <x:c r="AG511" s="8"/>
      <x:c r="AH511" s="8"/>
      <x:c r="AI511" s="8"/>
      <x:c r="AJ511" s="8"/>
      <x:c r="AK511" s="8"/>
      <x:c r="AL511" s="8"/>
      <x:c r="AM511" s="8"/>
      <x:c r="AN511" s="8"/>
      <x:c r="AO511" s="8"/>
      <x:c r="AP511" s="8"/>
      <x:c r="AQ511" s="8"/>
      <x:c r="AR511" s="8"/>
      <x:c r="AS511" s="8"/>
      <x:c r="AT511" s="8"/>
      <x:c r="AU511" s="8"/>
      <x:c r="AV511" s="8"/>
      <x:c r="AW511" s="8"/>
      <x:c r="AX511" s="8" t="n">
        <x:v>8.594</x:v>
      </x:c>
      <x:c r="AY511" s="8" t="n">
        <x:v>33.167</x:v>
      </x:c>
      <x:c r="AZ511" s="8"/>
      <x:c r="BA511" s="8"/>
      <x:c r="BB511" s="8" t="n">
        <x:f>LET(m,MIN(IF(D511&gt;0,D511,1E+99),IF(F511&gt;0,F511,1E+99),IF(H511&gt;0,H511,1E+99),IF(J511&gt;0,J511,1E+99),IF(L511&gt;0,L511,1E+99),IF(N511&gt;0,N511,1E+99),IF(P511&gt;0,P511,1E+99),IF(R511&gt;0,R511,1E+99),IF(T511&gt;0,T511,1E+99),IF(V511&gt;0,V511,1E+99),IF(X511&gt;0,X511,1E+99),IF(Z511&gt;0,Z511,1E+99),IF(AB511&gt;0,AB511,1E+99),IF(AD511&gt;0,AD511,1E+99),IF(AF511&gt;0,AF511,1E+99),IF(AH511&gt;0,AH511,1E+99),IF(AJ511&gt;0,AJ511,1E+99),IF(AL511&gt;0,AL511,1E+99),IF(AN511&gt;0,AN511,1E+99),IF(AP511&gt;0,AP511,1E+99),IF(AR511&gt;0,AR511,1E+99),IF(AT511&gt;0,AT511,1E+99),IF(AV511&gt;0,AV511,1E+99),IF(AX511&gt;0,AX511,1E+99),IF(AZ511&gt;0,AZ511,1E+99)),IF(m=1E+99,"",m))</x:f>
        <x:v>8.594</x:v>
      </x:c>
      <x:c r="BC511" s="12" t="e">
        <x:f>IF(BB511="","",INDEX({"v1.4.20","v1.4.20","v1.4.21","v1.4.21","v1.4.23","v1.4.23","v1.4.26","v1.4.26","v1.4.26.1","v1.4.26.1","v1.4.27","v1.4.27","v1.4.29","v1.4.29","v1.4.30","v1.4.30","v1.4.31","v1.4.31","v1.4.33","v1.4.33","v1.4.35","v1.4.35.2","v1.5","v1.5.1","v1.5.1"},MATCH(BB511,CHOOSE({1,2,3,4,5,6,7,8,9,10,11,12,13,14,15,16,17,18,19,20,21,22,23,24,25},D511,F511,H511,J511,L511,N511,P511,R511,T511,V511,X511,Z511,AB511,AD511,AF511,AH511,AJ511,AL511,AN511,AP511,AR511,AT511,AV511,AX511,AZ511),0)))</x:f>
      </x:c>
      <x:c r="BD511" s="14" t="n">
        <x:f>LET(m,MIN(IF(E511&gt;0,E511,1E+99),IF(G511&gt;0,G511,1E+99),IF(I511&gt;0,I511,1E+99),IF(K511&gt;0,K511,1E+99),IF(M511&gt;0,M511,1E+99),IF(O511&gt;0,O511,1E+99),IF(Q511&gt;0,Q511,1E+99),IF(S511&gt;0,S511,1E+99),IF(U511&gt;0,U511,1E+99),IF(W511&gt;0,W511,1E+99),IF(Y511&gt;0,Y511,1E+99),IF(AA511&gt;0,AA511,1E+99),IF(AC511&gt;0,AC511,1E+99),IF(AE511&gt;0,AE511,1E+99),IF(AG511&gt;0,AG511,1E+99),IF(AI511&gt;0,AI511,1E+99),IF(AK511&gt;0,AK511,1E+99),IF(AM511&gt;0,AM511,1E+99),IF(AO511&gt;0,AO511,1E+99),IF(AQ511&gt;0,AQ511,1E+99),IF(AS511&gt;0,AS511,1E+99),IF(AU511&gt;0,AU511,1E+99),IF(AW511&gt;0,AW511,1E+99),IF(AY511&gt;0,AY511,1E+99),IF(BA511&gt;0,BA511,1E+99)),IF(m=1E+99,"",m))</x:f>
        <x:v>33.167</x:v>
      </x:c>
      <x:c r="BE511" s="16" t="e">
        <x:f>IF(BD511="","",INDEX({"v1.4.20","v1.4.20","v1.4.21","v1.4.21","v1.4.23","v1.4.23","v1.4.26","v1.4.26","v1.4.26.1","v1.4.26.1","v1.4.27","v1.4.27","v1.4.29","v1.4.29","v1.4.30","v1.4.30","v1.4.31","v1.4.31","v1.4.33","v1.4.33","v1.4.35","v1.4.35.2","v1.5","v1.5.1","v1.5.1"},MATCH(BD511,CHOOSE({1,2,3,4,5,6,7,8,9,10,11,12,13,14,15,16,17,18,19,20,21,22,23,24,25},E511,G511,I511,K511,M511,O511,Q511,S511,U511,W511,Y511,AA511,AC511,AE511,AG511,AI511,AK511,AM511,AO511,AQ511,AS511,AU511,AW511,AY511,BA511),0)))</x:f>
      </x:c>
      <x:c r="BF511" s="10" t="n">
        <x:f>IFERROR((AX511-BB511)/BB511,"")</x:f>
        <x:v>0</x:v>
      </x:c>
      <x:c r="BG511" s="10" t="n">
        <x:f>IFERROR((AY511-BD511)/BD511,"")</x:f>
        <x:v>0</x:v>
      </x:c>
    </x:row>
    <x:row r="512">
      <x:c r="A512" t="str"/>
      <x:c r="B512" t="str">
        <x:v>Run Dashboard Quality Workflow</x:v>
      </x:c>
      <x:c r="C512" t="str">
        <x:v>Section H Signoff complete</x:v>
      </x:c>
      <x:c r="D512" s="8"/>
      <x:c r="E512" s="8"/>
      <x:c r="F512" s="8"/>
      <x:c r="G512" s="8"/>
      <x:c r="H512" s="8"/>
      <x:c r="I512" s="8"/>
      <x:c r="J512" s="8"/>
      <x:c r="K512" s="8"/>
      <x:c r="L512" s="8"/>
      <x:c r="M512" s="8"/>
      <x:c r="N512" s="8"/>
      <x:c r="O512" s="8"/>
      <x:c r="P512" s="8"/>
      <x:c r="Q512" s="8"/>
      <x:c r="R512" s="8"/>
      <x:c r="S512" s="8"/>
      <x:c r="T512" s="8"/>
      <x:c r="U512" s="8"/>
      <x:c r="V512" s="8"/>
      <x:c r="W512" s="8"/>
      <x:c r="X512" s="8"/>
      <x:c r="Y512" s="8"/>
      <x:c r="Z512" s="8"/>
      <x:c r="AA512" s="8"/>
      <x:c r="AB512" s="8"/>
      <x:c r="AC512" s="8"/>
      <x:c r="AD512" s="8"/>
      <x:c r="AE512" s="8"/>
      <x:c r="AF512" s="8"/>
      <x:c r="AG512" s="8"/>
      <x:c r="AH512" s="8"/>
      <x:c r="AI512" s="8"/>
      <x:c r="AJ512" s="8"/>
      <x:c r="AK512" s="8"/>
      <x:c r="AL512" s="8"/>
      <x:c r="AM512" s="8"/>
      <x:c r="AN512" s="8"/>
      <x:c r="AO512" s="8"/>
      <x:c r="AP512" s="8"/>
      <x:c r="AQ512" s="8"/>
      <x:c r="AR512" s="8"/>
      <x:c r="AS512" s="8"/>
      <x:c r="AT512" s="8"/>
      <x:c r="AU512" s="8"/>
      <x:c r="AV512" s="8"/>
      <x:c r="AW512" s="8"/>
      <x:c r="AX512" s="8" t="n">
        <x:v>20.679</x:v>
      </x:c>
      <x:c r="AY512" s="8" t="n">
        <x:v>53.846</x:v>
      </x:c>
      <x:c r="AZ512" s="8"/>
      <x:c r="BA512" s="8"/>
      <x:c r="BB512" s="8" t="n">
        <x:f>LET(m,MIN(IF(D512&gt;0,D512,1E+99),IF(F512&gt;0,F512,1E+99),IF(H512&gt;0,H512,1E+99),IF(J512&gt;0,J512,1E+99),IF(L512&gt;0,L512,1E+99),IF(N512&gt;0,N512,1E+99),IF(P512&gt;0,P512,1E+99),IF(R512&gt;0,R512,1E+99),IF(T512&gt;0,T512,1E+99),IF(V512&gt;0,V512,1E+99),IF(X512&gt;0,X512,1E+99),IF(Z512&gt;0,Z512,1E+99),IF(AB512&gt;0,AB512,1E+99),IF(AD512&gt;0,AD512,1E+99),IF(AF512&gt;0,AF512,1E+99),IF(AH512&gt;0,AH512,1E+99),IF(AJ512&gt;0,AJ512,1E+99),IF(AL512&gt;0,AL512,1E+99),IF(AN512&gt;0,AN512,1E+99),IF(AP512&gt;0,AP512,1E+99),IF(AR512&gt;0,AR512,1E+99),IF(AT512&gt;0,AT512,1E+99),IF(AV512&gt;0,AV512,1E+99),IF(AX512&gt;0,AX512,1E+99),IF(AZ512&gt;0,AZ512,1E+99)),IF(m=1E+99,"",m))</x:f>
        <x:v>20.679</x:v>
      </x:c>
      <x:c r="BC512" s="12" t="e">
        <x:f>IF(BB512="","",INDEX({"v1.4.20","v1.4.20","v1.4.21","v1.4.21","v1.4.23","v1.4.23","v1.4.26","v1.4.26","v1.4.26.1","v1.4.26.1","v1.4.27","v1.4.27","v1.4.29","v1.4.29","v1.4.30","v1.4.30","v1.4.31","v1.4.31","v1.4.33","v1.4.33","v1.4.35","v1.4.35.2","v1.5","v1.5.1","v1.5.1"},MATCH(BB512,CHOOSE({1,2,3,4,5,6,7,8,9,10,11,12,13,14,15,16,17,18,19,20,21,22,23,24,25},D512,F512,H512,J512,L512,N512,P512,R512,T512,V512,X512,Z512,AB512,AD512,AF512,AH512,AJ512,AL512,AN512,AP512,AR512,AT512,AV512,AX512,AZ512),0)))</x:f>
      </x:c>
      <x:c r="BD512" s="14" t="n">
        <x:f>LET(m,MIN(IF(E512&gt;0,E512,1E+99),IF(G512&gt;0,G512,1E+99),IF(I512&gt;0,I512,1E+99),IF(K512&gt;0,K512,1E+99),IF(M512&gt;0,M512,1E+99),IF(O512&gt;0,O512,1E+99),IF(Q512&gt;0,Q512,1E+99),IF(S512&gt;0,S512,1E+99),IF(U512&gt;0,U512,1E+99),IF(W512&gt;0,W512,1E+99),IF(Y512&gt;0,Y512,1E+99),IF(AA512&gt;0,AA512,1E+99),IF(AC512&gt;0,AC512,1E+99),IF(AE512&gt;0,AE512,1E+99),IF(AG512&gt;0,AG512,1E+99),IF(AI512&gt;0,AI512,1E+99),IF(AK512&gt;0,AK512,1E+99),IF(AM512&gt;0,AM512,1E+99),IF(AO512&gt;0,AO512,1E+99),IF(AQ512&gt;0,AQ512,1E+99),IF(AS512&gt;0,AS512,1E+99),IF(AU512&gt;0,AU512,1E+99),IF(AW512&gt;0,AW512,1E+99),IF(AY512&gt;0,AY512,1E+99),IF(BA512&gt;0,BA512,1E+99)),IF(m=1E+99,"",m))</x:f>
        <x:v>53.846</x:v>
      </x:c>
      <x:c r="BE512" s="16" t="e">
        <x:f>IF(BD512="","",INDEX({"v1.4.20","v1.4.20","v1.4.21","v1.4.21","v1.4.23","v1.4.23","v1.4.26","v1.4.26","v1.4.26.1","v1.4.26.1","v1.4.27","v1.4.27","v1.4.29","v1.4.29","v1.4.30","v1.4.30","v1.4.31","v1.4.31","v1.4.33","v1.4.33","v1.4.35","v1.4.35.2","v1.5","v1.5.1","v1.5.1"},MATCH(BD512,CHOOSE({1,2,3,4,5,6,7,8,9,10,11,12,13,14,15,16,17,18,19,20,21,22,23,24,25},E512,G512,I512,K512,M512,O512,Q512,S512,U512,W512,Y512,AA512,AC512,AE512,AG512,AI512,AK512,AM512,AO512,AQ512,AS512,AU512,AW512,AY512,BA512),0)))</x:f>
      </x:c>
      <x:c r="BF512" s="10" t="n">
        <x:f>IFERROR((AX512-BB512)/BB512,"")</x:f>
        <x:v>0</x:v>
      </x:c>
      <x:c r="BG512" s="10" t="n">
        <x:f>IFERROR((AY512-BD512)/BD512,"")</x:f>
        <x:v>0</x:v>
      </x:c>
    </x:row>
    <x:row r="513">
      <x:c r="A513" t="str"/>
      <x:c r="B513" t="str">
        <x:v>Run Dashboard Quality Workflow</x:v>
      </x:c>
      <x:c r="C513" t="str">
        <x:v>Section I Summary complete</x:v>
      </x:c>
      <x:c r="D513" s="8"/>
      <x:c r="E513" s="8"/>
      <x:c r="F513" s="8"/>
      <x:c r="G513" s="8"/>
      <x:c r="H513" s="8"/>
      <x:c r="I513" s="8"/>
      <x:c r="J513" s="8"/>
      <x:c r="K513" s="8"/>
      <x:c r="L513" s="8"/>
      <x:c r="M513" s="8"/>
      <x:c r="N513" s="8"/>
      <x:c r="O513" s="8"/>
      <x:c r="P513" s="8"/>
      <x:c r="Q513" s="8"/>
      <x:c r="R513" s="8"/>
      <x:c r="S513" s="8"/>
      <x:c r="T513" s="8"/>
      <x:c r="U513" s="8"/>
      <x:c r="V513" s="8"/>
      <x:c r="W513" s="8"/>
      <x:c r="X513" s="8"/>
      <x:c r="Y513" s="8"/>
      <x:c r="Z513" s="8"/>
      <x:c r="AA513" s="8"/>
      <x:c r="AB513" s="8"/>
      <x:c r="AC513" s="8"/>
      <x:c r="AD513" s="8"/>
      <x:c r="AE513" s="8"/>
      <x:c r="AF513" s="8"/>
      <x:c r="AG513" s="8"/>
      <x:c r="AH513" s="8"/>
      <x:c r="AI513" s="8"/>
      <x:c r="AJ513" s="8"/>
      <x:c r="AK513" s="8"/>
      <x:c r="AL513" s="8"/>
      <x:c r="AM513" s="8"/>
      <x:c r="AN513" s="8"/>
      <x:c r="AO513" s="8"/>
      <x:c r="AP513" s="8"/>
      <x:c r="AQ513" s="8"/>
      <x:c r="AR513" s="8"/>
      <x:c r="AS513" s="8"/>
      <x:c r="AT513" s="8"/>
      <x:c r="AU513" s="8"/>
      <x:c r="AV513" s="8"/>
      <x:c r="AW513" s="8"/>
      <x:c r="AX513" s="8" t="n">
        <x:v>5.969</x:v>
      </x:c>
      <x:c r="AY513" s="8" t="n">
        <x:v>59.815</x:v>
      </x:c>
      <x:c r="AZ513" s="8"/>
      <x:c r="BA513" s="8"/>
      <x:c r="BB513" s="8" t="n">
        <x:f>LET(m,MIN(IF(D513&gt;0,D513,1E+99),IF(F513&gt;0,F513,1E+99),IF(H513&gt;0,H513,1E+99),IF(J513&gt;0,J513,1E+99),IF(L513&gt;0,L513,1E+99),IF(N513&gt;0,N513,1E+99),IF(P513&gt;0,P513,1E+99),IF(R513&gt;0,R513,1E+99),IF(T513&gt;0,T513,1E+99),IF(V513&gt;0,V513,1E+99),IF(X513&gt;0,X513,1E+99),IF(Z513&gt;0,Z513,1E+99),IF(AB513&gt;0,AB513,1E+99),IF(AD513&gt;0,AD513,1E+99),IF(AF513&gt;0,AF513,1E+99),IF(AH513&gt;0,AH513,1E+99),IF(AJ513&gt;0,AJ513,1E+99),IF(AL513&gt;0,AL513,1E+99),IF(AN513&gt;0,AN513,1E+99),IF(AP513&gt;0,AP513,1E+99),IF(AR513&gt;0,AR513,1E+99),IF(AT513&gt;0,AT513,1E+99),IF(AV513&gt;0,AV513,1E+99),IF(AX513&gt;0,AX513,1E+99),IF(AZ513&gt;0,AZ513,1E+99)),IF(m=1E+99,"",m))</x:f>
        <x:v>5.969</x:v>
      </x:c>
      <x:c r="BC513" s="12" t="e">
        <x:f>IF(BB513="","",INDEX({"v1.4.20","v1.4.20","v1.4.21","v1.4.21","v1.4.23","v1.4.23","v1.4.26","v1.4.26","v1.4.26.1","v1.4.26.1","v1.4.27","v1.4.27","v1.4.29","v1.4.29","v1.4.30","v1.4.30","v1.4.31","v1.4.31","v1.4.33","v1.4.33","v1.4.35","v1.4.35.2","v1.5","v1.5.1","v1.5.1"},MATCH(BB513,CHOOSE({1,2,3,4,5,6,7,8,9,10,11,12,13,14,15,16,17,18,19,20,21,22,23,24,25},D513,F513,H513,J513,L513,N513,P513,R513,T513,V513,X513,Z513,AB513,AD513,AF513,AH513,AJ513,AL513,AN513,AP513,AR513,AT513,AV513,AX513,AZ513),0)))</x:f>
      </x:c>
      <x:c r="BD513" s="14" t="n">
        <x:f>LET(m,MIN(IF(E513&gt;0,E513,1E+99),IF(G513&gt;0,G513,1E+99),IF(I513&gt;0,I513,1E+99),IF(K513&gt;0,K513,1E+99),IF(M513&gt;0,M513,1E+99),IF(O513&gt;0,O513,1E+99),IF(Q513&gt;0,Q513,1E+99),IF(S513&gt;0,S513,1E+99),IF(U513&gt;0,U513,1E+99),IF(W513&gt;0,W513,1E+99),IF(Y513&gt;0,Y513,1E+99),IF(AA513&gt;0,AA513,1E+99),IF(AC513&gt;0,AC513,1E+99),IF(AE513&gt;0,AE513,1E+99),IF(AG513&gt;0,AG513,1E+99),IF(AI513&gt;0,AI513,1E+99),IF(AK513&gt;0,AK513,1E+99),IF(AM513&gt;0,AM513,1E+99),IF(AO513&gt;0,AO513,1E+99),IF(AQ513&gt;0,AQ513,1E+99),IF(AS513&gt;0,AS513,1E+99),IF(AU513&gt;0,AU513,1E+99),IF(AW513&gt;0,AW513,1E+99),IF(AY513&gt;0,AY513,1E+99),IF(BA513&gt;0,BA513,1E+99)),IF(m=1E+99,"",m))</x:f>
        <x:v>59.815</x:v>
      </x:c>
      <x:c r="BE513" s="16" t="e">
        <x:f>IF(BD513="","",INDEX({"v1.4.20","v1.4.20","v1.4.21","v1.4.21","v1.4.23","v1.4.23","v1.4.26","v1.4.26","v1.4.26.1","v1.4.26.1","v1.4.27","v1.4.27","v1.4.29","v1.4.29","v1.4.30","v1.4.30","v1.4.31","v1.4.31","v1.4.33","v1.4.33","v1.4.35","v1.4.35.2","v1.5","v1.5.1","v1.5.1"},MATCH(BD513,CHOOSE({1,2,3,4,5,6,7,8,9,10,11,12,13,14,15,16,17,18,19,20,21,22,23,24,25},E513,G513,I513,K513,M513,O513,Q513,S513,U513,W513,Y513,AA513,AC513,AE513,AG513,AI513,AK513,AM513,AO513,AQ513,AS513,AU513,AW513,AY513,BA513),0)))</x:f>
      </x:c>
      <x:c r="BF513" s="10" t="n">
        <x:f>IFERROR((AX513-BB513)/BB513,"")</x:f>
        <x:v>0</x:v>
      </x:c>
      <x:c r="BG513" s="10" t="n">
        <x:f>IFERROR((AY513-BD513)/BD513,"")</x:f>
        <x:v>0</x:v>
      </x:c>
    </x:row>
    <x:row r="514">
      <x:c r="A514" t="str"/>
      <x:c r="B514" t="str">
        <x:v>Run Dashboard Quality Workflow</x:v>
      </x:c>
      <x:c r="C514" t="str">
        <x:v>Section J Timing Summary complete</x:v>
      </x:c>
      <x:c r="D514" s="8"/>
      <x:c r="E514" s="8"/>
      <x:c r="F514" s="8"/>
      <x:c r="G514" s="8"/>
      <x:c r="H514" s="8"/>
      <x:c r="I514" s="8"/>
      <x:c r="J514" s="8"/>
      <x:c r="K514" s="8"/>
      <x:c r="L514" s="8"/>
      <x:c r="M514" s="8"/>
      <x:c r="N514" s="8"/>
      <x:c r="O514" s="8"/>
      <x:c r="P514" s="8"/>
      <x:c r="Q514" s="8"/>
      <x:c r="R514" s="8"/>
      <x:c r="S514" s="8"/>
      <x:c r="T514" s="8"/>
      <x:c r="U514" s="8"/>
      <x:c r="V514" s="8"/>
      <x:c r="W514" s="8"/>
      <x:c r="X514" s="8"/>
      <x:c r="Y514" s="8"/>
      <x:c r="Z514" s="8"/>
      <x:c r="AA514" s="8"/>
      <x:c r="AB514" s="8"/>
      <x:c r="AC514" s="8"/>
      <x:c r="AD514" s="8"/>
      <x:c r="AE514" s="8"/>
      <x:c r="AF514" s="8"/>
      <x:c r="AG514" s="8"/>
      <x:c r="AH514" s="8"/>
      <x:c r="AI514" s="8"/>
      <x:c r="AJ514" s="8"/>
      <x:c r="AK514" s="8"/>
      <x:c r="AL514" s="8"/>
      <x:c r="AM514" s="8"/>
      <x:c r="AN514" s="8"/>
      <x:c r="AO514" s="8"/>
      <x:c r="AP514" s="8"/>
      <x:c r="AQ514" s="8"/>
      <x:c r="AR514" s="8"/>
      <x:c r="AS514" s="8"/>
      <x:c r="AT514" s="8"/>
      <x:c r="AU514" s="8"/>
      <x:c r="AV514" s="8"/>
      <x:c r="AW514" s="8"/>
      <x:c r="AX514" s="8" t="n">
        <x:v>7.09</x:v>
      </x:c>
      <x:c r="AY514" s="8" t="n">
        <x:v>66.905</x:v>
      </x:c>
      <x:c r="AZ514" s="8"/>
      <x:c r="BA514" s="8"/>
      <x:c r="BB514" s="8" t="n">
        <x:f>LET(m,MIN(IF(D514&gt;0,D514,1E+99),IF(F514&gt;0,F514,1E+99),IF(H514&gt;0,H514,1E+99),IF(J514&gt;0,J514,1E+99),IF(L514&gt;0,L514,1E+99),IF(N514&gt;0,N514,1E+99),IF(P514&gt;0,P514,1E+99),IF(R514&gt;0,R514,1E+99),IF(T514&gt;0,T514,1E+99),IF(V514&gt;0,V514,1E+99),IF(X514&gt;0,X514,1E+99),IF(Z514&gt;0,Z514,1E+99),IF(AB514&gt;0,AB514,1E+99),IF(AD514&gt;0,AD514,1E+99),IF(AF514&gt;0,AF514,1E+99),IF(AH514&gt;0,AH514,1E+99),IF(AJ514&gt;0,AJ514,1E+99),IF(AL514&gt;0,AL514,1E+99),IF(AN514&gt;0,AN514,1E+99),IF(AP514&gt;0,AP514,1E+99),IF(AR514&gt;0,AR514,1E+99),IF(AT514&gt;0,AT514,1E+99),IF(AV514&gt;0,AV514,1E+99),IF(AX514&gt;0,AX514,1E+99),IF(AZ514&gt;0,AZ514,1E+99)),IF(m=1E+99,"",m))</x:f>
        <x:v>7.09</x:v>
      </x:c>
      <x:c r="BC514" s="12" t="e">
        <x:f>IF(BB514="","",INDEX({"v1.4.20","v1.4.20","v1.4.21","v1.4.21","v1.4.23","v1.4.23","v1.4.26","v1.4.26","v1.4.26.1","v1.4.26.1","v1.4.27","v1.4.27","v1.4.29","v1.4.29","v1.4.30","v1.4.30","v1.4.31","v1.4.31","v1.4.33","v1.4.33","v1.4.35","v1.4.35.2","v1.5","v1.5.1","v1.5.1"},MATCH(BB514,CHOOSE({1,2,3,4,5,6,7,8,9,10,11,12,13,14,15,16,17,18,19,20,21,22,23,24,25},D514,F514,H514,J514,L514,N514,P514,R514,T514,V514,X514,Z514,AB514,AD514,AF514,AH514,AJ514,AL514,AN514,AP514,AR514,AT514,AV514,AX514,AZ514),0)))</x:f>
      </x:c>
      <x:c r="BD514" s="14" t="n">
        <x:f>LET(m,MIN(IF(E514&gt;0,E514,1E+99),IF(G514&gt;0,G514,1E+99),IF(I514&gt;0,I514,1E+99),IF(K514&gt;0,K514,1E+99),IF(M514&gt;0,M514,1E+99),IF(O514&gt;0,O514,1E+99),IF(Q514&gt;0,Q514,1E+99),IF(S514&gt;0,S514,1E+99),IF(U514&gt;0,U514,1E+99),IF(W514&gt;0,W514,1E+99),IF(Y514&gt;0,Y514,1E+99),IF(AA514&gt;0,AA514,1E+99),IF(AC514&gt;0,AC514,1E+99),IF(AE514&gt;0,AE514,1E+99),IF(AG514&gt;0,AG514,1E+99),IF(AI514&gt;0,AI514,1E+99),IF(AK514&gt;0,AK514,1E+99),IF(AM514&gt;0,AM514,1E+99),IF(AO514&gt;0,AO514,1E+99),IF(AQ514&gt;0,AQ514,1E+99),IF(AS514&gt;0,AS514,1E+99),IF(AU514&gt;0,AU514,1E+99),IF(AW514&gt;0,AW514,1E+99),IF(AY514&gt;0,AY514,1E+99),IF(BA514&gt;0,BA514,1E+99)),IF(m=1E+99,"",m))</x:f>
        <x:v>66.905</x:v>
      </x:c>
      <x:c r="BE514" s="16" t="e">
        <x:f>IF(BD514="","",INDEX({"v1.4.20","v1.4.20","v1.4.21","v1.4.21","v1.4.23","v1.4.23","v1.4.26","v1.4.26","v1.4.26.1","v1.4.26.1","v1.4.27","v1.4.27","v1.4.29","v1.4.29","v1.4.30","v1.4.30","v1.4.31","v1.4.31","v1.4.33","v1.4.33","v1.4.35","v1.4.35.2","v1.5","v1.5.1","v1.5.1"},MATCH(BD514,CHOOSE({1,2,3,4,5,6,7,8,9,10,11,12,13,14,15,16,17,18,19,20,21,22,23,24,25},E514,G514,I514,K514,M514,O514,Q514,S514,U514,W514,Y514,AA514,AC514,AE514,AG514,AI514,AK514,AM514,AO514,AQ514,AS514,AU514,AW514,AY514,BA514),0)))</x:f>
      </x:c>
      <x:c r="BF514" s="10" t="n">
        <x:f>IFERROR((AX514-BB514)/BB514,"")</x:f>
        <x:v>0</x:v>
      </x:c>
      <x:c r="BG514" s="10" t="n">
        <x:f>IFERROR((AY514-BD514)/BD514,"")</x:f>
        <x:v>0</x:v>
      </x:c>
    </x:row>
    <x:row r="515">
      <x:c r="A515" t="str"/>
      <x:c r="B515" t="str">
        <x:v>Run Dashboard Quality Workflow</x:v>
      </x:c>
      <x:c r="C515" t="str">
        <x:v>Section L Care Plan Sync Diagnostics complete</x:v>
      </x:c>
      <x:c r="D515" s="8"/>
      <x:c r="E515" s="8"/>
      <x:c r="F515" s="8"/>
      <x:c r="G515" s="8"/>
      <x:c r="H515" s="8"/>
      <x:c r="I515" s="8"/>
      <x:c r="J515" s="8"/>
      <x:c r="K515" s="8"/>
      <x:c r="L515" s="8"/>
      <x:c r="M515" s="8"/>
      <x:c r="N515" s="8"/>
      <x:c r="O515" s="8"/>
      <x:c r="P515" s="8"/>
      <x:c r="Q515" s="8"/>
      <x:c r="R515" s="8"/>
      <x:c r="S515" s="8"/>
      <x:c r="T515" s="8"/>
      <x:c r="U515" s="8"/>
      <x:c r="V515" s="8"/>
      <x:c r="W515" s="8"/>
      <x:c r="X515" s="8"/>
      <x:c r="Y515" s="8"/>
      <x:c r="Z515" s="8"/>
      <x:c r="AA515" s="8"/>
      <x:c r="AB515" s="8"/>
      <x:c r="AC515" s="8"/>
      <x:c r="AD515" s="8"/>
      <x:c r="AE515" s="8"/>
      <x:c r="AF515" s="8"/>
      <x:c r="AG515" s="8"/>
      <x:c r="AH515" s="8"/>
      <x:c r="AI515" s="8"/>
      <x:c r="AJ515" s="8"/>
      <x:c r="AK515" s="8"/>
      <x:c r="AL515" s="8"/>
      <x:c r="AM515" s="8"/>
      <x:c r="AN515" s="8"/>
      <x:c r="AO515" s="8"/>
      <x:c r="AP515" s="8"/>
      <x:c r="AQ515" s="8"/>
      <x:c r="AR515" s="8"/>
      <x:c r="AS515" s="8"/>
      <x:c r="AT515" s="8"/>
      <x:c r="AU515" s="8"/>
      <x:c r="AV515" s="8"/>
      <x:c r="AW515" s="8"/>
      <x:c r="AX515" s="8" t="n">
        <x:v>8.469</x:v>
      </x:c>
      <x:c r="AY515" s="8" t="n">
        <x:v>84.611</x:v>
      </x:c>
      <x:c r="AZ515" s="8"/>
      <x:c r="BA515" s="8"/>
      <x:c r="BB515" s="8" t="n">
        <x:f>LET(m,MIN(IF(D515&gt;0,D515,1E+99),IF(F515&gt;0,F515,1E+99),IF(H515&gt;0,H515,1E+99),IF(J515&gt;0,J515,1E+99),IF(L515&gt;0,L515,1E+99),IF(N515&gt;0,N515,1E+99),IF(P515&gt;0,P515,1E+99),IF(R515&gt;0,R515,1E+99),IF(T515&gt;0,T515,1E+99),IF(V515&gt;0,V515,1E+99),IF(X515&gt;0,X515,1E+99),IF(Z515&gt;0,Z515,1E+99),IF(AB515&gt;0,AB515,1E+99),IF(AD515&gt;0,AD515,1E+99),IF(AF515&gt;0,AF515,1E+99),IF(AH515&gt;0,AH515,1E+99),IF(AJ515&gt;0,AJ515,1E+99),IF(AL515&gt;0,AL515,1E+99),IF(AN515&gt;0,AN515,1E+99),IF(AP515&gt;0,AP515,1E+99),IF(AR515&gt;0,AR515,1E+99),IF(AT515&gt;0,AT515,1E+99),IF(AV515&gt;0,AV515,1E+99),IF(AX515&gt;0,AX515,1E+99),IF(AZ515&gt;0,AZ515,1E+99)),IF(m=1E+99,"",m))</x:f>
        <x:v>8.469</x:v>
      </x:c>
      <x:c r="BC515" s="12" t="e">
        <x:f>IF(BB515="","",INDEX({"v1.4.20","v1.4.20","v1.4.21","v1.4.21","v1.4.23","v1.4.23","v1.4.26","v1.4.26","v1.4.26.1","v1.4.26.1","v1.4.27","v1.4.27","v1.4.29","v1.4.29","v1.4.30","v1.4.30","v1.4.31","v1.4.31","v1.4.33","v1.4.33","v1.4.35","v1.4.35.2","v1.5","v1.5.1","v1.5.1"},MATCH(BB515,CHOOSE({1,2,3,4,5,6,7,8,9,10,11,12,13,14,15,16,17,18,19,20,21,22,23,24,25},D515,F515,H515,J515,L515,N515,P515,R515,T515,V515,X515,Z515,AB515,AD515,AF515,AH515,AJ515,AL515,AN515,AP515,AR515,AT515,AV515,AX515,AZ515),0)))</x:f>
      </x:c>
      <x:c r="BD515" s="14" t="n">
        <x:f>LET(m,MIN(IF(E515&gt;0,E515,1E+99),IF(G515&gt;0,G515,1E+99),IF(I515&gt;0,I515,1E+99),IF(K515&gt;0,K515,1E+99),IF(M515&gt;0,M515,1E+99),IF(O515&gt;0,O515,1E+99),IF(Q515&gt;0,Q515,1E+99),IF(S515&gt;0,S515,1E+99),IF(U515&gt;0,U515,1E+99),IF(W515&gt;0,W515,1E+99),IF(Y515&gt;0,Y515,1E+99),IF(AA515&gt;0,AA515,1E+99),IF(AC515&gt;0,AC515,1E+99),IF(AE515&gt;0,AE515,1E+99),IF(AG515&gt;0,AG515,1E+99),IF(AI515&gt;0,AI515,1E+99),IF(AK515&gt;0,AK515,1E+99),IF(AM515&gt;0,AM515,1E+99),IF(AO515&gt;0,AO515,1E+99),IF(AQ515&gt;0,AQ515,1E+99),IF(AS515&gt;0,AS515,1E+99),IF(AU515&gt;0,AU515,1E+99),IF(AW515&gt;0,AW515,1E+99),IF(AY515&gt;0,AY515,1E+99),IF(BA515&gt;0,BA515,1E+99)),IF(m=1E+99,"",m))</x:f>
        <x:v>84.611</x:v>
      </x:c>
      <x:c r="BE515" s="16" t="e">
        <x:f>IF(BD515="","",INDEX({"v1.4.20","v1.4.20","v1.4.21","v1.4.21","v1.4.23","v1.4.23","v1.4.26","v1.4.26","v1.4.26.1","v1.4.26.1","v1.4.27","v1.4.27","v1.4.29","v1.4.29","v1.4.30","v1.4.30","v1.4.31","v1.4.31","v1.4.33","v1.4.33","v1.4.35","v1.4.35.2","v1.5","v1.5.1","v1.5.1"},MATCH(BD515,CHOOSE({1,2,3,4,5,6,7,8,9,10,11,12,13,14,15,16,17,18,19,20,21,22,23,24,25},E515,G515,I515,K515,M515,O515,Q515,S515,U515,W515,Y515,AA515,AC515,AE515,AG515,AI515,AK515,AM515,AO515,AQ515,AS515,AU515,AW515,AY515,BA515),0)))</x:f>
      </x:c>
      <x:c r="BF515" s="10" t="n">
        <x:f>IFERROR((AX515-BB515)/BB515,"")</x:f>
        <x:v>0</x:v>
      </x:c>
      <x:c r="BG515" s="10" t="n">
        <x:f>IFERROR((AY515-BD515)/BD515,"")</x:f>
        <x:v>0</x:v>
      </x:c>
    </x:row>
    <x:row r="516">
      <x:c r="A516" t="str"/>
      <x:c r="B516" t="str">
        <x:v>Run Dashboard Quality Workflow</x:v>
      </x:c>
      <x:c r="C516" t="str">
        <x:v>Complete</x:v>
      </x:c>
      <x:c r="D516" s="8"/>
      <x:c r="E516" s="8"/>
      <x:c r="F516" s="8"/>
      <x:c r="G516" s="8"/>
      <x:c r="H516" s="8"/>
      <x:c r="I516" s="8"/>
      <x:c r="J516" s="8"/>
      <x:c r="K516" s="8"/>
      <x:c r="L516" s="8"/>
      <x:c r="M516" s="8"/>
      <x:c r="N516" s="8"/>
      <x:c r="O516" s="8"/>
      <x:c r="P516" s="8"/>
      <x:c r="Q516" s="8"/>
      <x:c r="R516" s="8"/>
      <x:c r="S516" s="8"/>
      <x:c r="T516" s="8"/>
      <x:c r="U516" s="8"/>
      <x:c r="V516" s="8"/>
      <x:c r="W516" s="8"/>
      <x:c r="X516" s="8"/>
      <x:c r="Y516" s="8"/>
      <x:c r="Z516" s="8"/>
      <x:c r="AA516" s="8"/>
      <x:c r="AB516" s="8"/>
      <x:c r="AC516" s="8"/>
      <x:c r="AD516" s="8"/>
      <x:c r="AE516" s="8"/>
      <x:c r="AF516" s="8"/>
      <x:c r="AG516" s="8"/>
      <x:c r="AH516" s="8"/>
      <x:c r="AI516" s="8"/>
      <x:c r="AJ516" s="8"/>
      <x:c r="AK516" s="8"/>
      <x:c r="AL516" s="8"/>
      <x:c r="AM516" s="8"/>
      <x:c r="AN516" s="8"/>
      <x:c r="AO516" s="8"/>
      <x:c r="AP516" s="8"/>
      <x:c r="AQ516" s="8"/>
      <x:c r="AR516" s="8"/>
      <x:c r="AS516" s="8"/>
      <x:c r="AT516" s="8"/>
      <x:c r="AU516" s="8"/>
      <x:c r="AV516" s="8"/>
      <x:c r="AW516" s="8"/>
      <x:c r="AX516" s="8" t="n">
        <x:v>0</x:v>
      </x:c>
      <x:c r="AY516" s="8" t="n">
        <x:v>84.611</x:v>
      </x:c>
      <x:c r="AZ516" s="8"/>
      <x:c r="BA516" s="8"/>
      <x:c r="BB516" s="8" t="str">
        <x:f>LET(m,MIN(IF(D516&gt;0,D516,1E+99),IF(F516&gt;0,F516,1E+99),IF(H516&gt;0,H516,1E+99),IF(J516&gt;0,J516,1E+99),IF(L516&gt;0,L516,1E+99),IF(N516&gt;0,N516,1E+99),IF(P516&gt;0,P516,1E+99),IF(R516&gt;0,R516,1E+99),IF(T516&gt;0,T516,1E+99),IF(V516&gt;0,V516,1E+99),IF(X516&gt;0,X516,1E+99),IF(Z516&gt;0,Z516,1E+99),IF(AB516&gt;0,AB516,1E+99),IF(AD516&gt;0,AD516,1E+99),IF(AF516&gt;0,AF516,1E+99),IF(AH516&gt;0,AH516,1E+99),IF(AJ516&gt;0,AJ516,1E+99),IF(AL516&gt;0,AL516,1E+99),IF(AN516&gt;0,AN516,1E+99),IF(AP516&gt;0,AP516,1E+99),IF(AR516&gt;0,AR516,1E+99),IF(AT516&gt;0,AT516,1E+99),IF(AV516&gt;0,AV516,1E+99),IF(AX516&gt;0,AX516,1E+99),IF(AZ516&gt;0,AZ516,1E+99)),IF(m=1E+99,"",m))</x:f>
      </x:c>
      <x:c r="BC516" s="12" t="str">
        <x:f>IF(BB516="","",INDEX({"v1.4.20","v1.4.20","v1.4.21","v1.4.21","v1.4.23","v1.4.23","v1.4.26","v1.4.26","v1.4.26.1","v1.4.26.1","v1.4.27","v1.4.27","v1.4.29","v1.4.29","v1.4.30","v1.4.30","v1.4.31","v1.4.31","v1.4.33","v1.4.33","v1.4.35","v1.4.35.2","v1.5","v1.5.1","v1.5.1"},MATCH(BB516,CHOOSE({1,2,3,4,5,6,7,8,9,10,11,12,13,14,15,16,17,18,19,20,21,22,23,24,25},D516,F516,H516,J516,L516,N516,P516,R516,T516,V516,X516,Z516,AB516,AD516,AF516,AH516,AJ516,AL516,AN516,AP516,AR516,AT516,AV516,AX516,AZ516),0)))</x:f>
      </x:c>
      <x:c r="BD516" s="14" t="n">
        <x:f>LET(m,MIN(IF(E516&gt;0,E516,1E+99),IF(G516&gt;0,G516,1E+99),IF(I516&gt;0,I516,1E+99),IF(K516&gt;0,K516,1E+99),IF(M516&gt;0,M516,1E+99),IF(O516&gt;0,O516,1E+99),IF(Q516&gt;0,Q516,1E+99),IF(S516&gt;0,S516,1E+99),IF(U516&gt;0,U516,1E+99),IF(W516&gt;0,W516,1E+99),IF(Y516&gt;0,Y516,1E+99),IF(AA516&gt;0,AA516,1E+99),IF(AC516&gt;0,AC516,1E+99),IF(AE516&gt;0,AE516,1E+99),IF(AG516&gt;0,AG516,1E+99),IF(AI516&gt;0,AI516,1E+99),IF(AK516&gt;0,AK516,1E+99),IF(AM516&gt;0,AM516,1E+99),IF(AO516&gt;0,AO516,1E+99),IF(AQ516&gt;0,AQ516,1E+99),IF(AS516&gt;0,AS516,1E+99),IF(AU516&gt;0,AU516,1E+99),IF(AW516&gt;0,AW516,1E+99),IF(AY516&gt;0,AY516,1E+99),IF(BA516&gt;0,BA516,1E+99)),IF(m=1E+99,"",m))</x:f>
        <x:v>84.611</x:v>
      </x:c>
      <x:c r="BE516" s="16" t="e">
        <x:f>IF(BD516="","",INDEX({"v1.4.20","v1.4.20","v1.4.21","v1.4.21","v1.4.23","v1.4.23","v1.4.26","v1.4.26","v1.4.26.1","v1.4.26.1","v1.4.27","v1.4.27","v1.4.29","v1.4.29","v1.4.30","v1.4.30","v1.4.31","v1.4.31","v1.4.33","v1.4.33","v1.4.35","v1.4.35.2","v1.5","v1.5.1","v1.5.1"},MATCH(BD516,CHOOSE({1,2,3,4,5,6,7,8,9,10,11,12,13,14,15,16,17,18,19,20,21,22,23,24,25},E516,G516,I516,K516,M516,O516,Q516,S516,U516,W516,Y516,AA516,AC516,AE516,AG516,AI516,AK516,AM516,AO516,AQ516,AS516,AU516,AW516,AY516,BA516),0)))</x:f>
      </x:c>
      <x:c r="BF516" s="10" t="str">
        <x:f>IFERROR((AX516-BB516)/BB516,"")</x:f>
      </x:c>
      <x:c r="BG516" s="10" t="n">
        <x:f>IFERROR((AY516-BD516)/BD516,"")</x:f>
        <x:v>0</x:v>
      </x:c>
    </x:row>
    <x:row r="517">
      <x:c r="A517" t="str"/>
      <x:c r="B517" t="str">
        <x:v>Run Dashboard Quality Workflow</x:v>
      </x:c>
      <x:c r="C517" t="str">
        <x:v>ERROR - RFF_DASHBOARD_AUDIT_SHEET is not defined</x:v>
      </x:c>
      <x:c r="D517" s="8"/>
      <x:c r="E517" s="8"/>
      <x:c r="F517" s="8"/>
      <x:c r="G517" s="8"/>
      <x:c r="H517" s="8"/>
      <x:c r="I517" s="8"/>
      <x:c r="J517" s="8"/>
      <x:c r="K517" s="8"/>
      <x:c r="L517" s="8"/>
      <x:c r="M517" s="8"/>
      <x:c r="N517" s="8"/>
      <x:c r="O517" s="8"/>
      <x:c r="P517" s="8"/>
      <x:c r="Q517" s="8"/>
      <x:c r="R517" s="8"/>
      <x:c r="S517" s="8"/>
      <x:c r="T517" s="8"/>
      <x:c r="U517" s="8"/>
      <x:c r="V517" s="8"/>
      <x:c r="W517" s="8"/>
      <x:c r="X517" s="8"/>
      <x:c r="Y517" s="8"/>
      <x:c r="Z517" s="8"/>
      <x:c r="AA517" s="8"/>
      <x:c r="AB517" s="8"/>
      <x:c r="AC517" s="8"/>
      <x:c r="AD517" s="8"/>
      <x:c r="AE517" s="8"/>
      <x:c r="AF517" s="8"/>
      <x:c r="AG517" s="8"/>
      <x:c r="AH517" s="8"/>
      <x:c r="AI517" s="8"/>
      <x:c r="AJ517" s="8"/>
      <x:c r="AK517" s="8"/>
      <x:c r="AL517" s="8"/>
      <x:c r="AM517" s="8"/>
      <x:c r="AN517" s="8"/>
      <x:c r="AO517" s="8"/>
      <x:c r="AP517" s="8"/>
      <x:c r="AQ517" s="8"/>
      <x:c r="AR517" s="8"/>
      <x:c r="AS517" s="8"/>
      <x:c r="AT517" s="8"/>
      <x:c r="AU517" s="8"/>
      <x:c r="AV517" s="8" t="n">
        <x:v>0.002</x:v>
      </x:c>
      <x:c r="AW517" s="8" t="n">
        <x:v>0.002</x:v>
      </x:c>
      <x:c r="AX517" s="8"/>
      <x:c r="AY517" s="8"/>
      <x:c r="AZ517" s="8"/>
      <x:c r="BA517" s="8"/>
      <x:c r="BB517" s="8" t="n">
        <x:f>LET(m,MIN(IF(D517&gt;0,D517,1E+99),IF(F517&gt;0,F517,1E+99),IF(H517&gt;0,H517,1E+99),IF(J517&gt;0,J517,1E+99),IF(L517&gt;0,L517,1E+99),IF(N517&gt;0,N517,1E+99),IF(P517&gt;0,P517,1E+99),IF(R517&gt;0,R517,1E+99),IF(T517&gt;0,T517,1E+99),IF(V517&gt;0,V517,1E+99),IF(X517&gt;0,X517,1E+99),IF(Z517&gt;0,Z517,1E+99),IF(AB517&gt;0,AB517,1E+99),IF(AD517&gt;0,AD517,1E+99),IF(AF517&gt;0,AF517,1E+99),IF(AH517&gt;0,AH517,1E+99),IF(AJ517&gt;0,AJ517,1E+99),IF(AL517&gt;0,AL517,1E+99),IF(AN517&gt;0,AN517,1E+99),IF(AP517&gt;0,AP517,1E+99),IF(AR517&gt;0,AR517,1E+99),IF(AT517&gt;0,AT517,1E+99),IF(AV517&gt;0,AV517,1E+99),IF(AX517&gt;0,AX517,1E+99),IF(AZ517&gt;0,AZ517,1E+99)),IF(m=1E+99,"",m))</x:f>
        <x:v>0.002</x:v>
      </x:c>
      <x:c r="BC517" s="12" t="e">
        <x:f>IF(BB517="","",INDEX({"v1.4.20","v1.4.20","v1.4.21","v1.4.21","v1.4.23","v1.4.23","v1.4.26","v1.4.26","v1.4.26.1","v1.4.26.1","v1.4.27","v1.4.27","v1.4.29","v1.4.29","v1.4.30","v1.4.30","v1.4.31","v1.4.31","v1.4.33","v1.4.33","v1.4.35","v1.4.35.2","v1.5","v1.5.1","v1.5.1"},MATCH(BB517,CHOOSE({1,2,3,4,5,6,7,8,9,10,11,12,13,14,15,16,17,18,19,20,21,22,23,24,25},D517,F517,H517,J517,L517,N517,P517,R517,T517,V517,X517,Z517,AB517,AD517,AF517,AH517,AJ517,AL517,AN517,AP517,AR517,AT517,AV517,AX517,AZ517),0)))</x:f>
      </x:c>
      <x:c r="BD517" s="14" t="n">
        <x:f>LET(m,MIN(IF(E517&gt;0,E517,1E+99),IF(G517&gt;0,G517,1E+99),IF(I517&gt;0,I517,1E+99),IF(K517&gt;0,K517,1E+99),IF(M517&gt;0,M517,1E+99),IF(O517&gt;0,O517,1E+99),IF(Q517&gt;0,Q517,1E+99),IF(S517&gt;0,S517,1E+99),IF(U517&gt;0,U517,1E+99),IF(W517&gt;0,W517,1E+99),IF(Y517&gt;0,Y517,1E+99),IF(AA517&gt;0,AA517,1E+99),IF(AC517&gt;0,AC517,1E+99),IF(AE517&gt;0,AE517,1E+99),IF(AG517&gt;0,AG517,1E+99),IF(AI517&gt;0,AI517,1E+99),IF(AK517&gt;0,AK517,1E+99),IF(AM517&gt;0,AM517,1E+99),IF(AO517&gt;0,AO517,1E+99),IF(AQ517&gt;0,AQ517,1E+99),IF(AS517&gt;0,AS517,1E+99),IF(AU517&gt;0,AU517,1E+99),IF(AW517&gt;0,AW517,1E+99),IF(AY517&gt;0,AY517,1E+99),IF(BA517&gt;0,BA517,1E+99)),IF(m=1E+99,"",m))</x:f>
        <x:v>0.002</x:v>
      </x:c>
      <x:c r="BE517" s="16" t="e">
        <x:f>IF(BD517="","",INDEX({"v1.4.20","v1.4.20","v1.4.21","v1.4.21","v1.4.23","v1.4.23","v1.4.26","v1.4.26","v1.4.26.1","v1.4.26.1","v1.4.27","v1.4.27","v1.4.29","v1.4.29","v1.4.30","v1.4.30","v1.4.31","v1.4.31","v1.4.33","v1.4.33","v1.4.35","v1.4.35.2","v1.5","v1.5.1","v1.5.1"},MATCH(BD517,CHOOSE({1,2,3,4,5,6,7,8,9,10,11,12,13,14,15,16,17,18,19,20,21,22,23,24,25},E517,G517,I517,K517,M517,O517,Q517,S517,U517,W517,Y517,AA517,AC517,AE517,AG517,AI517,AK517,AM517,AO517,AQ517,AS517,AU517,AW517,AY517,BA517),0)))</x:f>
      </x:c>
      <x:c r="BF517" s="10" t="n">
        <x:f>IFERROR((AX517-BB517)/BB517,"")</x:f>
        <x:v>-1</x:v>
      </x:c>
      <x:c r="BG517" s="10" t="n">
        <x:f>IFERROR((AY517-BD517)/BD517,"")</x:f>
        <x:v>-1</x:v>
      </x:c>
    </x:row>
    <x:row r="518">
      <x:c r="A518" t="str">
        <x:v>Master List</x:v>
      </x:c>
      <x:c r="B518" t="str">
        <x:v>Run Dashboard Quality Workflow</x:v>
      </x:c>
      <x:c r="C518" t="str">
        <x:v>Section K Master List Health Check complete</x:v>
      </x:c>
      <x:c r="D518" s="8"/>
      <x:c r="E518" s="8"/>
      <x:c r="F518" s="8"/>
      <x:c r="G518" s="8"/>
      <x:c r="H518" s="8"/>
      <x:c r="I518" s="8"/>
      <x:c r="J518" s="8"/>
      <x:c r="K518" s="8"/>
      <x:c r="L518" s="8"/>
      <x:c r="M518" s="8"/>
      <x:c r="N518" s="8"/>
      <x:c r="O518" s="8"/>
      <x:c r="P518" s="8"/>
      <x:c r="Q518" s="8"/>
      <x:c r="R518" s="8"/>
      <x:c r="S518" s="8"/>
      <x:c r="T518" s="8"/>
      <x:c r="U518" s="8"/>
      <x:c r="V518" s="8"/>
      <x:c r="W518" s="8"/>
      <x:c r="X518" s="8"/>
      <x:c r="Y518" s="8"/>
      <x:c r="Z518" s="8"/>
      <x:c r="AA518" s="8"/>
      <x:c r="AB518" s="8"/>
      <x:c r="AC518" s="8"/>
      <x:c r="AD518" s="8"/>
      <x:c r="AE518" s="8"/>
      <x:c r="AF518" s="8"/>
      <x:c r="AG518" s="8"/>
      <x:c r="AH518" s="8"/>
      <x:c r="AI518" s="8"/>
      <x:c r="AJ518" s="8"/>
      <x:c r="AK518" s="8"/>
      <x:c r="AL518" s="8"/>
      <x:c r="AM518" s="8"/>
      <x:c r="AN518" s="8"/>
      <x:c r="AO518" s="8"/>
      <x:c r="AP518" s="8"/>
      <x:c r="AQ518" s="8"/>
      <x:c r="AR518" s="8"/>
      <x:c r="AS518" s="8"/>
      <x:c r="AT518" s="8"/>
      <x:c r="AU518" s="8"/>
      <x:c r="AV518" s="8"/>
      <x:c r="AW518" s="8"/>
      <x:c r="AX518" s="8" t="n">
        <x:v>9.237</x:v>
      </x:c>
      <x:c r="AY518" s="8" t="n">
        <x:v>76.142</x:v>
      </x:c>
      <x:c r="AZ518" s="8"/>
      <x:c r="BA518" s="8"/>
      <x:c r="BB518" s="8" t="n">
        <x:f>LET(m,MIN(IF(D518&gt;0,D518,1E+99),IF(F518&gt;0,F518,1E+99),IF(H518&gt;0,H518,1E+99),IF(J518&gt;0,J518,1E+99),IF(L518&gt;0,L518,1E+99),IF(N518&gt;0,N518,1E+99),IF(P518&gt;0,P518,1E+99),IF(R518&gt;0,R518,1E+99),IF(T518&gt;0,T518,1E+99),IF(V518&gt;0,V518,1E+99),IF(X518&gt;0,X518,1E+99),IF(Z518&gt;0,Z518,1E+99),IF(AB518&gt;0,AB518,1E+99),IF(AD518&gt;0,AD518,1E+99),IF(AF518&gt;0,AF518,1E+99),IF(AH518&gt;0,AH518,1E+99),IF(AJ518&gt;0,AJ518,1E+99),IF(AL518&gt;0,AL518,1E+99),IF(AN518&gt;0,AN518,1E+99),IF(AP518&gt;0,AP518,1E+99),IF(AR518&gt;0,AR518,1E+99),IF(AT518&gt;0,AT518,1E+99),IF(AV518&gt;0,AV518,1E+99),IF(AX518&gt;0,AX518,1E+99),IF(AZ518&gt;0,AZ518,1E+99)),IF(m=1E+99,"",m))</x:f>
        <x:v>9.237</x:v>
      </x:c>
      <x:c r="BC518" s="12" t="e">
        <x:f>IF(BB518="","",INDEX({"v1.4.20","v1.4.20","v1.4.21","v1.4.21","v1.4.23","v1.4.23","v1.4.26","v1.4.26","v1.4.26.1","v1.4.26.1","v1.4.27","v1.4.27","v1.4.29","v1.4.29","v1.4.30","v1.4.30","v1.4.31","v1.4.31","v1.4.33","v1.4.33","v1.4.35","v1.4.35.2","v1.5","v1.5.1","v1.5.1"},MATCH(BB518,CHOOSE({1,2,3,4,5,6,7,8,9,10,11,12,13,14,15,16,17,18,19,20,21,22,23,24,25},D518,F518,H518,J518,L518,N518,P518,R518,T518,V518,X518,Z518,AB518,AD518,AF518,AH518,AJ518,AL518,AN518,AP518,AR518,AT518,AV518,AX518,AZ518),0)))</x:f>
      </x:c>
      <x:c r="BD518" s="14" t="n">
        <x:f>LET(m,MIN(IF(E518&gt;0,E518,1E+99),IF(G518&gt;0,G518,1E+99),IF(I518&gt;0,I518,1E+99),IF(K518&gt;0,K518,1E+99),IF(M518&gt;0,M518,1E+99),IF(O518&gt;0,O518,1E+99),IF(Q518&gt;0,Q518,1E+99),IF(S518&gt;0,S518,1E+99),IF(U518&gt;0,U518,1E+99),IF(W518&gt;0,W518,1E+99),IF(Y518&gt;0,Y518,1E+99),IF(AA518&gt;0,AA518,1E+99),IF(AC518&gt;0,AC518,1E+99),IF(AE518&gt;0,AE518,1E+99),IF(AG518&gt;0,AG518,1E+99),IF(AI518&gt;0,AI518,1E+99),IF(AK518&gt;0,AK518,1E+99),IF(AM518&gt;0,AM518,1E+99),IF(AO518&gt;0,AO518,1E+99),IF(AQ518&gt;0,AQ518,1E+99),IF(AS518&gt;0,AS518,1E+99),IF(AU518&gt;0,AU518,1E+99),IF(AW518&gt;0,AW518,1E+99),IF(AY518&gt;0,AY518,1E+99),IF(BA518&gt;0,BA518,1E+99)),IF(m=1E+99,"",m))</x:f>
        <x:v>76.142</x:v>
      </x:c>
      <x:c r="BE518" s="16" t="e">
        <x:f>IF(BD518="","",INDEX({"v1.4.20","v1.4.20","v1.4.21","v1.4.21","v1.4.23","v1.4.23","v1.4.26","v1.4.26","v1.4.26.1","v1.4.26.1","v1.4.27","v1.4.27","v1.4.29","v1.4.29","v1.4.30","v1.4.30","v1.4.31","v1.4.31","v1.4.33","v1.4.33","v1.4.35","v1.4.35.2","v1.5","v1.5.1","v1.5.1"},MATCH(BD518,CHOOSE({1,2,3,4,5,6,7,8,9,10,11,12,13,14,15,16,17,18,19,20,21,22,23,24,25},E518,G518,I518,K518,M518,O518,Q518,S518,U518,W518,Y518,AA518,AC518,AE518,AG518,AI518,AK518,AM518,AO518,AQ518,AS518,AU518,AW518,AY518,BA518),0)))</x:f>
      </x:c>
      <x:c r="BF518" s="10" t="n">
        <x:f>IFERROR((AX518-BB518)/BB518,"")</x:f>
        <x:v>0</x:v>
      </x:c>
      <x:c r="BG518" s="10" t="n">
        <x:f>IFERROR((AY518-BD518)/BD518,"")</x:f>
        <x:v>0</x:v>
      </x:c>
    </x:row>
    <x:row r="519">
      <x:c r="A519" t="str"/>
      <x:c r="B519" t="str">
        <x:v>Build Dashboard Quality Report</x:v>
      </x:c>
      <x:c r="C519" t="str">
        <x:v>Complete</x:v>
      </x:c>
      <x:c r="D519" s="8" t="n">
        <x:v>0</x:v>
      </x:c>
      <x:c r="E519" s="8" t="n">
        <x:v>43.167</x:v>
      </x:c>
      <x:c r="F519" s="8"/>
      <x:c r="G519" s="8"/>
      <x:c r="H519" s="8" t="n">
        <x:v>0</x:v>
      </x:c>
      <x:c r="I519" s="8" t="n">
        <x:v>46.193</x:v>
      </x:c>
      <x:c r="J519" s="8" t="n">
        <x:v>0</x:v>
      </x:c>
      <x:c r="K519" s="8" t="n">
        <x:v>46.193</x:v>
      </x:c>
      <x:c r="L519" s="8"/>
      <x:c r="M519" s="8"/>
      <x:c r="N519" s="8"/>
      <x:c r="O519" s="8"/>
      <x:c r="P519" s="8"/>
      <x:c r="Q519" s="8"/>
      <x:c r="R519" s="8"/>
      <x:c r="S519" s="8"/>
      <x:c r="T519" s="8"/>
      <x:c r="U519" s="8"/>
      <x:c r="V519" s="8"/>
      <x:c r="W519" s="8"/>
      <x:c r="X519" s="8"/>
      <x:c r="Y519" s="8"/>
      <x:c r="Z519" s="8"/>
      <x:c r="AA519" s="8"/>
      <x:c r="AB519" s="8"/>
      <x:c r="AC519" s="8"/>
      <x:c r="AD519" s="8"/>
      <x:c r="AE519" s="8"/>
      <x:c r="AF519" s="8"/>
      <x:c r="AG519" s="8"/>
      <x:c r="AH519" s="8"/>
      <x:c r="AI519" s="8"/>
      <x:c r="AJ519" s="8"/>
      <x:c r="AK519" s="8"/>
      <x:c r="AL519" s="8"/>
      <x:c r="AM519" s="8"/>
      <x:c r="AN519" s="8"/>
      <x:c r="AO519" s="8"/>
      <x:c r="AP519" s="8"/>
      <x:c r="AQ519" s="8"/>
      <x:c r="AR519" s="8"/>
      <x:c r="AS519" s="8"/>
      <x:c r="AT519" s="8"/>
      <x:c r="AU519" s="8"/>
      <x:c r="AV519" s="8"/>
      <x:c r="AW519" s="8"/>
      <x:c r="AX519" s="8"/>
      <x:c r="AY519" s="8"/>
      <x:c r="AZ519" s="8"/>
      <x:c r="BA519" s="8"/>
      <x:c r="BB519" s="8" t="str">
        <x:f>LET(m,MIN(IF(D519&gt;0,D519,1E+99),IF(F519&gt;0,F519,1E+99),IF(H519&gt;0,H519,1E+99),IF(J519&gt;0,J519,1E+99),IF(L519&gt;0,L519,1E+99),IF(N519&gt;0,N519,1E+99),IF(P519&gt;0,P519,1E+99),IF(R519&gt;0,R519,1E+99),IF(T519&gt;0,T519,1E+99),IF(V519&gt;0,V519,1E+99),IF(X519&gt;0,X519,1E+99),IF(Z519&gt;0,Z519,1E+99),IF(AB519&gt;0,AB519,1E+99),IF(AD519&gt;0,AD519,1E+99),IF(AF519&gt;0,AF519,1E+99),IF(AH519&gt;0,AH519,1E+99),IF(AJ519&gt;0,AJ519,1E+99),IF(AL519&gt;0,AL519,1E+99),IF(AN519&gt;0,AN519,1E+99),IF(AP519&gt;0,AP519,1E+99),IF(AR519&gt;0,AR519,1E+99),IF(AT519&gt;0,AT519,1E+99),IF(AV519&gt;0,AV519,1E+99),IF(AX519&gt;0,AX519,1E+99),IF(AZ519&gt;0,AZ519,1E+99)),IF(m=1E+99,"",m))</x:f>
      </x:c>
      <x:c r="BC519" s="12" t="str">
        <x:f>IF(BB519="","",INDEX({"v1.4.20","v1.4.20","v1.4.21","v1.4.21","v1.4.23","v1.4.23","v1.4.26","v1.4.26","v1.4.26.1","v1.4.26.1","v1.4.27","v1.4.27","v1.4.29","v1.4.29","v1.4.30","v1.4.30","v1.4.31","v1.4.31","v1.4.33","v1.4.33","v1.4.35","v1.4.35.2","v1.5","v1.5.1","v1.5.1"},MATCH(BB519,CHOOSE({1,2,3,4,5,6,7,8,9,10,11,12,13,14,15,16,17,18,19,20,21,22,23,24,25},D519,F519,H519,J519,L519,N519,P519,R519,T519,V519,X519,Z519,AB519,AD519,AF519,AH519,AJ519,AL519,AN519,AP519,AR519,AT519,AV519,AX519,AZ519),0)))</x:f>
      </x:c>
      <x:c r="BD519" s="14" t="n">
        <x:f>LET(m,MIN(IF(E519&gt;0,E519,1E+99),IF(G519&gt;0,G519,1E+99),IF(I519&gt;0,I519,1E+99),IF(K519&gt;0,K519,1E+99),IF(M519&gt;0,M519,1E+99),IF(O519&gt;0,O519,1E+99),IF(Q519&gt;0,Q519,1E+99),IF(S519&gt;0,S519,1E+99),IF(U519&gt;0,U519,1E+99),IF(W519&gt;0,W519,1E+99),IF(Y519&gt;0,Y519,1E+99),IF(AA519&gt;0,AA519,1E+99),IF(AC519&gt;0,AC519,1E+99),IF(AE519&gt;0,AE519,1E+99),IF(AG519&gt;0,AG519,1E+99),IF(AI519&gt;0,AI519,1E+99),IF(AK519&gt;0,AK519,1E+99),IF(AM519&gt;0,AM519,1E+99),IF(AO519&gt;0,AO519,1E+99),IF(AQ519&gt;0,AQ519,1E+99),IF(AS519&gt;0,AS519,1E+99),IF(AU519&gt;0,AU519,1E+99),IF(AW519&gt;0,AW519,1E+99),IF(AY519&gt;0,AY519,1E+99),IF(BA519&gt;0,BA519,1E+99)),IF(m=1E+99,"",m))</x:f>
        <x:v>43.167</x:v>
      </x:c>
      <x:c r="BE519" s="16" t="str">
        <x:f>IF(BD519="","",INDEX({"v1.4.20","v1.4.20","v1.4.21","v1.4.21","v1.4.23","v1.4.23","v1.4.26","v1.4.26","v1.4.26.1","v1.4.26.1","v1.4.27","v1.4.27","v1.4.29","v1.4.29","v1.4.30","v1.4.30","v1.4.31","v1.4.31","v1.4.33","v1.4.33","v1.4.35","v1.4.35.2","v1.5","v1.5.1","v1.5.1"},MATCH(BD519,CHOOSE({1,2,3,4,5,6,7,8,9,10,11,12,13,14,15,16,17,18,19,20,21,22,23,24,25},E519,G519,I519,K519,M519,O519,Q519,S519,U519,W519,Y519,AA519,AC519,AE519,AG519,AI519,AK519,AM519,AO519,AQ519,AS519,AU519,AW519,AY519,BA519),0)))</x:f>
        <x:v>v1.4.20</x:v>
      </x:c>
      <x:c r="BF519" s="10" t="str">
        <x:f>IFERROR((AX519-BB519)/BB519,"")</x:f>
      </x:c>
      <x:c r="BG519" s="10" t="n">
        <x:f>IFERROR((AY519-BD519)/BD519,"")</x:f>
        <x:v>-1</x:v>
      </x:c>
    </x:row>
    <x:row r="520">
      <x:c r="A520" t="str"/>
      <x:c r="B520" t="str">
        <x:v>Run All Framework Tests + Dashboard</x:v>
      </x:c>
      <x:c r="C520" t="str">
        <x:v>Complete</x:v>
      </x:c>
      <x:c r="D520" s="8" t="n">
        <x:v>0</x:v>
      </x:c>
      <x:c r="E520" s="8" t="n">
        <x:v>118.184</x:v>
      </x:c>
      <x:c r="F520" s="8"/>
      <x:c r="G520" s="8"/>
      <x:c r="H520" s="8" t="n">
        <x:v>0</x:v>
      </x:c>
      <x:c r="I520" s="8" t="n">
        <x:v>82.684</x:v>
      </x:c>
      <x:c r="J520" s="8" t="n">
        <x:v>0</x:v>
      </x:c>
      <x:c r="K520" s="8" t="n">
        <x:v>82.684</x:v>
      </x:c>
      <x:c r="L520" s="8"/>
      <x:c r="M520" s="8"/>
      <x:c r="N520" s="8"/>
      <x:c r="O520" s="8"/>
      <x:c r="P520" s="8"/>
      <x:c r="Q520" s="8"/>
      <x:c r="R520" s="8"/>
      <x:c r="S520" s="8"/>
      <x:c r="T520" s="8"/>
      <x:c r="U520" s="8"/>
      <x:c r="V520" s="8" t="n">
        <x:v>0</x:v>
      </x:c>
      <x:c r="W520" s="8" t="n">
        <x:v>75.272</x:v>
      </x:c>
      <x:c r="X520" s="8" t="n">
        <x:v>0</x:v>
      </x:c>
      <x:c r="Y520" s="8" t="n">
        <x:v>117.834</x:v>
      </x:c>
      <x:c r="Z520" s="8" t="n">
        <x:v>0</x:v>
      </x:c>
      <x:c r="AA520" s="8" t="n">
        <x:v>117.834</x:v>
      </x:c>
      <x:c r="AB520" s="8" t="n">
        <x:v>0</x:v>
      </x:c>
      <x:c r="AC520" s="8" t="n">
        <x:v>172.52</x:v>
      </x:c>
      <x:c r="AD520" s="8" t="n">
        <x:v>0</x:v>
      </x:c>
      <x:c r="AE520" s="8" t="n">
        <x:v>172.52</x:v>
      </x:c>
      <x:c r="AF520" s="8" t="n">
        <x:v>0</x:v>
      </x:c>
      <x:c r="AG520" s="8" t="n">
        <x:v>111.541</x:v>
      </x:c>
      <x:c r="AH520" s="8" t="n">
        <x:v>0</x:v>
      </x:c>
      <x:c r="AI520" s="8" t="n">
        <x:v>111.541</x:v>
      </x:c>
      <x:c r="AJ520" s="8"/>
      <x:c r="AK520" s="8"/>
      <x:c r="AL520" s="8" t="n">
        <x:v>0</x:v>
      </x:c>
      <x:c r="AM520" s="8" t="n">
        <x:v>164.905</x:v>
      </x:c>
      <x:c r="AN520" s="8" t="n">
        <x:v>0.001</x:v>
      </x:c>
      <x:c r="AO520" s="8" t="n">
        <x:v>74.159</x:v>
      </x:c>
      <x:c r="AP520" s="8"/>
      <x:c r="AQ520" s="8"/>
      <x:c r="AR520" s="8"/>
      <x:c r="AS520" s="8"/>
      <x:c r="AT520" s="8" t="n">
        <x:v>0</x:v>
      </x:c>
      <x:c r="AU520" s="8" t="n">
        <x:v>67.37</x:v>
      </x:c>
      <x:c r="AV520" s="8"/>
      <x:c r="AW520" s="8"/>
      <x:c r="AX520" s="8"/>
      <x:c r="AY520" s="8"/>
      <x:c r="AZ520" s="8"/>
      <x:c r="BA520" s="8"/>
      <x:c r="BB520" s="8" t="n">
        <x:f>LET(m,MIN(IF(D520&gt;0,D520,1E+99),IF(F520&gt;0,F520,1E+99),IF(H520&gt;0,H520,1E+99),IF(J520&gt;0,J520,1E+99),IF(L520&gt;0,L520,1E+99),IF(N520&gt;0,N520,1E+99),IF(P520&gt;0,P520,1E+99),IF(R520&gt;0,R520,1E+99),IF(T520&gt;0,T520,1E+99),IF(V520&gt;0,V520,1E+99),IF(X520&gt;0,X520,1E+99),IF(Z520&gt;0,Z520,1E+99),IF(AB520&gt;0,AB520,1E+99),IF(AD520&gt;0,AD520,1E+99),IF(AF520&gt;0,AF520,1E+99),IF(AH520&gt;0,AH520,1E+99),IF(AJ520&gt;0,AJ520,1E+99),IF(AL520&gt;0,AL520,1E+99),IF(AN520&gt;0,AN520,1E+99),IF(AP520&gt;0,AP520,1E+99),IF(AR520&gt;0,AR520,1E+99),IF(AT520&gt;0,AT520,1E+99),IF(AV520&gt;0,AV520,1E+99),IF(AX520&gt;0,AX520,1E+99),IF(AZ520&gt;0,AZ520,1E+99)),IF(m=1E+99,"",m))</x:f>
        <x:v>0.001</x:v>
      </x:c>
      <x:c r="BC520" s="12" t="e">
        <x:f>IF(BB520="","",INDEX({"v1.4.20","v1.4.20","v1.4.21","v1.4.21","v1.4.23","v1.4.23","v1.4.26","v1.4.26","v1.4.26.1","v1.4.26.1","v1.4.27","v1.4.27","v1.4.29","v1.4.29","v1.4.30","v1.4.30","v1.4.31","v1.4.31","v1.4.33","v1.4.33","v1.4.35","v1.4.35.2","v1.5","v1.5.1","v1.5.1"},MATCH(BB520,CHOOSE({1,2,3,4,5,6,7,8,9,10,11,12,13,14,15,16,17,18,19,20,21,22,23,24,25},D520,F520,H520,J520,L520,N520,P520,R520,T520,V520,X520,Z520,AB520,AD520,AF520,AH520,AJ520,AL520,AN520,AP520,AR520,AT520,AV520,AX520,AZ520),0)))</x:f>
      </x:c>
      <x:c r="BD520" s="14" t="n">
        <x:f>LET(m,MIN(IF(E520&gt;0,E520,1E+99),IF(G520&gt;0,G520,1E+99),IF(I520&gt;0,I520,1E+99),IF(K520&gt;0,K520,1E+99),IF(M520&gt;0,M520,1E+99),IF(O520&gt;0,O520,1E+99),IF(Q520&gt;0,Q520,1E+99),IF(S520&gt;0,S520,1E+99),IF(U520&gt;0,U520,1E+99),IF(W520&gt;0,W520,1E+99),IF(Y520&gt;0,Y520,1E+99),IF(AA520&gt;0,AA520,1E+99),IF(AC520&gt;0,AC520,1E+99),IF(AE520&gt;0,AE520,1E+99),IF(AG520&gt;0,AG520,1E+99),IF(AI520&gt;0,AI520,1E+99),IF(AK520&gt;0,AK520,1E+99),IF(AM520&gt;0,AM520,1E+99),IF(AO520&gt;0,AO520,1E+99),IF(AQ520&gt;0,AQ520,1E+99),IF(AS520&gt;0,AS520,1E+99),IF(AU520&gt;0,AU520,1E+99),IF(AW520&gt;0,AW520,1E+99),IF(AY520&gt;0,AY520,1E+99),IF(BA520&gt;0,BA520,1E+99)),IF(m=1E+99,"",m))</x:f>
        <x:v>67.37</x:v>
      </x:c>
      <x:c r="BE520" s="16" t="e">
        <x:f>IF(BD520="","",INDEX({"v1.4.20","v1.4.20","v1.4.21","v1.4.21","v1.4.23","v1.4.23","v1.4.26","v1.4.26","v1.4.26.1","v1.4.26.1","v1.4.27","v1.4.27","v1.4.29","v1.4.29","v1.4.30","v1.4.30","v1.4.31","v1.4.31","v1.4.33","v1.4.33","v1.4.35","v1.4.35.2","v1.5","v1.5.1","v1.5.1"},MATCH(BD520,CHOOSE({1,2,3,4,5,6,7,8,9,10,11,12,13,14,15,16,17,18,19,20,21,22,23,24,25},E520,G520,I520,K520,M520,O520,Q520,S520,U520,W520,Y520,AA520,AC520,AE520,AG520,AI520,AK520,AM520,AO520,AQ520,AS520,AU520,AW520,AY520,BA520),0)))</x:f>
      </x:c>
      <x:c r="BF520" s="10" t="n">
        <x:f>IFERROR((AX520-BB520)/BB520,"")</x:f>
        <x:v>-1</x:v>
      </x:c>
      <x:c r="BG520" s="10" t="n">
        <x:f>IFERROR((AY520-BD520)/BD520,"")</x:f>
        <x:v>-1</x:v>
      </x:c>
    </x:row>
    <x:row r="521">
      <x:c r="A521" t="str"/>
      <x:c r="B521" t="str">
        <x:v>Run All Framework Tests + Dashboard</x:v>
      </x:c>
      <x:c r="C521" t="str">
        <x:v>Dashboard Quality Report built</x:v>
      </x:c>
      <x:c r="D521" s="8" t="n">
        <x:v>45.835</x:v>
      </x:c>
      <x:c r="E521" s="8" t="n">
        <x:v>118.184</x:v>
      </x:c>
      <x:c r="F521" s="8"/>
      <x:c r="G521" s="8"/>
      <x:c r="H521" s="8" t="n">
        <x:v>48.651</x:v>
      </x:c>
      <x:c r="I521" s="8" t="n">
        <x:v>82.684</x:v>
      </x:c>
      <x:c r="J521" s="8" t="n">
        <x:v>48.651</x:v>
      </x:c>
      <x:c r="K521" s="8" t="n">
        <x:v>82.684</x:v>
      </x:c>
      <x:c r="L521" s="8"/>
      <x:c r="M521" s="8"/>
      <x:c r="N521" s="8"/>
      <x:c r="O521" s="8"/>
      <x:c r="P521" s="8"/>
      <x:c r="Q521" s="8"/>
      <x:c r="R521" s="8"/>
      <x:c r="S521" s="8"/>
      <x:c r="T521" s="8"/>
      <x:c r="U521" s="8"/>
      <x:c r="V521" s="8"/>
      <x:c r="W521" s="8"/>
      <x:c r="X521" s="8"/>
      <x:c r="Y521" s="8"/>
      <x:c r="Z521" s="8"/>
      <x:c r="AA521" s="8"/>
      <x:c r="AB521" s="8"/>
      <x:c r="AC521" s="8"/>
      <x:c r="AD521" s="8"/>
      <x:c r="AE521" s="8"/>
      <x:c r="AF521" s="8"/>
      <x:c r="AG521" s="8"/>
      <x:c r="AH521" s="8"/>
      <x:c r="AI521" s="8"/>
      <x:c r="AJ521" s="8"/>
      <x:c r="AK521" s="8"/>
      <x:c r="AL521" s="8"/>
      <x:c r="AM521" s="8"/>
      <x:c r="AN521" s="8"/>
      <x:c r="AO521" s="8"/>
      <x:c r="AP521" s="8"/>
      <x:c r="AQ521" s="8"/>
      <x:c r="AR521" s="8"/>
      <x:c r="AS521" s="8"/>
      <x:c r="AT521" s="8"/>
      <x:c r="AU521" s="8"/>
      <x:c r="AV521" s="8"/>
      <x:c r="AW521" s="8"/>
      <x:c r="AX521" s="8"/>
      <x:c r="AY521" s="8"/>
      <x:c r="AZ521" s="8"/>
      <x:c r="BA521" s="8"/>
      <x:c r="BB521" s="8" t="n">
        <x:f>LET(m,MIN(IF(D521&gt;0,D521,1E+99),IF(F521&gt;0,F521,1E+99),IF(H521&gt;0,H521,1E+99),IF(J521&gt;0,J521,1E+99),IF(L521&gt;0,L521,1E+99),IF(N521&gt;0,N521,1E+99),IF(P521&gt;0,P521,1E+99),IF(R521&gt;0,R521,1E+99),IF(T521&gt;0,T521,1E+99),IF(V521&gt;0,V521,1E+99),IF(X521&gt;0,X521,1E+99),IF(Z521&gt;0,Z521,1E+99),IF(AB521&gt;0,AB521,1E+99),IF(AD521&gt;0,AD521,1E+99),IF(AF521&gt;0,AF521,1E+99),IF(AH521&gt;0,AH521,1E+99),IF(AJ521&gt;0,AJ521,1E+99),IF(AL521&gt;0,AL521,1E+99),IF(AN521&gt;0,AN521,1E+99),IF(AP521&gt;0,AP521,1E+99),IF(AR521&gt;0,AR521,1E+99),IF(AT521&gt;0,AT521,1E+99),IF(AV521&gt;0,AV521,1E+99),IF(AX521&gt;0,AX521,1E+99),IF(AZ521&gt;0,AZ521,1E+99)),IF(m=1E+99,"",m))</x:f>
        <x:v>45.835</x:v>
      </x:c>
      <x:c r="BC521" s="12" t="str">
        <x:f>IF(BB521="","",INDEX({"v1.4.20","v1.4.20","v1.4.21","v1.4.21","v1.4.23","v1.4.23","v1.4.26","v1.4.26","v1.4.26.1","v1.4.26.1","v1.4.27","v1.4.27","v1.4.29","v1.4.29","v1.4.30","v1.4.30","v1.4.31","v1.4.31","v1.4.33","v1.4.33","v1.4.35","v1.4.35.2","v1.5","v1.5.1","v1.5.1"},MATCH(BB521,CHOOSE({1,2,3,4,5,6,7,8,9,10,11,12,13,14,15,16,17,18,19,20,21,22,23,24,25},D521,F521,H521,J521,L521,N521,P521,R521,T521,V521,X521,Z521,AB521,AD521,AF521,AH521,AJ521,AL521,AN521,AP521,AR521,AT521,AV521,AX521,AZ521),0)))</x:f>
        <x:v>v1.4.20</x:v>
      </x:c>
      <x:c r="BD521" s="14" t="n">
        <x:f>LET(m,MIN(IF(E521&gt;0,E521,1E+99),IF(G521&gt;0,G521,1E+99),IF(I521&gt;0,I521,1E+99),IF(K521&gt;0,K521,1E+99),IF(M521&gt;0,M521,1E+99),IF(O521&gt;0,O521,1E+99),IF(Q521&gt;0,Q521,1E+99),IF(S521&gt;0,S521,1E+99),IF(U521&gt;0,U521,1E+99),IF(W521&gt;0,W521,1E+99),IF(Y521&gt;0,Y521,1E+99),IF(AA521&gt;0,AA521,1E+99),IF(AC521&gt;0,AC521,1E+99),IF(AE521&gt;0,AE521,1E+99),IF(AG521&gt;0,AG521,1E+99),IF(AI521&gt;0,AI521,1E+99),IF(AK521&gt;0,AK521,1E+99),IF(AM521&gt;0,AM521,1E+99),IF(AO521&gt;0,AO521,1E+99),IF(AQ521&gt;0,AQ521,1E+99),IF(AS521&gt;0,AS521,1E+99),IF(AU521&gt;0,AU521,1E+99),IF(AW521&gt;0,AW521,1E+99),IF(AY521&gt;0,AY521,1E+99),IF(BA521&gt;0,BA521,1E+99)),IF(m=1E+99,"",m))</x:f>
        <x:v>82.684</x:v>
      </x:c>
      <x:c r="BE521" s="16" t="e">
        <x:f>IF(BD521="","",INDEX({"v1.4.20","v1.4.20","v1.4.21","v1.4.21","v1.4.23","v1.4.23","v1.4.26","v1.4.26","v1.4.26.1","v1.4.26.1","v1.4.27","v1.4.27","v1.4.29","v1.4.29","v1.4.30","v1.4.30","v1.4.31","v1.4.31","v1.4.33","v1.4.33","v1.4.35","v1.4.35.2","v1.5","v1.5.1","v1.5.1"},MATCH(BD521,CHOOSE({1,2,3,4,5,6,7,8,9,10,11,12,13,14,15,16,17,18,19,20,21,22,23,24,25},E521,G521,I521,K521,M521,O521,Q521,S521,U521,W521,Y521,AA521,AC521,AE521,AG521,AI521,AK521,AM521,AO521,AQ521,AS521,AU521,AW521,AY521,BA521),0)))</x:f>
      </x:c>
      <x:c r="BF521" s="10" t="n">
        <x:f>IFERROR((AX521-BB521)/BB521,"")</x:f>
        <x:v>-1</x:v>
      </x:c>
      <x:c r="BG521" s="10" t="n">
        <x:f>IFERROR((AY521-BD521)/BD521,"")</x:f>
        <x:v>-1</x:v>
      </x:c>
    </x:row>
    <x:row r="522">
      <x:c r="A522" t="str"/>
      <x:c r="B522" t="str">
        <x:v>Build Dashboard Quality Report</x:v>
      </x:c>
      <x:c r="C522" t="str">
        <x:v>Dashboard Quality Report created from hidden template</x:v>
      </x:c>
      <x:c r="D522" s="8"/>
      <x:c r="E522" s="8"/>
      <x:c r="F522" s="8"/>
      <x:c r="G522" s="8"/>
      <x:c r="H522" s="8" t="n">
        <x:v>21.842</x:v>
      </x:c>
      <x:c r="I522" s="8" t="n">
        <x:v>21.842</x:v>
      </x:c>
      <x:c r="J522" s="8" t="n">
        <x:v>21.842</x:v>
      </x:c>
      <x:c r="K522" s="8" t="n">
        <x:v>21.842</x:v>
      </x:c>
      <x:c r="L522" s="8"/>
      <x:c r="M522" s="8"/>
      <x:c r="N522" s="8"/>
      <x:c r="O522" s="8"/>
      <x:c r="P522" s="8"/>
      <x:c r="Q522" s="8"/>
      <x:c r="R522" s="8"/>
      <x:c r="S522" s="8"/>
      <x:c r="T522" s="8"/>
      <x:c r="U522" s="8"/>
      <x:c r="V522" s="8"/>
      <x:c r="W522" s="8"/>
      <x:c r="X522" s="8"/>
      <x:c r="Y522" s="8"/>
      <x:c r="Z522" s="8"/>
      <x:c r="AA522" s="8"/>
      <x:c r="AB522" s="8"/>
      <x:c r="AC522" s="8"/>
      <x:c r="AD522" s="8"/>
      <x:c r="AE522" s="8"/>
      <x:c r="AF522" s="8"/>
      <x:c r="AG522" s="8"/>
      <x:c r="AH522" s="8"/>
      <x:c r="AI522" s="8"/>
      <x:c r="AJ522" s="8"/>
      <x:c r="AK522" s="8"/>
      <x:c r="AL522" s="8"/>
      <x:c r="AM522" s="8"/>
      <x:c r="AN522" s="8"/>
      <x:c r="AO522" s="8"/>
      <x:c r="AP522" s="8"/>
      <x:c r="AQ522" s="8"/>
      <x:c r="AR522" s="8"/>
      <x:c r="AS522" s="8"/>
      <x:c r="AT522" s="8"/>
      <x:c r="AU522" s="8"/>
      <x:c r="AV522" s="8"/>
      <x:c r="AW522" s="8"/>
      <x:c r="AX522" s="8"/>
      <x:c r="AY522" s="8"/>
      <x:c r="AZ522" s="8"/>
      <x:c r="BA522" s="8"/>
      <x:c r="BB522" s="8" t="n">
        <x:f>LET(m,MIN(IF(D522&gt;0,D522,1E+99),IF(F522&gt;0,F522,1E+99),IF(H522&gt;0,H522,1E+99),IF(J522&gt;0,J522,1E+99),IF(L522&gt;0,L522,1E+99),IF(N522&gt;0,N522,1E+99),IF(P522&gt;0,P522,1E+99),IF(R522&gt;0,R522,1E+99),IF(T522&gt;0,T522,1E+99),IF(V522&gt;0,V522,1E+99),IF(X522&gt;0,X522,1E+99),IF(Z522&gt;0,Z522,1E+99),IF(AB522&gt;0,AB522,1E+99),IF(AD522&gt;0,AD522,1E+99),IF(AF522&gt;0,AF522,1E+99),IF(AH522&gt;0,AH522,1E+99),IF(AJ522&gt;0,AJ522,1E+99),IF(AL522&gt;0,AL522,1E+99),IF(AN522&gt;0,AN522,1E+99),IF(AP522&gt;0,AP522,1E+99),IF(AR522&gt;0,AR522,1E+99),IF(AT522&gt;0,AT522,1E+99),IF(AV522&gt;0,AV522,1E+99),IF(AX522&gt;0,AX522,1E+99),IF(AZ522&gt;0,AZ522,1E+99)),IF(m=1E+99,"",m))</x:f>
        <x:v>21.842</x:v>
      </x:c>
      <x:c r="BC522" s="12" t="e">
        <x:f>IF(BB522="","",INDEX({"v1.4.20","v1.4.20","v1.4.21","v1.4.21","v1.4.23","v1.4.23","v1.4.26","v1.4.26","v1.4.26.1","v1.4.26.1","v1.4.27","v1.4.27","v1.4.29","v1.4.29","v1.4.30","v1.4.30","v1.4.31","v1.4.31","v1.4.33","v1.4.33","v1.4.35","v1.4.35.2","v1.5","v1.5.1","v1.5.1"},MATCH(BB522,CHOOSE({1,2,3,4,5,6,7,8,9,10,11,12,13,14,15,16,17,18,19,20,21,22,23,24,25},D522,F522,H522,J522,L522,N522,P522,R522,T522,V522,X522,Z522,AB522,AD522,AF522,AH522,AJ522,AL522,AN522,AP522,AR522,AT522,AV522,AX522,AZ522),0)))</x:f>
      </x:c>
      <x:c r="BD522" s="14" t="n">
        <x:f>LET(m,MIN(IF(E522&gt;0,E522,1E+99),IF(G522&gt;0,G522,1E+99),IF(I522&gt;0,I522,1E+99),IF(K522&gt;0,K522,1E+99),IF(M522&gt;0,M522,1E+99),IF(O522&gt;0,O522,1E+99),IF(Q522&gt;0,Q522,1E+99),IF(S522&gt;0,S522,1E+99),IF(U522&gt;0,U522,1E+99),IF(W522&gt;0,W522,1E+99),IF(Y522&gt;0,Y522,1E+99),IF(AA522&gt;0,AA522,1E+99),IF(AC522&gt;0,AC522,1E+99),IF(AE522&gt;0,AE522,1E+99),IF(AG522&gt;0,AG522,1E+99),IF(AI522&gt;0,AI522,1E+99),IF(AK522&gt;0,AK522,1E+99),IF(AM522&gt;0,AM522,1E+99),IF(AO522&gt;0,AO522,1E+99),IF(AQ522&gt;0,AQ522,1E+99),IF(AS522&gt;0,AS522,1E+99),IF(AU522&gt;0,AU522,1E+99),IF(AW522&gt;0,AW522,1E+99),IF(AY522&gt;0,AY522,1E+99),IF(BA522&gt;0,BA522,1E+99)),IF(m=1E+99,"",m))</x:f>
        <x:v>21.842</x:v>
      </x:c>
      <x:c r="BE522" s="16" t="e">
        <x:f>IF(BD522="","",INDEX({"v1.4.20","v1.4.20","v1.4.21","v1.4.21","v1.4.23","v1.4.23","v1.4.26","v1.4.26","v1.4.26.1","v1.4.26.1","v1.4.27","v1.4.27","v1.4.29","v1.4.29","v1.4.30","v1.4.30","v1.4.31","v1.4.31","v1.4.33","v1.4.33","v1.4.35","v1.4.35.2","v1.5","v1.5.1","v1.5.1"},MATCH(BD522,CHOOSE({1,2,3,4,5,6,7,8,9,10,11,12,13,14,15,16,17,18,19,20,21,22,23,24,25},E522,G522,I522,K522,M522,O522,Q522,S522,U522,W522,Y522,AA522,AC522,AE522,AG522,AI522,AK522,AM522,AO522,AQ522,AS522,AU522,AW522,AY522,BA522),0)))</x:f>
      </x:c>
      <x:c r="BF522" s="10" t="n">
        <x:f>IFERROR((AX522-BB522)/BB522,"")</x:f>
        <x:v>-1</x:v>
      </x:c>
      <x:c r="BG522" s="10" t="n">
        <x:f>IFERROR((AY522-BD522)/BD522,"")</x:f>
        <x:v>-1</x:v>
      </x:c>
    </x:row>
    <x:row r="523">
      <x:c r="A523" t="str"/>
      <x:c r="B523" t="str">
        <x:v>Build Dashboard Quality Report</x:v>
      </x:c>
      <x:c r="C523" t="str">
        <x:v>Dashboard Quality Report written</x:v>
      </x:c>
      <x:c r="D523" s="8" t="n">
        <x:v>43.167</x:v>
      </x:c>
      <x:c r="E523" s="8" t="n">
        <x:v>43.167</x:v>
      </x:c>
      <x:c r="F523" s="8"/>
      <x:c r="G523" s="8"/>
      <x:c r="H523" s="8"/>
      <x:c r="I523" s="8"/>
      <x:c r="J523" s="8"/>
      <x:c r="K523" s="8"/>
      <x:c r="L523" s="8"/>
      <x:c r="M523" s="8"/>
      <x:c r="N523" s="8"/>
      <x:c r="O523" s="8"/>
      <x:c r="P523" s="8"/>
      <x:c r="Q523" s="8"/>
      <x:c r="R523" s="8"/>
      <x:c r="S523" s="8"/>
      <x:c r="T523" s="8"/>
      <x:c r="U523" s="8"/>
      <x:c r="V523" s="8"/>
      <x:c r="W523" s="8"/>
      <x:c r="X523" s="8"/>
      <x:c r="Y523" s="8"/>
      <x:c r="Z523" s="8"/>
      <x:c r="AA523" s="8"/>
      <x:c r="AB523" s="8"/>
      <x:c r="AC523" s="8"/>
      <x:c r="AD523" s="8"/>
      <x:c r="AE523" s="8"/>
      <x:c r="AF523" s="8"/>
      <x:c r="AG523" s="8"/>
      <x:c r="AH523" s="8"/>
      <x:c r="AI523" s="8"/>
      <x:c r="AJ523" s="8"/>
      <x:c r="AK523" s="8"/>
      <x:c r="AL523" s="8"/>
      <x:c r="AM523" s="8"/>
      <x:c r="AN523" s="8"/>
      <x:c r="AO523" s="8"/>
      <x:c r="AP523" s="8"/>
      <x:c r="AQ523" s="8"/>
      <x:c r="AR523" s="8"/>
      <x:c r="AS523" s="8"/>
      <x:c r="AT523" s="8"/>
      <x:c r="AU523" s="8"/>
      <x:c r="AV523" s="8"/>
      <x:c r="AW523" s="8"/>
      <x:c r="AX523" s="8"/>
      <x:c r="AY523" s="8"/>
      <x:c r="AZ523" s="8"/>
      <x:c r="BA523" s="8"/>
      <x:c r="BB523" s="8" t="n">
        <x:f>LET(m,MIN(IF(D523&gt;0,D523,1E+99),IF(F523&gt;0,F523,1E+99),IF(H523&gt;0,H523,1E+99),IF(J523&gt;0,J523,1E+99),IF(L523&gt;0,L523,1E+99),IF(N523&gt;0,N523,1E+99),IF(P523&gt;0,P523,1E+99),IF(R523&gt;0,R523,1E+99),IF(T523&gt;0,T523,1E+99),IF(V523&gt;0,V523,1E+99),IF(X523&gt;0,X523,1E+99),IF(Z523&gt;0,Z523,1E+99),IF(AB523&gt;0,AB523,1E+99),IF(AD523&gt;0,AD523,1E+99),IF(AF523&gt;0,AF523,1E+99),IF(AH523&gt;0,AH523,1E+99),IF(AJ523&gt;0,AJ523,1E+99),IF(AL523&gt;0,AL523,1E+99),IF(AN523&gt;0,AN523,1E+99),IF(AP523&gt;0,AP523,1E+99),IF(AR523&gt;0,AR523,1E+99),IF(AT523&gt;0,AT523,1E+99),IF(AV523&gt;0,AV523,1E+99),IF(AX523&gt;0,AX523,1E+99),IF(AZ523&gt;0,AZ523,1E+99)),IF(m=1E+99,"",m))</x:f>
        <x:v>43.167</x:v>
      </x:c>
      <x:c r="BC523" s="12" t="str">
        <x:f>IF(BB523="","",INDEX({"v1.4.20","v1.4.20","v1.4.21","v1.4.21","v1.4.23","v1.4.23","v1.4.26","v1.4.26","v1.4.26.1","v1.4.26.1","v1.4.27","v1.4.27","v1.4.29","v1.4.29","v1.4.30","v1.4.30","v1.4.31","v1.4.31","v1.4.33","v1.4.33","v1.4.35","v1.4.35.2","v1.5","v1.5.1","v1.5.1"},MATCH(BB523,CHOOSE({1,2,3,4,5,6,7,8,9,10,11,12,13,14,15,16,17,18,19,20,21,22,23,24,25},D523,F523,H523,J523,L523,N523,P523,R523,T523,V523,X523,Z523,AB523,AD523,AF523,AH523,AJ523,AL523,AN523,AP523,AR523,AT523,AV523,AX523,AZ523),0)))</x:f>
        <x:v>v1.4.20</x:v>
      </x:c>
      <x:c r="BD523" s="14" t="n">
        <x:f>LET(m,MIN(IF(E523&gt;0,E523,1E+99),IF(G523&gt;0,G523,1E+99),IF(I523&gt;0,I523,1E+99),IF(K523&gt;0,K523,1E+99),IF(M523&gt;0,M523,1E+99),IF(O523&gt;0,O523,1E+99),IF(Q523&gt;0,Q523,1E+99),IF(S523&gt;0,S523,1E+99),IF(U523&gt;0,U523,1E+99),IF(W523&gt;0,W523,1E+99),IF(Y523&gt;0,Y523,1E+99),IF(AA523&gt;0,AA523,1E+99),IF(AC523&gt;0,AC523,1E+99),IF(AE523&gt;0,AE523,1E+99),IF(AG523&gt;0,AG523,1E+99),IF(AI523&gt;0,AI523,1E+99),IF(AK523&gt;0,AK523,1E+99),IF(AM523&gt;0,AM523,1E+99),IF(AO523&gt;0,AO523,1E+99),IF(AQ523&gt;0,AQ523,1E+99),IF(AS523&gt;0,AS523,1E+99),IF(AU523&gt;0,AU523,1E+99),IF(AW523&gt;0,AW523,1E+99),IF(AY523&gt;0,AY523,1E+99),IF(BA523&gt;0,BA523,1E+99)),IF(m=1E+99,"",m))</x:f>
        <x:v>43.167</x:v>
      </x:c>
      <x:c r="BE523" s="16" t="str">
        <x:f>IF(BD523="","",INDEX({"v1.4.20","v1.4.20","v1.4.21","v1.4.21","v1.4.23","v1.4.23","v1.4.26","v1.4.26","v1.4.26.1","v1.4.26.1","v1.4.27","v1.4.27","v1.4.29","v1.4.29","v1.4.30","v1.4.30","v1.4.31","v1.4.31","v1.4.33","v1.4.33","v1.4.35","v1.4.35.2","v1.5","v1.5.1","v1.5.1"},MATCH(BD523,CHOOSE({1,2,3,4,5,6,7,8,9,10,11,12,13,14,15,16,17,18,19,20,21,22,23,24,25},E523,G523,I523,K523,M523,O523,Q523,S523,U523,W523,Y523,AA523,AC523,AE523,AG523,AI523,AK523,AM523,AO523,AQ523,AS523,AU523,AW523,AY523,BA523),0)))</x:f>
        <x:v>v1.4.20</x:v>
      </x:c>
      <x:c r="BF523" s="10" t="n">
        <x:f>IFERROR((AX523-BB523)/BB523,"")</x:f>
        <x:v>-1</x:v>
      </x:c>
      <x:c r="BG523" s="10" t="n">
        <x:f>IFERROR((AY523-BD523)/BD523,"")</x:f>
        <x:v>-1</x:v>
      </x:c>
    </x:row>
    <x:row r="524">
      <x:c r="A524" t="str"/>
      <x:c r="B524" t="str">
        <x:v>Build Dashboard Quality Report</x:v>
      </x:c>
      <x:c r="C524" t="str">
        <x:v>Dashboard Quality Report written from hidden template / section data</x:v>
      </x:c>
      <x:c r="D524" s="8"/>
      <x:c r="E524" s="8"/>
      <x:c r="F524" s="8"/>
      <x:c r="G524" s="8"/>
      <x:c r="H524" s="8" t="n">
        <x:v>24.351</x:v>
      </x:c>
      <x:c r="I524" s="8" t="n">
        <x:v>46.193</x:v>
      </x:c>
      <x:c r="J524" s="8" t="n">
        <x:v>24.351</x:v>
      </x:c>
      <x:c r="K524" s="8" t="n">
        <x:v>46.193</x:v>
      </x:c>
      <x:c r="L524" s="8"/>
      <x:c r="M524" s="8"/>
      <x:c r="N524" s="8"/>
      <x:c r="O524" s="8"/>
      <x:c r="P524" s="8"/>
      <x:c r="Q524" s="8"/>
      <x:c r="R524" s="8"/>
      <x:c r="S524" s="8"/>
      <x:c r="T524" s="8"/>
      <x:c r="U524" s="8"/>
      <x:c r="V524" s="8"/>
      <x:c r="W524" s="8"/>
      <x:c r="X524" s="8"/>
      <x:c r="Y524" s="8"/>
      <x:c r="Z524" s="8"/>
      <x:c r="AA524" s="8"/>
      <x:c r="AB524" s="8"/>
      <x:c r="AC524" s="8"/>
      <x:c r="AD524" s="8"/>
      <x:c r="AE524" s="8"/>
      <x:c r="AF524" s="8"/>
      <x:c r="AG524" s="8"/>
      <x:c r="AH524" s="8"/>
      <x:c r="AI524" s="8"/>
      <x:c r="AJ524" s="8"/>
      <x:c r="AK524" s="8"/>
      <x:c r="AL524" s="8"/>
      <x:c r="AM524" s="8"/>
      <x:c r="AN524" s="8"/>
      <x:c r="AO524" s="8"/>
      <x:c r="AP524" s="8"/>
      <x:c r="AQ524" s="8"/>
      <x:c r="AR524" s="8"/>
      <x:c r="AS524" s="8"/>
      <x:c r="AT524" s="8"/>
      <x:c r="AU524" s="8"/>
      <x:c r="AV524" s="8"/>
      <x:c r="AW524" s="8"/>
      <x:c r="AX524" s="8"/>
      <x:c r="AY524" s="8"/>
      <x:c r="AZ524" s="8"/>
      <x:c r="BA524" s="8"/>
      <x:c r="BB524" s="8" t="n">
        <x:f>LET(m,MIN(IF(D524&gt;0,D524,1E+99),IF(F524&gt;0,F524,1E+99),IF(H524&gt;0,H524,1E+99),IF(J524&gt;0,J524,1E+99),IF(L524&gt;0,L524,1E+99),IF(N524&gt;0,N524,1E+99),IF(P524&gt;0,P524,1E+99),IF(R524&gt;0,R524,1E+99),IF(T524&gt;0,T524,1E+99),IF(V524&gt;0,V524,1E+99),IF(X524&gt;0,X524,1E+99),IF(Z524&gt;0,Z524,1E+99),IF(AB524&gt;0,AB524,1E+99),IF(AD524&gt;0,AD524,1E+99),IF(AF524&gt;0,AF524,1E+99),IF(AH524&gt;0,AH524,1E+99),IF(AJ524&gt;0,AJ524,1E+99),IF(AL524&gt;0,AL524,1E+99),IF(AN524&gt;0,AN524,1E+99),IF(AP524&gt;0,AP524,1E+99),IF(AR524&gt;0,AR524,1E+99),IF(AT524&gt;0,AT524,1E+99),IF(AV524&gt;0,AV524,1E+99),IF(AX524&gt;0,AX524,1E+99),IF(AZ524&gt;0,AZ524,1E+99)),IF(m=1E+99,"",m))</x:f>
        <x:v>24.351</x:v>
      </x:c>
      <x:c r="BC524" s="12" t="e">
        <x:f>IF(BB524="","",INDEX({"v1.4.20","v1.4.20","v1.4.21","v1.4.21","v1.4.23","v1.4.23","v1.4.26","v1.4.26","v1.4.26.1","v1.4.26.1","v1.4.27","v1.4.27","v1.4.29","v1.4.29","v1.4.30","v1.4.30","v1.4.31","v1.4.31","v1.4.33","v1.4.33","v1.4.35","v1.4.35.2","v1.5","v1.5.1","v1.5.1"},MATCH(BB524,CHOOSE({1,2,3,4,5,6,7,8,9,10,11,12,13,14,15,16,17,18,19,20,21,22,23,24,25},D524,F524,H524,J524,L524,N524,P524,R524,T524,V524,X524,Z524,AB524,AD524,AF524,AH524,AJ524,AL524,AN524,AP524,AR524,AT524,AV524,AX524,AZ524),0)))</x:f>
      </x:c>
      <x:c r="BD524" s="14" t="n">
        <x:f>LET(m,MIN(IF(E524&gt;0,E524,1E+99),IF(G524&gt;0,G524,1E+99),IF(I524&gt;0,I524,1E+99),IF(K524&gt;0,K524,1E+99),IF(M524&gt;0,M524,1E+99),IF(O524&gt;0,O524,1E+99),IF(Q524&gt;0,Q524,1E+99),IF(S524&gt;0,S524,1E+99),IF(U524&gt;0,U524,1E+99),IF(W524&gt;0,W524,1E+99),IF(Y524&gt;0,Y524,1E+99),IF(AA524&gt;0,AA524,1E+99),IF(AC524&gt;0,AC524,1E+99),IF(AE524&gt;0,AE524,1E+99),IF(AG524&gt;0,AG524,1E+99),IF(AI524&gt;0,AI524,1E+99),IF(AK524&gt;0,AK524,1E+99),IF(AM524&gt;0,AM524,1E+99),IF(AO524&gt;0,AO524,1E+99),IF(AQ524&gt;0,AQ524,1E+99),IF(AS524&gt;0,AS524,1E+99),IF(AU524&gt;0,AU524,1E+99),IF(AW524&gt;0,AW524,1E+99),IF(AY524&gt;0,AY524,1E+99),IF(BA524&gt;0,BA524,1E+99)),IF(m=1E+99,"",m))</x:f>
        <x:v>46.193</x:v>
      </x:c>
      <x:c r="BE524" s="16" t="e">
        <x:f>IF(BD524="","",INDEX({"v1.4.20","v1.4.20","v1.4.21","v1.4.21","v1.4.23","v1.4.23","v1.4.26","v1.4.26","v1.4.26.1","v1.4.26.1","v1.4.27","v1.4.27","v1.4.29","v1.4.29","v1.4.30","v1.4.30","v1.4.31","v1.4.31","v1.4.33","v1.4.33","v1.4.35","v1.4.35.2","v1.5","v1.5.1","v1.5.1"},MATCH(BD524,CHOOSE({1,2,3,4,5,6,7,8,9,10,11,12,13,14,15,16,17,18,19,20,21,22,23,24,25},E524,G524,I524,K524,M524,O524,Q524,S524,U524,W524,Y524,AA524,AC524,AE524,AG524,AI524,AK524,AM524,AO524,AQ524,AS524,AU524,AW524,AY524,BA524),0)))</x:f>
      </x:c>
      <x:c r="BF524" s="10" t="n">
        <x:f>IFERROR((AX524-BB524)/BB524,"")</x:f>
        <x:v>-1</x:v>
      </x:c>
      <x:c r="BG524" s="10" t="n">
        <x:f>IFERROR((AY524-BD524)/BD524,"")</x:f>
        <x:v>-1</x:v>
      </x:c>
    </x:row>
    <x:row r="525">
      <x:c r="A525" t="str"/>
      <x:c r="B525" t="str">
        <x:v>Run All Framework Tests + Dashboard</x:v>
      </x:c>
      <x:c r="C525" t="str">
        <x:v>Dashboard audit complete</x:v>
      </x:c>
      <x:c r="D525" s="8" t="n">
        <x:v>10.635</x:v>
      </x:c>
      <x:c r="E525" s="8" t="n">
        <x:v>70.99</x:v>
      </x:c>
      <x:c r="F525" s="8"/>
      <x:c r="G525" s="8"/>
      <x:c r="H525" s="8" t="n">
        <x:v>8.728</x:v>
      </x:c>
      <x:c r="I525" s="8" t="n">
        <x:v>32.279</x:v>
      </x:c>
      <x:c r="J525" s="8" t="n">
        <x:v>8.728</x:v>
      </x:c>
      <x:c r="K525" s="8" t="n">
        <x:v>32.279</x:v>
      </x:c>
      <x:c r="L525" s="8"/>
      <x:c r="M525" s="8"/>
      <x:c r="N525" s="8"/>
      <x:c r="O525" s="8"/>
      <x:c r="P525" s="8"/>
      <x:c r="Q525" s="8"/>
      <x:c r="R525" s="8"/>
      <x:c r="S525" s="8"/>
      <x:c r="T525" s="8"/>
      <x:c r="U525" s="8"/>
      <x:c r="V525" s="8"/>
      <x:c r="W525" s="8"/>
      <x:c r="X525" s="8"/>
      <x:c r="Y525" s="8"/>
      <x:c r="Z525" s="8"/>
      <x:c r="AA525" s="8"/>
      <x:c r="AB525" s="8"/>
      <x:c r="AC525" s="8"/>
      <x:c r="AD525" s="8"/>
      <x:c r="AE525" s="8"/>
      <x:c r="AF525" s="8"/>
      <x:c r="AG525" s="8"/>
      <x:c r="AH525" s="8"/>
      <x:c r="AI525" s="8"/>
      <x:c r="AJ525" s="8"/>
      <x:c r="AK525" s="8"/>
      <x:c r="AL525" s="8"/>
      <x:c r="AM525" s="8"/>
      <x:c r="AN525" s="8"/>
      <x:c r="AO525" s="8"/>
      <x:c r="AP525" s="8"/>
      <x:c r="AQ525" s="8"/>
      <x:c r="AR525" s="8"/>
      <x:c r="AS525" s="8"/>
      <x:c r="AT525" s="8"/>
      <x:c r="AU525" s="8"/>
      <x:c r="AV525" s="8"/>
      <x:c r="AW525" s="8"/>
      <x:c r="AX525" s="8"/>
      <x:c r="AY525" s="8"/>
      <x:c r="AZ525" s="8"/>
      <x:c r="BA525" s="8"/>
      <x:c r="BB525" s="8" t="n">
        <x:f>LET(m,MIN(IF(D525&gt;0,D525,1E+99),IF(F525&gt;0,F525,1E+99),IF(H525&gt;0,H525,1E+99),IF(J525&gt;0,J525,1E+99),IF(L525&gt;0,L525,1E+99),IF(N525&gt;0,N525,1E+99),IF(P525&gt;0,P525,1E+99),IF(R525&gt;0,R525,1E+99),IF(T525&gt;0,T525,1E+99),IF(V525&gt;0,V525,1E+99),IF(X525&gt;0,X525,1E+99),IF(Z525&gt;0,Z525,1E+99),IF(AB525&gt;0,AB525,1E+99),IF(AD525&gt;0,AD525,1E+99),IF(AF525&gt;0,AF525,1E+99),IF(AH525&gt;0,AH525,1E+99),IF(AJ525&gt;0,AJ525,1E+99),IF(AL525&gt;0,AL525,1E+99),IF(AN525&gt;0,AN525,1E+99),IF(AP525&gt;0,AP525,1E+99),IF(AR525&gt;0,AR525,1E+99),IF(AT525&gt;0,AT525,1E+99),IF(AV525&gt;0,AV525,1E+99),IF(AX525&gt;0,AX525,1E+99),IF(AZ525&gt;0,AZ525,1E+99)),IF(m=1E+99,"",m))</x:f>
        <x:v>8.728</x:v>
      </x:c>
      <x:c r="BC525" s="12" t="e">
        <x:f>IF(BB525="","",INDEX({"v1.4.20","v1.4.20","v1.4.21","v1.4.21","v1.4.23","v1.4.23","v1.4.26","v1.4.26","v1.4.26.1","v1.4.26.1","v1.4.27","v1.4.27","v1.4.29","v1.4.29","v1.4.30","v1.4.30","v1.4.31","v1.4.31","v1.4.33","v1.4.33","v1.4.35","v1.4.35.2","v1.5","v1.5.1","v1.5.1"},MATCH(BB525,CHOOSE({1,2,3,4,5,6,7,8,9,10,11,12,13,14,15,16,17,18,19,20,21,22,23,24,25},D525,F525,H525,J525,L525,N525,P525,R525,T525,V525,X525,Z525,AB525,AD525,AF525,AH525,AJ525,AL525,AN525,AP525,AR525,AT525,AV525,AX525,AZ525),0)))</x:f>
      </x:c>
      <x:c r="BD525" s="14" t="n">
        <x:f>LET(m,MIN(IF(E525&gt;0,E525,1E+99),IF(G525&gt;0,G525,1E+99),IF(I525&gt;0,I525,1E+99),IF(K525&gt;0,K525,1E+99),IF(M525&gt;0,M525,1E+99),IF(O525&gt;0,O525,1E+99),IF(Q525&gt;0,Q525,1E+99),IF(S525&gt;0,S525,1E+99),IF(U525&gt;0,U525,1E+99),IF(W525&gt;0,W525,1E+99),IF(Y525&gt;0,Y525,1E+99),IF(AA525&gt;0,AA525,1E+99),IF(AC525&gt;0,AC525,1E+99),IF(AE525&gt;0,AE525,1E+99),IF(AG525&gt;0,AG525,1E+99),IF(AI525&gt;0,AI525,1E+99),IF(AK525&gt;0,AK525,1E+99),IF(AM525&gt;0,AM525,1E+99),IF(AO525&gt;0,AO525,1E+99),IF(AQ525&gt;0,AQ525,1E+99),IF(AS525&gt;0,AS525,1E+99),IF(AU525&gt;0,AU525,1E+99),IF(AW525&gt;0,AW525,1E+99),IF(AY525&gt;0,AY525,1E+99),IF(BA525&gt;0,BA525,1E+99)),IF(m=1E+99,"",m))</x:f>
        <x:v>32.279</x:v>
      </x:c>
      <x:c r="BE525" s="16" t="e">
        <x:f>IF(BD525="","",INDEX({"v1.4.20","v1.4.20","v1.4.21","v1.4.21","v1.4.23","v1.4.23","v1.4.26","v1.4.26","v1.4.26.1","v1.4.26.1","v1.4.27","v1.4.27","v1.4.29","v1.4.29","v1.4.30","v1.4.30","v1.4.31","v1.4.31","v1.4.33","v1.4.33","v1.4.35","v1.4.35.2","v1.5","v1.5.1","v1.5.1"},MATCH(BD525,CHOOSE({1,2,3,4,5,6,7,8,9,10,11,12,13,14,15,16,17,18,19,20,21,22,23,24,25},E525,G525,I525,K525,M525,O525,Q525,S525,U525,W525,Y525,AA525,AC525,AE525,AG525,AI525,AK525,AM525,AO525,AQ525,AS525,AU525,AW525,AY525,BA525),0)))</x:f>
      </x:c>
      <x:c r="BF525" s="10" t="n">
        <x:f>IFERROR((AX525-BB525)/BB525,"")</x:f>
        <x:v>-1</x:v>
      </x:c>
      <x:c r="BG525" s="10" t="n">
        <x:f>IFERROR((AY525-BD525)/BD525,"")</x:f>
        <x:v>-1</x:v>
      </x:c>
    </x:row>
    <x:row r="526">
      <x:c r="A526" t="str"/>
      <x:c r="B526" t="str">
        <x:v>Run All Framework Tests + Dashboard</x:v>
      </x:c>
      <x:c r="C526" t="str">
        <x:v>ERROR - Framework Health Check failed: 3 issue(s)</x:v>
      </x:c>
      <x:c r="D526" s="8"/>
      <x:c r="E526" s="8"/>
      <x:c r="F526" s="8"/>
      <x:c r="G526" s="8"/>
      <x:c r="H526" s="8"/>
      <x:c r="I526" s="8"/>
      <x:c r="J526" s="8"/>
      <x:c r="K526" s="8"/>
      <x:c r="L526" s="8" t="n">
        <x:v>8.557</x:v>
      </x:c>
      <x:c r="M526" s="8" t="n">
        <x:v>114.26</x:v>
      </x:c>
      <x:c r="N526" s="8" t="n">
        <x:v>8.557</x:v>
      </x:c>
      <x:c r="O526" s="8" t="n">
        <x:v>114.26</x:v>
      </x:c>
      <x:c r="P526" s="8" t="n">
        <x:v>4.704</x:v>
      </x:c>
      <x:c r="Q526" s="8" t="n">
        <x:v>73.66</x:v>
      </x:c>
      <x:c r="R526" s="8" t="n">
        <x:v>4.704</x:v>
      </x:c>
      <x:c r="S526" s="8" t="n">
        <x:v>73.66</x:v>
      </x:c>
      <x:c r="T526" s="8"/>
      <x:c r="U526" s="8"/>
      <x:c r="V526" s="8"/>
      <x:c r="W526" s="8"/>
      <x:c r="X526" s="8"/>
      <x:c r="Y526" s="8"/>
      <x:c r="Z526" s="8"/>
      <x:c r="AA526" s="8"/>
      <x:c r="AB526" s="8"/>
      <x:c r="AC526" s="8"/>
      <x:c r="AD526" s="8"/>
      <x:c r="AE526" s="8"/>
      <x:c r="AF526" s="8"/>
      <x:c r="AG526" s="8"/>
      <x:c r="AH526" s="8"/>
      <x:c r="AI526" s="8"/>
      <x:c r="AJ526" s="8"/>
      <x:c r="AK526" s="8"/>
      <x:c r="AL526" s="8"/>
      <x:c r="AM526" s="8"/>
      <x:c r="AN526" s="8"/>
      <x:c r="AO526" s="8"/>
      <x:c r="AP526" s="8"/>
      <x:c r="AQ526" s="8"/>
      <x:c r="AR526" s="8"/>
      <x:c r="AS526" s="8"/>
      <x:c r="AT526" s="8"/>
      <x:c r="AU526" s="8"/>
      <x:c r="AV526" s="8"/>
      <x:c r="AW526" s="8"/>
      <x:c r="AX526" s="8"/>
      <x:c r="AY526" s="8"/>
      <x:c r="AZ526" s="8"/>
      <x:c r="BA526" s="8"/>
      <x:c r="BB526" s="8" t="n">
        <x:f>LET(m,MIN(IF(D526&gt;0,D526,1E+99),IF(F526&gt;0,F526,1E+99),IF(H526&gt;0,H526,1E+99),IF(J526&gt;0,J526,1E+99),IF(L526&gt;0,L526,1E+99),IF(N526&gt;0,N526,1E+99),IF(P526&gt;0,P526,1E+99),IF(R526&gt;0,R526,1E+99),IF(T526&gt;0,T526,1E+99),IF(V526&gt;0,V526,1E+99),IF(X526&gt;0,X526,1E+99),IF(Z526&gt;0,Z526,1E+99),IF(AB526&gt;0,AB526,1E+99),IF(AD526&gt;0,AD526,1E+99),IF(AF526&gt;0,AF526,1E+99),IF(AH526&gt;0,AH526,1E+99),IF(AJ526&gt;0,AJ526,1E+99),IF(AL526&gt;0,AL526,1E+99),IF(AN526&gt;0,AN526,1E+99),IF(AP526&gt;0,AP526,1E+99),IF(AR526&gt;0,AR526,1E+99),IF(AT526&gt;0,AT526,1E+99),IF(AV526&gt;0,AV526,1E+99),IF(AX526&gt;0,AX526,1E+99),IF(AZ526&gt;0,AZ526,1E+99)),IF(m=1E+99,"",m))</x:f>
        <x:v>4.704</x:v>
      </x:c>
      <x:c r="BC526" s="12" t="e">
        <x:f>IF(BB526="","",INDEX({"v1.4.20","v1.4.20","v1.4.21","v1.4.21","v1.4.23","v1.4.23","v1.4.26","v1.4.26","v1.4.26.1","v1.4.26.1","v1.4.27","v1.4.27","v1.4.29","v1.4.29","v1.4.30","v1.4.30","v1.4.31","v1.4.31","v1.4.33","v1.4.33","v1.4.35","v1.4.35.2","v1.5","v1.5.1","v1.5.1"},MATCH(BB526,CHOOSE({1,2,3,4,5,6,7,8,9,10,11,12,13,14,15,16,17,18,19,20,21,22,23,24,25},D526,F526,H526,J526,L526,N526,P526,R526,T526,V526,X526,Z526,AB526,AD526,AF526,AH526,AJ526,AL526,AN526,AP526,AR526,AT526,AV526,AX526,AZ526),0)))</x:f>
      </x:c>
      <x:c r="BD526" s="14" t="n">
        <x:f>LET(m,MIN(IF(E526&gt;0,E526,1E+99),IF(G526&gt;0,G526,1E+99),IF(I526&gt;0,I526,1E+99),IF(K526&gt;0,K526,1E+99),IF(M526&gt;0,M526,1E+99),IF(O526&gt;0,O526,1E+99),IF(Q526&gt;0,Q526,1E+99),IF(S526&gt;0,S526,1E+99),IF(U526&gt;0,U526,1E+99),IF(W526&gt;0,W526,1E+99),IF(Y526&gt;0,Y526,1E+99),IF(AA526&gt;0,AA526,1E+99),IF(AC526&gt;0,AC526,1E+99),IF(AE526&gt;0,AE526,1E+99),IF(AG526&gt;0,AG526,1E+99),IF(AI526&gt;0,AI526,1E+99),IF(AK526&gt;0,AK526,1E+99),IF(AM526&gt;0,AM526,1E+99),IF(AO526&gt;0,AO526,1E+99),IF(AQ526&gt;0,AQ526,1E+99),IF(AS526&gt;0,AS526,1E+99),IF(AU526&gt;0,AU526,1E+99),IF(AW526&gt;0,AW526,1E+99),IF(AY526&gt;0,AY526,1E+99),IF(BA526&gt;0,BA526,1E+99)),IF(m=1E+99,"",m))</x:f>
        <x:v>73.66</x:v>
      </x:c>
      <x:c r="BE526" s="16" t="e">
        <x:f>IF(BD526="","",INDEX({"v1.4.20","v1.4.20","v1.4.21","v1.4.21","v1.4.23","v1.4.23","v1.4.26","v1.4.26","v1.4.26.1","v1.4.26.1","v1.4.27","v1.4.27","v1.4.29","v1.4.29","v1.4.30","v1.4.30","v1.4.31","v1.4.31","v1.4.33","v1.4.33","v1.4.35","v1.4.35.2","v1.5","v1.5.1","v1.5.1"},MATCH(BD526,CHOOSE({1,2,3,4,5,6,7,8,9,10,11,12,13,14,15,16,17,18,19,20,21,22,23,24,25},E526,G526,I526,K526,M526,O526,Q526,S526,U526,W526,Y526,AA526,AC526,AE526,AG526,AI526,AK526,AM526,AO526,AQ526,AS526,AU526,AW526,AY526,BA526),0)))</x:f>
      </x:c>
      <x:c r="BF526" s="10" t="n">
        <x:f>IFERROR((AX526-BB526)/BB526,"")</x:f>
        <x:v>-1</x:v>
      </x:c>
      <x:c r="BG526" s="10" t="n">
        <x:f>IFERROR((AY526-BD526)/BD526,"")</x:f>
        <x:v>-1</x:v>
      </x:c>
    </x:row>
    <x:row r="527">
      <x:c r="A527" t="str"/>
      <x:c r="B527" t="str">
        <x:v>Run All Framework Tests + Dashboard</x:v>
      </x:c>
      <x:c r="C527" t="str">
        <x:v>Framework Health Check complete</x:v>
      </x:c>
      <x:c r="D527" s="8" t="n">
        <x:v>1.359</x:v>
      </x:c>
      <x:c r="E527" s="8" t="n">
        <x:v>72.349</x:v>
      </x:c>
      <x:c r="F527" s="8"/>
      <x:c r="G527" s="8"/>
      <x:c r="H527" s="8" t="n">
        <x:v>1.754</x:v>
      </x:c>
      <x:c r="I527" s="8" t="n">
        <x:v>34.033</x:v>
      </x:c>
      <x:c r="J527" s="8" t="n">
        <x:v>1.754</x:v>
      </x:c>
      <x:c r="K527" s="8" t="n">
        <x:v>34.033</x:v>
      </x:c>
      <x:c r="L527" s="8"/>
      <x:c r="M527" s="8"/>
      <x:c r="N527" s="8"/>
      <x:c r="O527" s="8"/>
      <x:c r="P527" s="8"/>
      <x:c r="Q527" s="8"/>
      <x:c r="R527" s="8"/>
      <x:c r="S527" s="8"/>
      <x:c r="T527" s="8"/>
      <x:c r="U527" s="8"/>
      <x:c r="V527" s="8"/>
      <x:c r="W527" s="8"/>
      <x:c r="X527" s="8"/>
      <x:c r="Y527" s="8"/>
      <x:c r="Z527" s="8"/>
      <x:c r="AA527" s="8"/>
      <x:c r="AB527" s="8"/>
      <x:c r="AC527" s="8"/>
      <x:c r="AD527" s="8"/>
      <x:c r="AE527" s="8"/>
      <x:c r="AF527" s="8"/>
      <x:c r="AG527" s="8"/>
      <x:c r="AH527" s="8"/>
      <x:c r="AI527" s="8"/>
      <x:c r="AJ527" s="8"/>
      <x:c r="AK527" s="8"/>
      <x:c r="AL527" s="8"/>
      <x:c r="AM527" s="8"/>
      <x:c r="AN527" s="8"/>
      <x:c r="AO527" s="8"/>
      <x:c r="AP527" s="8"/>
      <x:c r="AQ527" s="8"/>
      <x:c r="AR527" s="8"/>
      <x:c r="AS527" s="8"/>
      <x:c r="AT527" s="8"/>
      <x:c r="AU527" s="8"/>
      <x:c r="AV527" s="8"/>
      <x:c r="AW527" s="8"/>
      <x:c r="AX527" s="8"/>
      <x:c r="AY527" s="8"/>
      <x:c r="AZ527" s="8"/>
      <x:c r="BA527" s="8"/>
      <x:c r="BB527" s="8" t="n">
        <x:f>LET(m,MIN(IF(D527&gt;0,D527,1E+99),IF(F527&gt;0,F527,1E+99),IF(H527&gt;0,H527,1E+99),IF(J527&gt;0,J527,1E+99),IF(L527&gt;0,L527,1E+99),IF(N527&gt;0,N527,1E+99),IF(P527&gt;0,P527,1E+99),IF(R527&gt;0,R527,1E+99),IF(T527&gt;0,T527,1E+99),IF(V527&gt;0,V527,1E+99),IF(X527&gt;0,X527,1E+99),IF(Z527&gt;0,Z527,1E+99),IF(AB527&gt;0,AB527,1E+99),IF(AD527&gt;0,AD527,1E+99),IF(AF527&gt;0,AF527,1E+99),IF(AH527&gt;0,AH527,1E+99),IF(AJ527&gt;0,AJ527,1E+99),IF(AL527&gt;0,AL527,1E+99),IF(AN527&gt;0,AN527,1E+99),IF(AP527&gt;0,AP527,1E+99),IF(AR527&gt;0,AR527,1E+99),IF(AT527&gt;0,AT527,1E+99),IF(AV527&gt;0,AV527,1E+99),IF(AX527&gt;0,AX527,1E+99),IF(AZ527&gt;0,AZ527,1E+99)),IF(m=1E+99,"",m))</x:f>
        <x:v>1.359</x:v>
      </x:c>
      <x:c r="BC527" s="12" t="str">
        <x:f>IF(BB527="","",INDEX({"v1.4.20","v1.4.20","v1.4.21","v1.4.21","v1.4.23","v1.4.23","v1.4.26","v1.4.26","v1.4.26.1","v1.4.26.1","v1.4.27","v1.4.27","v1.4.29","v1.4.29","v1.4.30","v1.4.30","v1.4.31","v1.4.31","v1.4.33","v1.4.33","v1.4.35","v1.4.35.2","v1.5","v1.5.1","v1.5.1"},MATCH(BB527,CHOOSE({1,2,3,4,5,6,7,8,9,10,11,12,13,14,15,16,17,18,19,20,21,22,23,24,25},D527,F527,H527,J527,L527,N527,P527,R527,T527,V527,X527,Z527,AB527,AD527,AF527,AH527,AJ527,AL527,AN527,AP527,AR527,AT527,AV527,AX527,AZ527),0)))</x:f>
        <x:v>v1.4.20</x:v>
      </x:c>
      <x:c r="BD527" s="14" t="n">
        <x:f>LET(m,MIN(IF(E527&gt;0,E527,1E+99),IF(G527&gt;0,G527,1E+99),IF(I527&gt;0,I527,1E+99),IF(K527&gt;0,K527,1E+99),IF(M527&gt;0,M527,1E+99),IF(O527&gt;0,O527,1E+99),IF(Q527&gt;0,Q527,1E+99),IF(S527&gt;0,S527,1E+99),IF(U527&gt;0,U527,1E+99),IF(W527&gt;0,W527,1E+99),IF(Y527&gt;0,Y527,1E+99),IF(AA527&gt;0,AA527,1E+99),IF(AC527&gt;0,AC527,1E+99),IF(AE527&gt;0,AE527,1E+99),IF(AG527&gt;0,AG527,1E+99),IF(AI527&gt;0,AI527,1E+99),IF(AK527&gt;0,AK527,1E+99),IF(AM527&gt;0,AM527,1E+99),IF(AO527&gt;0,AO527,1E+99),IF(AQ527&gt;0,AQ527,1E+99),IF(AS527&gt;0,AS527,1E+99),IF(AU527&gt;0,AU527,1E+99),IF(AW527&gt;0,AW527,1E+99),IF(AY527&gt;0,AY527,1E+99),IF(BA527&gt;0,BA527,1E+99)),IF(m=1E+99,"",m))</x:f>
        <x:v>34.033</x:v>
      </x:c>
      <x:c r="BE527" s="16" t="e">
        <x:f>IF(BD527="","",INDEX({"v1.4.20","v1.4.20","v1.4.21","v1.4.21","v1.4.23","v1.4.23","v1.4.26","v1.4.26","v1.4.26.1","v1.4.26.1","v1.4.27","v1.4.27","v1.4.29","v1.4.29","v1.4.30","v1.4.30","v1.4.31","v1.4.31","v1.4.33","v1.4.33","v1.4.35","v1.4.35.2","v1.5","v1.5.1","v1.5.1"},MATCH(BD527,CHOOSE({1,2,3,4,5,6,7,8,9,10,11,12,13,14,15,16,17,18,19,20,21,22,23,24,25},E527,G527,I527,K527,M527,O527,Q527,S527,U527,W527,Y527,AA527,AC527,AE527,AG527,AI527,AK527,AM527,AO527,AQ527,AS527,AU527,AW527,AY527,BA527),0)))</x:f>
      </x:c>
      <x:c r="BF527" s="10" t="n">
        <x:f>IFERROR((AX527-BB527)/BB527,"")</x:f>
        <x:v>-1</x:v>
      </x:c>
      <x:c r="BG527" s="10" t="n">
        <x:f>IFERROR((AY527-BD527)/BD527,"")</x:f>
        <x:v>-1</x:v>
      </x:c>
    </x:row>
    <x:row r="528">
      <x:c r="A528" t="str"/>
      <x:c r="B528" t="str">
        <x:v>Run All Framework Tests + Dashboard</x:v>
      </x:c>
      <x:c r="C528" t="str">
        <x:v>Section A Template Validation complete</x:v>
      </x:c>
      <x:c r="D528" s="8"/>
      <x:c r="E528" s="8"/>
      <x:c r="F528" s="8"/>
      <x:c r="G528" s="8"/>
      <x:c r="H528" s="8"/>
      <x:c r="I528" s="8"/>
      <x:c r="J528" s="8"/>
      <x:c r="K528" s="8"/>
      <x:c r="L528" s="8" t="n">
        <x:v>43.866</x:v>
      </x:c>
      <x:c r="M528" s="8" t="n">
        <x:v>43.866</x:v>
      </x:c>
      <x:c r="N528" s="8" t="n">
        <x:v>43.866</x:v>
      </x:c>
      <x:c r="O528" s="8" t="n">
        <x:v>43.866</x:v>
      </x:c>
      <x:c r="P528" s="8" t="n">
        <x:v>27.123</x:v>
      </x:c>
      <x:c r="Q528" s="8" t="n">
        <x:v>27.123</x:v>
      </x:c>
      <x:c r="R528" s="8" t="n">
        <x:v>27.123</x:v>
      </x:c>
      <x:c r="S528" s="8" t="n">
        <x:v>27.123</x:v>
      </x:c>
      <x:c r="T528" s="8"/>
      <x:c r="U528" s="8"/>
      <x:c r="V528" s="8"/>
      <x:c r="W528" s="8"/>
      <x:c r="X528" s="8" t="n">
        <x:v>17.421</x:v>
      </x:c>
      <x:c r="Y528" s="8" t="n">
        <x:v>17.422</x:v>
      </x:c>
      <x:c r="Z528" s="8" t="n">
        <x:v>17.421</x:v>
      </x:c>
      <x:c r="AA528" s="8" t="n">
        <x:v>17.422</x:v>
      </x:c>
      <x:c r="AB528" s="8" t="n">
        <x:v>49.186</x:v>
      </x:c>
      <x:c r="AC528" s="8" t="n">
        <x:v>49.186</x:v>
      </x:c>
      <x:c r="AD528" s="8" t="n">
        <x:v>49.186</x:v>
      </x:c>
      <x:c r="AE528" s="8" t="n">
        <x:v>49.186</x:v>
      </x:c>
      <x:c r="AF528" s="8" t="n">
        <x:v>20.161</x:v>
      </x:c>
      <x:c r="AG528" s="8" t="n">
        <x:v>20.162</x:v>
      </x:c>
      <x:c r="AH528" s="8" t="n">
        <x:v>20.161</x:v>
      </x:c>
      <x:c r="AI528" s="8" t="n">
        <x:v>20.162</x:v>
      </x:c>
      <x:c r="AJ528" s="8"/>
      <x:c r="AK528" s="8"/>
      <x:c r="AL528" s="8" t="n">
        <x:v>47.528</x:v>
      </x:c>
      <x:c r="AM528" s="8" t="n">
        <x:v>47.528</x:v>
      </x:c>
      <x:c r="AN528" s="8"/>
      <x:c r="AO528" s="8"/>
      <x:c r="AP528" s="8"/>
      <x:c r="AQ528" s="8"/>
      <x:c r="AR528" s="8"/>
      <x:c r="AS528" s="8"/>
      <x:c r="AT528" s="8"/>
      <x:c r="AU528" s="8"/>
      <x:c r="AV528" s="8"/>
      <x:c r="AW528" s="8"/>
      <x:c r="AX528" s="8"/>
      <x:c r="AY528" s="8"/>
      <x:c r="AZ528" s="8"/>
      <x:c r="BA528" s="8"/>
      <x:c r="BB528" s="8" t="n">
        <x:f>LET(m,MIN(IF(D528&gt;0,D528,1E+99),IF(F528&gt;0,F528,1E+99),IF(H528&gt;0,H528,1E+99),IF(J528&gt;0,J528,1E+99),IF(L528&gt;0,L528,1E+99),IF(N528&gt;0,N528,1E+99),IF(P528&gt;0,P528,1E+99),IF(R528&gt;0,R528,1E+99),IF(T528&gt;0,T528,1E+99),IF(V528&gt;0,V528,1E+99),IF(X528&gt;0,X528,1E+99),IF(Z528&gt;0,Z528,1E+99),IF(AB528&gt;0,AB528,1E+99),IF(AD528&gt;0,AD528,1E+99),IF(AF528&gt;0,AF528,1E+99),IF(AH528&gt;0,AH528,1E+99),IF(AJ528&gt;0,AJ528,1E+99),IF(AL528&gt;0,AL528,1E+99),IF(AN528&gt;0,AN528,1E+99),IF(AP528&gt;0,AP528,1E+99),IF(AR528&gt;0,AR528,1E+99),IF(AT528&gt;0,AT528,1E+99),IF(AV528&gt;0,AV528,1E+99),IF(AX528&gt;0,AX528,1E+99),IF(AZ528&gt;0,AZ528,1E+99)),IF(m=1E+99,"",m))</x:f>
        <x:v>17.421</x:v>
      </x:c>
      <x:c r="BC528" s="12" t="e">
        <x:f>IF(BB528="","",INDEX({"v1.4.20","v1.4.20","v1.4.21","v1.4.21","v1.4.23","v1.4.23","v1.4.26","v1.4.26","v1.4.26.1","v1.4.26.1","v1.4.27","v1.4.27","v1.4.29","v1.4.29","v1.4.30","v1.4.30","v1.4.31","v1.4.31","v1.4.33","v1.4.33","v1.4.35","v1.4.35.2","v1.5","v1.5.1","v1.5.1"},MATCH(BB528,CHOOSE({1,2,3,4,5,6,7,8,9,10,11,12,13,14,15,16,17,18,19,20,21,22,23,24,25},D528,F528,H528,J528,L528,N528,P528,R528,T528,V528,X528,Z528,AB528,AD528,AF528,AH528,AJ528,AL528,AN528,AP528,AR528,AT528,AV528,AX528,AZ528),0)))</x:f>
      </x:c>
      <x:c r="BD528" s="14" t="n">
        <x:f>LET(m,MIN(IF(E528&gt;0,E528,1E+99),IF(G528&gt;0,G528,1E+99),IF(I528&gt;0,I528,1E+99),IF(K528&gt;0,K528,1E+99),IF(M528&gt;0,M528,1E+99),IF(O528&gt;0,O528,1E+99),IF(Q528&gt;0,Q528,1E+99),IF(S528&gt;0,S528,1E+99),IF(U528&gt;0,U528,1E+99),IF(W528&gt;0,W528,1E+99),IF(Y528&gt;0,Y528,1E+99),IF(AA528&gt;0,AA528,1E+99),IF(AC528&gt;0,AC528,1E+99),IF(AE528&gt;0,AE528,1E+99),IF(AG528&gt;0,AG528,1E+99),IF(AI528&gt;0,AI528,1E+99),IF(AK528&gt;0,AK528,1E+99),IF(AM528&gt;0,AM528,1E+99),IF(AO528&gt;0,AO528,1E+99),IF(AQ528&gt;0,AQ528,1E+99),IF(AS528&gt;0,AS528,1E+99),IF(AU528&gt;0,AU528,1E+99),IF(AW528&gt;0,AW528,1E+99),IF(AY528&gt;0,AY528,1E+99),IF(BA528&gt;0,BA528,1E+99)),IF(m=1E+99,"",m))</x:f>
        <x:v>17.422</x:v>
      </x:c>
      <x:c r="BE528" s="16" t="e">
        <x:f>IF(BD528="","",INDEX({"v1.4.20","v1.4.20","v1.4.21","v1.4.21","v1.4.23","v1.4.23","v1.4.26","v1.4.26","v1.4.26.1","v1.4.26.1","v1.4.27","v1.4.27","v1.4.29","v1.4.29","v1.4.30","v1.4.30","v1.4.31","v1.4.31","v1.4.33","v1.4.33","v1.4.35","v1.4.35.2","v1.5","v1.5.1","v1.5.1"},MATCH(BD528,CHOOSE({1,2,3,4,5,6,7,8,9,10,11,12,13,14,15,16,17,18,19,20,21,22,23,24,25},E528,G528,I528,K528,M528,O528,Q528,S528,U528,W528,Y528,AA528,AC528,AE528,AG528,AI528,AK528,AM528,AO528,AQ528,AS528,AU528,AW528,AY528,BA528),0)))</x:f>
      </x:c>
      <x:c r="BF528" s="10" t="n">
        <x:f>IFERROR((AX528-BB528)/BB528,"")</x:f>
        <x:v>-1</x:v>
      </x:c>
      <x:c r="BG528" s="10" t="n">
        <x:f>IFERROR((AY528-BD528)/BD528,"")</x:f>
        <x:v>-1</x:v>
      </x:c>
    </x:row>
    <x:row r="529">
      <x:c r="A529" t="str"/>
      <x:c r="B529" t="str">
        <x:v>Run All Framework Tests + Dashboard</x:v>
      </x:c>
      <x:c r="C529" t="str">
        <x:v>Section A Template Validation skipped - ran within last hour</x:v>
      </x:c>
      <x:c r="D529" s="8"/>
      <x:c r="E529" s="8"/>
      <x:c r="F529" s="8"/>
      <x:c r="G529" s="8"/>
      <x:c r="H529" s="8"/>
      <x:c r="I529" s="8"/>
      <x:c r="J529" s="8"/>
      <x:c r="K529" s="8"/>
      <x:c r="L529" s="8"/>
      <x:c r="M529" s="8"/>
      <x:c r="N529" s="8"/>
      <x:c r="O529" s="8"/>
      <x:c r="P529" s="8"/>
      <x:c r="Q529" s="8"/>
      <x:c r="R529" s="8"/>
      <x:c r="S529" s="8"/>
      <x:c r="T529" s="8"/>
      <x:c r="U529" s="8"/>
      <x:c r="V529" s="8" t="n">
        <x:v>0.121</x:v>
      </x:c>
      <x:c r="W529" s="8" t="n">
        <x:v>0.121</x:v>
      </x:c>
      <x:c r="X529" s="8"/>
      <x:c r="Y529" s="8"/>
      <x:c r="Z529" s="8"/>
      <x:c r="AA529" s="8"/>
      <x:c r="AB529" s="8"/>
      <x:c r="AC529" s="8"/>
      <x:c r="AD529" s="8"/>
      <x:c r="AE529" s="8"/>
      <x:c r="AF529" s="8"/>
      <x:c r="AG529" s="8"/>
      <x:c r="AH529" s="8"/>
      <x:c r="AI529" s="8"/>
      <x:c r="AJ529" s="8"/>
      <x:c r="AK529" s="8"/>
      <x:c r="AL529" s="8"/>
      <x:c r="AM529" s="8"/>
      <x:c r="AN529" s="8" t="n">
        <x:v>0.109</x:v>
      </x:c>
      <x:c r="AO529" s="8" t="n">
        <x:v>0.109</x:v>
      </x:c>
      <x:c r="AP529" s="8"/>
      <x:c r="AQ529" s="8"/>
      <x:c r="AR529" s="8"/>
      <x:c r="AS529" s="8"/>
      <x:c r="AT529" s="8" t="n">
        <x:v>0.081</x:v>
      </x:c>
      <x:c r="AU529" s="8" t="n">
        <x:v>0.081</x:v>
      </x:c>
      <x:c r="AV529" s="8"/>
      <x:c r="AW529" s="8"/>
      <x:c r="AX529" s="8"/>
      <x:c r="AY529" s="8"/>
      <x:c r="AZ529" s="8"/>
      <x:c r="BA529" s="8"/>
      <x:c r="BB529" s="8" t="n">
        <x:f>LET(m,MIN(IF(D529&gt;0,D529,1E+99),IF(F529&gt;0,F529,1E+99),IF(H529&gt;0,H529,1E+99),IF(J529&gt;0,J529,1E+99),IF(L529&gt;0,L529,1E+99),IF(N529&gt;0,N529,1E+99),IF(P529&gt;0,P529,1E+99),IF(R529&gt;0,R529,1E+99),IF(T529&gt;0,T529,1E+99),IF(V529&gt;0,V529,1E+99),IF(X529&gt;0,X529,1E+99),IF(Z529&gt;0,Z529,1E+99),IF(AB529&gt;0,AB529,1E+99),IF(AD529&gt;0,AD529,1E+99),IF(AF529&gt;0,AF529,1E+99),IF(AH529&gt;0,AH529,1E+99),IF(AJ529&gt;0,AJ529,1E+99),IF(AL529&gt;0,AL529,1E+99),IF(AN529&gt;0,AN529,1E+99),IF(AP529&gt;0,AP529,1E+99),IF(AR529&gt;0,AR529,1E+99),IF(AT529&gt;0,AT529,1E+99),IF(AV529&gt;0,AV529,1E+99),IF(AX529&gt;0,AX529,1E+99),IF(AZ529&gt;0,AZ529,1E+99)),IF(m=1E+99,"",m))</x:f>
        <x:v>0.081</x:v>
      </x:c>
      <x:c r="BC529" s="12" t="e">
        <x:f>IF(BB529="","",INDEX({"v1.4.20","v1.4.20","v1.4.21","v1.4.21","v1.4.23","v1.4.23","v1.4.26","v1.4.26","v1.4.26.1","v1.4.26.1","v1.4.27","v1.4.27","v1.4.29","v1.4.29","v1.4.30","v1.4.30","v1.4.31","v1.4.31","v1.4.33","v1.4.33","v1.4.35","v1.4.35.2","v1.5","v1.5.1","v1.5.1"},MATCH(BB529,CHOOSE({1,2,3,4,5,6,7,8,9,10,11,12,13,14,15,16,17,18,19,20,21,22,23,24,25},D529,F529,H529,J529,L529,N529,P529,R529,T529,V529,X529,Z529,AB529,AD529,AF529,AH529,AJ529,AL529,AN529,AP529,AR529,AT529,AV529,AX529,AZ529),0)))</x:f>
      </x:c>
      <x:c r="BD529" s="14" t="n">
        <x:f>LET(m,MIN(IF(E529&gt;0,E529,1E+99),IF(G529&gt;0,G529,1E+99),IF(I529&gt;0,I529,1E+99),IF(K529&gt;0,K529,1E+99),IF(M529&gt;0,M529,1E+99),IF(O529&gt;0,O529,1E+99),IF(Q529&gt;0,Q529,1E+99),IF(S529&gt;0,S529,1E+99),IF(U529&gt;0,U529,1E+99),IF(W529&gt;0,W529,1E+99),IF(Y529&gt;0,Y529,1E+99),IF(AA529&gt;0,AA529,1E+99),IF(AC529&gt;0,AC529,1E+99),IF(AE529&gt;0,AE529,1E+99),IF(AG529&gt;0,AG529,1E+99),IF(AI529&gt;0,AI529,1E+99),IF(AK529&gt;0,AK529,1E+99),IF(AM529&gt;0,AM529,1E+99),IF(AO529&gt;0,AO529,1E+99),IF(AQ529&gt;0,AQ529,1E+99),IF(AS529&gt;0,AS529,1E+99),IF(AU529&gt;0,AU529,1E+99),IF(AW529&gt;0,AW529,1E+99),IF(AY529&gt;0,AY529,1E+99),IF(BA529&gt;0,BA529,1E+99)),IF(m=1E+99,"",m))</x:f>
        <x:v>0.081</x:v>
      </x:c>
      <x:c r="BE529" s="16" t="e">
        <x:f>IF(BD529="","",INDEX({"v1.4.20","v1.4.20","v1.4.21","v1.4.21","v1.4.23","v1.4.23","v1.4.26","v1.4.26","v1.4.26.1","v1.4.26.1","v1.4.27","v1.4.27","v1.4.29","v1.4.29","v1.4.30","v1.4.30","v1.4.31","v1.4.31","v1.4.33","v1.4.33","v1.4.35","v1.4.35.2","v1.5","v1.5.1","v1.5.1"},MATCH(BD529,CHOOSE({1,2,3,4,5,6,7,8,9,10,11,12,13,14,15,16,17,18,19,20,21,22,23,24,25},E529,G529,I529,K529,M529,O529,Q529,S529,U529,W529,Y529,AA529,AC529,AE529,AG529,AI529,AK529,AM529,AO529,AQ529,AS529,AU529,AW529,AY529,BA529),0)))</x:f>
      </x:c>
      <x:c r="BF529" s="10" t="n">
        <x:f>IFERROR((AX529-BB529)/BB529,"")</x:f>
        <x:v>-1</x:v>
      </x:c>
      <x:c r="BG529" s="10" t="n">
        <x:f>IFERROR((AY529-BD529)/BD529,"")</x:f>
        <x:v>-1</x:v>
      </x:c>
    </x:row>
    <x:row r="530">
      <x:c r="A530" t="str"/>
      <x:c r="B530" t="str">
        <x:v>Run All Framework Tests + Dashboard</x:v>
      </x:c>
      <x:c r="C530" t="str">
        <x:v>Section B Template Header Audit complete</x:v>
      </x:c>
      <x:c r="D530" s="8"/>
      <x:c r="E530" s="8"/>
      <x:c r="F530" s="8"/>
      <x:c r="G530" s="8"/>
      <x:c r="H530" s="8"/>
      <x:c r="I530" s="8"/>
      <x:c r="J530" s="8"/>
      <x:c r="K530" s="8"/>
      <x:c r="L530" s="8" t="n">
        <x:v>12.849</x:v>
      </x:c>
      <x:c r="M530" s="8" t="n">
        <x:v>56.715</x:v>
      </x:c>
      <x:c r="N530" s="8" t="n">
        <x:v>12.849</x:v>
      </x:c>
      <x:c r="O530" s="8" t="n">
        <x:v>56.715</x:v>
      </x:c>
      <x:c r="P530" s="8" t="n">
        <x:v>7.667</x:v>
      </x:c>
      <x:c r="Q530" s="8" t="n">
        <x:v>34.79</x:v>
      </x:c>
      <x:c r="R530" s="8" t="n">
        <x:v>7.667</x:v>
      </x:c>
      <x:c r="S530" s="8" t="n">
        <x:v>34.79</x:v>
      </x:c>
      <x:c r="T530" s="8"/>
      <x:c r="U530" s="8"/>
      <x:c r="V530" s="8"/>
      <x:c r="W530" s="8"/>
      <x:c r="X530" s="8" t="n">
        <x:v>11.115</x:v>
      </x:c>
      <x:c r="Y530" s="8" t="n">
        <x:v>28.537</x:v>
      </x:c>
      <x:c r="Z530" s="8" t="n">
        <x:v>11.115</x:v>
      </x:c>
      <x:c r="AA530" s="8" t="n">
        <x:v>28.537</x:v>
      </x:c>
      <x:c r="AB530" s="8" t="n">
        <x:v>13.042</x:v>
      </x:c>
      <x:c r="AC530" s="8" t="n">
        <x:v>62.228</x:v>
      </x:c>
      <x:c r="AD530" s="8" t="n">
        <x:v>13.042</x:v>
      </x:c>
      <x:c r="AE530" s="8" t="n">
        <x:v>62.228</x:v>
      </x:c>
      <x:c r="AF530" s="8" t="n">
        <x:v>12.39</x:v>
      </x:c>
      <x:c r="AG530" s="8" t="n">
        <x:v>32.552</x:v>
      </x:c>
      <x:c r="AH530" s="8" t="n">
        <x:v>12.39</x:v>
      </x:c>
      <x:c r="AI530" s="8" t="n">
        <x:v>32.552</x:v>
      </x:c>
      <x:c r="AJ530" s="8"/>
      <x:c r="AK530" s="8"/>
      <x:c r="AL530" s="8" t="n">
        <x:v>10.067</x:v>
      </x:c>
      <x:c r="AM530" s="8" t="n">
        <x:v>57.595</x:v>
      </x:c>
      <x:c r="AN530" s="8"/>
      <x:c r="AO530" s="8"/>
      <x:c r="AP530" s="8"/>
      <x:c r="AQ530" s="8"/>
      <x:c r="AR530" s="8"/>
      <x:c r="AS530" s="8"/>
      <x:c r="AT530" s="8"/>
      <x:c r="AU530" s="8"/>
      <x:c r="AV530" s="8"/>
      <x:c r="AW530" s="8"/>
      <x:c r="AX530" s="8"/>
      <x:c r="AY530" s="8"/>
      <x:c r="AZ530" s="8"/>
      <x:c r="BA530" s="8"/>
      <x:c r="BB530" s="8" t="n">
        <x:f>LET(m,MIN(IF(D530&gt;0,D530,1E+99),IF(F530&gt;0,F530,1E+99),IF(H530&gt;0,H530,1E+99),IF(J530&gt;0,J530,1E+99),IF(L530&gt;0,L530,1E+99),IF(N530&gt;0,N530,1E+99),IF(P530&gt;0,P530,1E+99),IF(R530&gt;0,R530,1E+99),IF(T530&gt;0,T530,1E+99),IF(V530&gt;0,V530,1E+99),IF(X530&gt;0,X530,1E+99),IF(Z530&gt;0,Z530,1E+99),IF(AB530&gt;0,AB530,1E+99),IF(AD530&gt;0,AD530,1E+99),IF(AF530&gt;0,AF530,1E+99),IF(AH530&gt;0,AH530,1E+99),IF(AJ530&gt;0,AJ530,1E+99),IF(AL530&gt;0,AL530,1E+99),IF(AN530&gt;0,AN530,1E+99),IF(AP530&gt;0,AP530,1E+99),IF(AR530&gt;0,AR530,1E+99),IF(AT530&gt;0,AT530,1E+99),IF(AV530&gt;0,AV530,1E+99),IF(AX530&gt;0,AX530,1E+99),IF(AZ530&gt;0,AZ530,1E+99)),IF(m=1E+99,"",m))</x:f>
        <x:v>7.667</x:v>
      </x:c>
      <x:c r="BC530" s="12" t="e">
        <x:f>IF(BB530="","",INDEX({"v1.4.20","v1.4.20","v1.4.21","v1.4.21","v1.4.23","v1.4.23","v1.4.26","v1.4.26","v1.4.26.1","v1.4.26.1","v1.4.27","v1.4.27","v1.4.29","v1.4.29","v1.4.30","v1.4.30","v1.4.31","v1.4.31","v1.4.33","v1.4.33","v1.4.35","v1.4.35.2","v1.5","v1.5.1","v1.5.1"},MATCH(BB530,CHOOSE({1,2,3,4,5,6,7,8,9,10,11,12,13,14,15,16,17,18,19,20,21,22,23,24,25},D530,F530,H530,J530,L530,N530,P530,R530,T530,V530,X530,Z530,AB530,AD530,AF530,AH530,AJ530,AL530,AN530,AP530,AR530,AT530,AV530,AX530,AZ530),0)))</x:f>
      </x:c>
      <x:c r="BD530" s="14" t="n">
        <x:f>LET(m,MIN(IF(E530&gt;0,E530,1E+99),IF(G530&gt;0,G530,1E+99),IF(I530&gt;0,I530,1E+99),IF(K530&gt;0,K530,1E+99),IF(M530&gt;0,M530,1E+99),IF(O530&gt;0,O530,1E+99),IF(Q530&gt;0,Q530,1E+99),IF(S530&gt;0,S530,1E+99),IF(U530&gt;0,U530,1E+99),IF(W530&gt;0,W530,1E+99),IF(Y530&gt;0,Y530,1E+99),IF(AA530&gt;0,AA530,1E+99),IF(AC530&gt;0,AC530,1E+99),IF(AE530&gt;0,AE530,1E+99),IF(AG530&gt;0,AG530,1E+99),IF(AI530&gt;0,AI530,1E+99),IF(AK530&gt;0,AK530,1E+99),IF(AM530&gt;0,AM530,1E+99),IF(AO530&gt;0,AO530,1E+99),IF(AQ530&gt;0,AQ530,1E+99),IF(AS530&gt;0,AS530,1E+99),IF(AU530&gt;0,AU530,1E+99),IF(AW530&gt;0,AW530,1E+99),IF(AY530&gt;0,AY530,1E+99),IF(BA530&gt;0,BA530,1E+99)),IF(m=1E+99,"",m))</x:f>
        <x:v>28.537</x:v>
      </x:c>
      <x:c r="BE530" s="16" t="e">
        <x:f>IF(BD530="","",INDEX({"v1.4.20","v1.4.20","v1.4.21","v1.4.21","v1.4.23","v1.4.23","v1.4.26","v1.4.26","v1.4.26.1","v1.4.26.1","v1.4.27","v1.4.27","v1.4.29","v1.4.29","v1.4.30","v1.4.30","v1.4.31","v1.4.31","v1.4.33","v1.4.33","v1.4.35","v1.4.35.2","v1.5","v1.5.1","v1.5.1"},MATCH(BD530,CHOOSE({1,2,3,4,5,6,7,8,9,10,11,12,13,14,15,16,17,18,19,20,21,22,23,24,25},E530,G530,I530,K530,M530,O530,Q530,S530,U530,W530,Y530,AA530,AC530,AE530,AG530,AI530,AK530,AM530,AO530,AQ530,AS530,AU530,AW530,AY530,BA530),0)))</x:f>
      </x:c>
      <x:c r="BF530" s="10" t="n">
        <x:f>IFERROR((AX530-BB530)/BB530,"")</x:f>
        <x:v>-1</x:v>
      </x:c>
      <x:c r="BG530" s="10" t="n">
        <x:f>IFERROR((AY530-BD530)/BD530,"")</x:f>
        <x:v>-1</x:v>
      </x:c>
    </x:row>
    <x:row r="531">
      <x:c r="A531" t="str"/>
      <x:c r="B531" t="str">
        <x:v>Run All Framework Tests + Dashboard</x:v>
      </x:c>
      <x:c r="C531" t="str">
        <x:v>Section B Template Header Audit skipped - ran within last hour</x:v>
      </x:c>
      <x:c r="D531" s="8"/>
      <x:c r="E531" s="8"/>
      <x:c r="F531" s="8"/>
      <x:c r="G531" s="8"/>
      <x:c r="H531" s="8"/>
      <x:c r="I531" s="8"/>
      <x:c r="J531" s="8"/>
      <x:c r="K531" s="8"/>
      <x:c r="L531" s="8"/>
      <x:c r="M531" s="8"/>
      <x:c r="N531" s="8"/>
      <x:c r="O531" s="8"/>
      <x:c r="P531" s="8"/>
      <x:c r="Q531" s="8"/>
      <x:c r="R531" s="8"/>
      <x:c r="S531" s="8"/>
      <x:c r="T531" s="8"/>
      <x:c r="U531" s="8"/>
      <x:c r="V531" s="8" t="n">
        <x:v>0.048</x:v>
      </x:c>
      <x:c r="W531" s="8" t="n">
        <x:v>0.169</x:v>
      </x:c>
      <x:c r="X531" s="8"/>
      <x:c r="Y531" s="8"/>
      <x:c r="Z531" s="8"/>
      <x:c r="AA531" s="8"/>
      <x:c r="AB531" s="8"/>
      <x:c r="AC531" s="8"/>
      <x:c r="AD531" s="8"/>
      <x:c r="AE531" s="8"/>
      <x:c r="AF531" s="8"/>
      <x:c r="AG531" s="8"/>
      <x:c r="AH531" s="8"/>
      <x:c r="AI531" s="8"/>
      <x:c r="AJ531" s="8"/>
      <x:c r="AK531" s="8"/>
      <x:c r="AL531" s="8"/>
      <x:c r="AM531" s="8"/>
      <x:c r="AN531" s="8" t="n">
        <x:v>0.033</x:v>
      </x:c>
      <x:c r="AO531" s="8" t="n">
        <x:v>0.142</x:v>
      </x:c>
      <x:c r="AP531" s="8"/>
      <x:c r="AQ531" s="8"/>
      <x:c r="AR531" s="8"/>
      <x:c r="AS531" s="8"/>
      <x:c r="AT531" s="8" t="n">
        <x:v>0.019</x:v>
      </x:c>
      <x:c r="AU531" s="8" t="n">
        <x:v>0.1</x:v>
      </x:c>
      <x:c r="AV531" s="8"/>
      <x:c r="AW531" s="8"/>
      <x:c r="AX531" s="8"/>
      <x:c r="AY531" s="8"/>
      <x:c r="AZ531" s="8"/>
      <x:c r="BA531" s="8"/>
      <x:c r="BB531" s="8" t="n">
        <x:f>LET(m,MIN(IF(D531&gt;0,D531,1E+99),IF(F531&gt;0,F531,1E+99),IF(H531&gt;0,H531,1E+99),IF(J531&gt;0,J531,1E+99),IF(L531&gt;0,L531,1E+99),IF(N531&gt;0,N531,1E+99),IF(P531&gt;0,P531,1E+99),IF(R531&gt;0,R531,1E+99),IF(T531&gt;0,T531,1E+99),IF(V531&gt;0,V531,1E+99),IF(X531&gt;0,X531,1E+99),IF(Z531&gt;0,Z531,1E+99),IF(AB531&gt;0,AB531,1E+99),IF(AD531&gt;0,AD531,1E+99),IF(AF531&gt;0,AF531,1E+99),IF(AH531&gt;0,AH531,1E+99),IF(AJ531&gt;0,AJ531,1E+99),IF(AL531&gt;0,AL531,1E+99),IF(AN531&gt;0,AN531,1E+99),IF(AP531&gt;0,AP531,1E+99),IF(AR531&gt;0,AR531,1E+99),IF(AT531&gt;0,AT531,1E+99),IF(AV531&gt;0,AV531,1E+99),IF(AX531&gt;0,AX531,1E+99),IF(AZ531&gt;0,AZ531,1E+99)),IF(m=1E+99,"",m))</x:f>
        <x:v>0.019</x:v>
      </x:c>
      <x:c r="BC531" s="12" t="e">
        <x:f>IF(BB531="","",INDEX({"v1.4.20","v1.4.20","v1.4.21","v1.4.21","v1.4.23","v1.4.23","v1.4.26","v1.4.26","v1.4.26.1","v1.4.26.1","v1.4.27","v1.4.27","v1.4.29","v1.4.29","v1.4.30","v1.4.30","v1.4.31","v1.4.31","v1.4.33","v1.4.33","v1.4.35","v1.4.35.2","v1.5","v1.5.1","v1.5.1"},MATCH(BB531,CHOOSE({1,2,3,4,5,6,7,8,9,10,11,12,13,14,15,16,17,18,19,20,21,22,23,24,25},D531,F531,H531,J531,L531,N531,P531,R531,T531,V531,X531,Z531,AB531,AD531,AF531,AH531,AJ531,AL531,AN531,AP531,AR531,AT531,AV531,AX531,AZ531),0)))</x:f>
      </x:c>
      <x:c r="BD531" s="14" t="n">
        <x:f>LET(m,MIN(IF(E531&gt;0,E531,1E+99),IF(G531&gt;0,G531,1E+99),IF(I531&gt;0,I531,1E+99),IF(K531&gt;0,K531,1E+99),IF(M531&gt;0,M531,1E+99),IF(O531&gt;0,O531,1E+99),IF(Q531&gt;0,Q531,1E+99),IF(S531&gt;0,S531,1E+99),IF(U531&gt;0,U531,1E+99),IF(W531&gt;0,W531,1E+99),IF(Y531&gt;0,Y531,1E+99),IF(AA531&gt;0,AA531,1E+99),IF(AC531&gt;0,AC531,1E+99),IF(AE531&gt;0,AE531,1E+99),IF(AG531&gt;0,AG531,1E+99),IF(AI531&gt;0,AI531,1E+99),IF(AK531&gt;0,AK531,1E+99),IF(AM531&gt;0,AM531,1E+99),IF(AO531&gt;0,AO531,1E+99),IF(AQ531&gt;0,AQ531,1E+99),IF(AS531&gt;0,AS531,1E+99),IF(AU531&gt;0,AU531,1E+99),IF(AW531&gt;0,AW531,1E+99),IF(AY531&gt;0,AY531,1E+99),IF(BA531&gt;0,BA531,1E+99)),IF(m=1E+99,"",m))</x:f>
        <x:v>0.1</x:v>
      </x:c>
      <x:c r="BE531" s="16" t="e">
        <x:f>IF(BD531="","",INDEX({"v1.4.20","v1.4.20","v1.4.21","v1.4.21","v1.4.23","v1.4.23","v1.4.26","v1.4.26","v1.4.26.1","v1.4.26.1","v1.4.27","v1.4.27","v1.4.29","v1.4.29","v1.4.30","v1.4.30","v1.4.31","v1.4.31","v1.4.33","v1.4.33","v1.4.35","v1.4.35.2","v1.5","v1.5.1","v1.5.1"},MATCH(BD531,CHOOSE({1,2,3,4,5,6,7,8,9,10,11,12,13,14,15,16,17,18,19,20,21,22,23,24,25},E531,G531,I531,K531,M531,O531,Q531,S531,U531,W531,Y531,AA531,AC531,AE531,AG531,AI531,AK531,AM531,AO531,AQ531,AS531,AU531,AW531,AY531,BA531),0)))</x:f>
      </x:c>
      <x:c r="BF531" s="10" t="n">
        <x:f>IFERROR((AX531-BB531)/BB531,"")</x:f>
        <x:v>-1</x:v>
      </x:c>
      <x:c r="BG531" s="10" t="n">
        <x:f>IFERROR((AY531-BD531)/BD531,"")</x:f>
        <x:v>-1</x:v>
      </x:c>
    </x:row>
    <x:row r="532">
      <x:c r="A532" t="str"/>
      <x:c r="B532" t="str">
        <x:v>Run All Framework Tests + Dashboard</x:v>
      </x:c>
      <x:c r="C532" t="str">
        <x:v>Section C Test 6 complete</x:v>
      </x:c>
      <x:c r="D532" s="8"/>
      <x:c r="E532" s="8"/>
      <x:c r="F532" s="8"/>
      <x:c r="G532" s="8"/>
      <x:c r="H532" s="8"/>
      <x:c r="I532" s="8"/>
      <x:c r="J532" s="8"/>
      <x:c r="K532" s="8"/>
      <x:c r="L532" s="8" t="n">
        <x:v>9.614</x:v>
      </x:c>
      <x:c r="M532" s="8" t="n">
        <x:v>66.329</x:v>
      </x:c>
      <x:c r="N532" s="8" t="n">
        <x:v>9.614</x:v>
      </x:c>
      <x:c r="O532" s="8" t="n">
        <x:v>66.329</x:v>
      </x:c>
      <x:c r="P532" s="8" t="n">
        <x:v>7.414</x:v>
      </x:c>
      <x:c r="Q532" s="8" t="n">
        <x:v>42.204</x:v>
      </x:c>
      <x:c r="R532" s="8" t="n">
        <x:v>7.414</x:v>
      </x:c>
      <x:c r="S532" s="8" t="n">
        <x:v>42.204</x:v>
      </x:c>
      <x:c r="T532" s="8"/>
      <x:c r="U532" s="8"/>
      <x:c r="V532" s="8"/>
      <x:c r="W532" s="8"/>
      <x:c r="X532" s="8" t="n">
        <x:v>11.494</x:v>
      </x:c>
      <x:c r="Y532" s="8" t="n">
        <x:v>40.031</x:v>
      </x:c>
      <x:c r="Z532" s="8" t="n">
        <x:v>11.494</x:v>
      </x:c>
      <x:c r="AA532" s="8" t="n">
        <x:v>40.031</x:v>
      </x:c>
      <x:c r="AB532" s="8" t="n">
        <x:v>14.297</x:v>
      </x:c>
      <x:c r="AC532" s="8" t="n">
        <x:v>76.525</x:v>
      </x:c>
      <x:c r="AD532" s="8" t="n">
        <x:v>14.297</x:v>
      </x:c>
      <x:c r="AE532" s="8" t="n">
        <x:v>76.525</x:v>
      </x:c>
      <x:c r="AF532" s="8" t="n">
        <x:v>9.369</x:v>
      </x:c>
      <x:c r="AG532" s="8" t="n">
        <x:v>41.921</x:v>
      </x:c>
      <x:c r="AH532" s="8" t="n">
        <x:v>9.369</x:v>
      </x:c>
      <x:c r="AI532" s="8" t="n">
        <x:v>41.921</x:v>
      </x:c>
      <x:c r="AJ532" s="8"/>
      <x:c r="AK532" s="8"/>
      <x:c r="AL532" s="8" t="n">
        <x:v>10.459</x:v>
      </x:c>
      <x:c r="AM532" s="8" t="n">
        <x:v>68.054</x:v>
      </x:c>
      <x:c r="AN532" s="8"/>
      <x:c r="AO532" s="8"/>
      <x:c r="AP532" s="8"/>
      <x:c r="AQ532" s="8"/>
      <x:c r="AR532" s="8"/>
      <x:c r="AS532" s="8"/>
      <x:c r="AT532" s="8"/>
      <x:c r="AU532" s="8"/>
      <x:c r="AV532" s="8"/>
      <x:c r="AW532" s="8"/>
      <x:c r="AX532" s="8"/>
      <x:c r="AY532" s="8"/>
      <x:c r="AZ532" s="8"/>
      <x:c r="BA532" s="8"/>
      <x:c r="BB532" s="8" t="n">
        <x:f>LET(m,MIN(IF(D532&gt;0,D532,1E+99),IF(F532&gt;0,F532,1E+99),IF(H532&gt;0,H532,1E+99),IF(J532&gt;0,J532,1E+99),IF(L532&gt;0,L532,1E+99),IF(N532&gt;0,N532,1E+99),IF(P532&gt;0,P532,1E+99),IF(R532&gt;0,R532,1E+99),IF(T532&gt;0,T532,1E+99),IF(V532&gt;0,V532,1E+99),IF(X532&gt;0,X532,1E+99),IF(Z532&gt;0,Z532,1E+99),IF(AB532&gt;0,AB532,1E+99),IF(AD532&gt;0,AD532,1E+99),IF(AF532&gt;0,AF532,1E+99),IF(AH532&gt;0,AH532,1E+99),IF(AJ532&gt;0,AJ532,1E+99),IF(AL532&gt;0,AL532,1E+99),IF(AN532&gt;0,AN532,1E+99),IF(AP532&gt;0,AP532,1E+99),IF(AR532&gt;0,AR532,1E+99),IF(AT532&gt;0,AT532,1E+99),IF(AV532&gt;0,AV532,1E+99),IF(AX532&gt;0,AX532,1E+99),IF(AZ532&gt;0,AZ532,1E+99)),IF(m=1E+99,"",m))</x:f>
        <x:v>7.414</x:v>
      </x:c>
      <x:c r="BC532" s="12" t="e">
        <x:f>IF(BB532="","",INDEX({"v1.4.20","v1.4.20","v1.4.21","v1.4.21","v1.4.23","v1.4.23","v1.4.26","v1.4.26","v1.4.26.1","v1.4.26.1","v1.4.27","v1.4.27","v1.4.29","v1.4.29","v1.4.30","v1.4.30","v1.4.31","v1.4.31","v1.4.33","v1.4.33","v1.4.35","v1.4.35.2","v1.5","v1.5.1","v1.5.1"},MATCH(BB532,CHOOSE({1,2,3,4,5,6,7,8,9,10,11,12,13,14,15,16,17,18,19,20,21,22,23,24,25},D532,F532,H532,J532,L532,N532,P532,R532,T532,V532,X532,Z532,AB532,AD532,AF532,AH532,AJ532,AL532,AN532,AP532,AR532,AT532,AV532,AX532,AZ532),0)))</x:f>
      </x:c>
      <x:c r="BD532" s="14" t="n">
        <x:f>LET(m,MIN(IF(E532&gt;0,E532,1E+99),IF(G532&gt;0,G532,1E+99),IF(I532&gt;0,I532,1E+99),IF(K532&gt;0,K532,1E+99),IF(M532&gt;0,M532,1E+99),IF(O532&gt;0,O532,1E+99),IF(Q532&gt;0,Q532,1E+99),IF(S532&gt;0,S532,1E+99),IF(U532&gt;0,U532,1E+99),IF(W532&gt;0,W532,1E+99),IF(Y532&gt;0,Y532,1E+99),IF(AA532&gt;0,AA532,1E+99),IF(AC532&gt;0,AC532,1E+99),IF(AE532&gt;0,AE532,1E+99),IF(AG532&gt;0,AG532,1E+99),IF(AI532&gt;0,AI532,1E+99),IF(AK532&gt;0,AK532,1E+99),IF(AM532&gt;0,AM532,1E+99),IF(AO532&gt;0,AO532,1E+99),IF(AQ532&gt;0,AQ532,1E+99),IF(AS532&gt;0,AS532,1E+99),IF(AU532&gt;0,AU532,1E+99),IF(AW532&gt;0,AW532,1E+99),IF(AY532&gt;0,AY532,1E+99),IF(BA532&gt;0,BA532,1E+99)),IF(m=1E+99,"",m))</x:f>
        <x:v>40.031</x:v>
      </x:c>
      <x:c r="BE532" s="16" t="e">
        <x:f>IF(BD532="","",INDEX({"v1.4.20","v1.4.20","v1.4.21","v1.4.21","v1.4.23","v1.4.23","v1.4.26","v1.4.26","v1.4.26.1","v1.4.26.1","v1.4.27","v1.4.27","v1.4.29","v1.4.29","v1.4.30","v1.4.30","v1.4.31","v1.4.31","v1.4.33","v1.4.33","v1.4.35","v1.4.35.2","v1.5","v1.5.1","v1.5.1"},MATCH(BD532,CHOOSE({1,2,3,4,5,6,7,8,9,10,11,12,13,14,15,16,17,18,19,20,21,22,23,24,25},E532,G532,I532,K532,M532,O532,Q532,S532,U532,W532,Y532,AA532,AC532,AE532,AG532,AI532,AK532,AM532,AO532,AQ532,AS532,AU532,AW532,AY532,BA532),0)))</x:f>
      </x:c>
      <x:c r="BF532" s="10" t="n">
        <x:f>IFERROR((AX532-BB532)/BB532,"")</x:f>
        <x:v>-1</x:v>
      </x:c>
      <x:c r="BG532" s="10" t="n">
        <x:f>IFERROR((AY532-BD532)/BD532,"")</x:f>
        <x:v>-1</x:v>
      </x:c>
    </x:row>
    <x:row r="533">
      <x:c r="A533" t="str"/>
      <x:c r="B533" t="str">
        <x:v>Run All Framework Tests + Dashboard</x:v>
      </x:c>
      <x:c r="C533" t="str">
        <x:v>Section C Test 6 skipped - ran within last hour</x:v>
      </x:c>
      <x:c r="D533" s="8"/>
      <x:c r="E533" s="8"/>
      <x:c r="F533" s="8"/>
      <x:c r="G533" s="8"/>
      <x:c r="H533" s="8"/>
      <x:c r="I533" s="8"/>
      <x:c r="J533" s="8"/>
      <x:c r="K533" s="8"/>
      <x:c r="L533" s="8"/>
      <x:c r="M533" s="8"/>
      <x:c r="N533" s="8"/>
      <x:c r="O533" s="8"/>
      <x:c r="P533" s="8"/>
      <x:c r="Q533" s="8"/>
      <x:c r="R533" s="8"/>
      <x:c r="S533" s="8"/>
      <x:c r="T533" s="8"/>
      <x:c r="U533" s="8"/>
      <x:c r="V533" s="8" t="n">
        <x:v>0.048</x:v>
      </x:c>
      <x:c r="W533" s="8" t="n">
        <x:v>0.217</x:v>
      </x:c>
      <x:c r="X533" s="8"/>
      <x:c r="Y533" s="8"/>
      <x:c r="Z533" s="8"/>
      <x:c r="AA533" s="8"/>
      <x:c r="AB533" s="8"/>
      <x:c r="AC533" s="8"/>
      <x:c r="AD533" s="8"/>
      <x:c r="AE533" s="8"/>
      <x:c r="AF533" s="8"/>
      <x:c r="AG533" s="8"/>
      <x:c r="AH533" s="8"/>
      <x:c r="AI533" s="8"/>
      <x:c r="AJ533" s="8"/>
      <x:c r="AK533" s="8"/>
      <x:c r="AL533" s="8"/>
      <x:c r="AM533" s="8"/>
      <x:c r="AN533" s="8" t="n">
        <x:v>0.04</x:v>
      </x:c>
      <x:c r="AO533" s="8" t="n">
        <x:v>0.182</x:v>
      </x:c>
      <x:c r="AP533" s="8"/>
      <x:c r="AQ533" s="8"/>
      <x:c r="AR533" s="8"/>
      <x:c r="AS533" s="8"/>
      <x:c r="AT533" s="8" t="n">
        <x:v>0.02</x:v>
      </x:c>
      <x:c r="AU533" s="8" t="n">
        <x:v>0.12</x:v>
      </x:c>
      <x:c r="AV533" s="8"/>
      <x:c r="AW533" s="8"/>
      <x:c r="AX533" s="8"/>
      <x:c r="AY533" s="8"/>
      <x:c r="AZ533" s="8"/>
      <x:c r="BA533" s="8"/>
      <x:c r="BB533" s="8" t="n">
        <x:f>LET(m,MIN(IF(D533&gt;0,D533,1E+99),IF(F533&gt;0,F533,1E+99),IF(H533&gt;0,H533,1E+99),IF(J533&gt;0,J533,1E+99),IF(L533&gt;0,L533,1E+99),IF(N533&gt;0,N533,1E+99),IF(P533&gt;0,P533,1E+99),IF(R533&gt;0,R533,1E+99),IF(T533&gt;0,T533,1E+99),IF(V533&gt;0,V533,1E+99),IF(X533&gt;0,X533,1E+99),IF(Z533&gt;0,Z533,1E+99),IF(AB533&gt;0,AB533,1E+99),IF(AD533&gt;0,AD533,1E+99),IF(AF533&gt;0,AF533,1E+99),IF(AH533&gt;0,AH533,1E+99),IF(AJ533&gt;0,AJ533,1E+99),IF(AL533&gt;0,AL533,1E+99),IF(AN533&gt;0,AN533,1E+99),IF(AP533&gt;0,AP533,1E+99),IF(AR533&gt;0,AR533,1E+99),IF(AT533&gt;0,AT533,1E+99),IF(AV533&gt;0,AV533,1E+99),IF(AX533&gt;0,AX533,1E+99),IF(AZ533&gt;0,AZ533,1E+99)),IF(m=1E+99,"",m))</x:f>
        <x:v>0.02</x:v>
      </x:c>
      <x:c r="BC533" s="12" t="e">
        <x:f>IF(BB533="","",INDEX({"v1.4.20","v1.4.20","v1.4.21","v1.4.21","v1.4.23","v1.4.23","v1.4.26","v1.4.26","v1.4.26.1","v1.4.26.1","v1.4.27","v1.4.27","v1.4.29","v1.4.29","v1.4.30","v1.4.30","v1.4.31","v1.4.31","v1.4.33","v1.4.33","v1.4.35","v1.4.35.2","v1.5","v1.5.1","v1.5.1"},MATCH(BB533,CHOOSE({1,2,3,4,5,6,7,8,9,10,11,12,13,14,15,16,17,18,19,20,21,22,23,24,25},D533,F533,H533,J533,L533,N533,P533,R533,T533,V533,X533,Z533,AB533,AD533,AF533,AH533,AJ533,AL533,AN533,AP533,AR533,AT533,AV533,AX533,AZ533),0)))</x:f>
      </x:c>
      <x:c r="BD533" s="14" t="n">
        <x:f>LET(m,MIN(IF(E533&gt;0,E533,1E+99),IF(G533&gt;0,G533,1E+99),IF(I533&gt;0,I533,1E+99),IF(K533&gt;0,K533,1E+99),IF(M533&gt;0,M533,1E+99),IF(O533&gt;0,O533,1E+99),IF(Q533&gt;0,Q533,1E+99),IF(S533&gt;0,S533,1E+99),IF(U533&gt;0,U533,1E+99),IF(W533&gt;0,W533,1E+99),IF(Y533&gt;0,Y533,1E+99),IF(AA533&gt;0,AA533,1E+99),IF(AC533&gt;0,AC533,1E+99),IF(AE533&gt;0,AE533,1E+99),IF(AG533&gt;0,AG533,1E+99),IF(AI533&gt;0,AI533,1E+99),IF(AK533&gt;0,AK533,1E+99),IF(AM533&gt;0,AM533,1E+99),IF(AO533&gt;0,AO533,1E+99),IF(AQ533&gt;0,AQ533,1E+99),IF(AS533&gt;0,AS533,1E+99),IF(AU533&gt;0,AU533,1E+99),IF(AW533&gt;0,AW533,1E+99),IF(AY533&gt;0,AY533,1E+99),IF(BA533&gt;0,BA533,1E+99)),IF(m=1E+99,"",m))</x:f>
        <x:v>0.12</x:v>
      </x:c>
      <x:c r="BE533" s="16" t="e">
        <x:f>IF(BD533="","",INDEX({"v1.4.20","v1.4.20","v1.4.21","v1.4.21","v1.4.23","v1.4.23","v1.4.26","v1.4.26","v1.4.26.1","v1.4.26.1","v1.4.27","v1.4.27","v1.4.29","v1.4.29","v1.4.30","v1.4.30","v1.4.31","v1.4.31","v1.4.33","v1.4.33","v1.4.35","v1.4.35.2","v1.5","v1.5.1","v1.5.1"},MATCH(BD533,CHOOSE({1,2,3,4,5,6,7,8,9,10,11,12,13,14,15,16,17,18,19,20,21,22,23,24,25},E533,G533,I533,K533,M533,O533,Q533,S533,U533,W533,Y533,AA533,AC533,AE533,AG533,AI533,AK533,AM533,AO533,AQ533,AS533,AU533,AW533,AY533,BA533),0)))</x:f>
      </x:c>
      <x:c r="BF533" s="10" t="n">
        <x:f>IFERROR((AX533-BB533)/BB533,"")</x:f>
        <x:v>-1</x:v>
      </x:c>
      <x:c r="BG533" s="10" t="n">
        <x:f>IFERROR((AY533-BD533)/BD533,"")</x:f>
        <x:v>-1</x:v>
      </x:c>
    </x:row>
    <x:row r="534">
      <x:c r="A534" t="str"/>
      <x:c r="B534" t="str">
        <x:v>Run All Framework Tests + Dashboard</x:v>
      </x:c>
      <x:c r="C534" t="str">
        <x:v>Section D Test 7 complete</x:v>
      </x:c>
      <x:c r="D534" s="8"/>
      <x:c r="E534" s="8"/>
      <x:c r="F534" s="8"/>
      <x:c r="G534" s="8"/>
      <x:c r="H534" s="8"/>
      <x:c r="I534" s="8"/>
      <x:c r="J534" s="8"/>
      <x:c r="K534" s="8"/>
      <x:c r="L534" s="8" t="n">
        <x:v>14.904</x:v>
      </x:c>
      <x:c r="M534" s="8" t="n">
        <x:v>81.233</x:v>
      </x:c>
      <x:c r="N534" s="8" t="n">
        <x:v>14.904</x:v>
      </x:c>
      <x:c r="O534" s="8" t="n">
        <x:v>81.233</x:v>
      </x:c>
      <x:c r="P534" s="8" t="n">
        <x:v>8.687</x:v>
      </x:c>
      <x:c r="Q534" s="8" t="n">
        <x:v>50.891</x:v>
      </x:c>
      <x:c r="R534" s="8" t="n">
        <x:v>8.687</x:v>
      </x:c>
      <x:c r="S534" s="8" t="n">
        <x:v>50.891</x:v>
      </x:c>
      <x:c r="T534" s="8"/>
      <x:c r="U534" s="8"/>
      <x:c r="V534" s="8"/>
      <x:c r="W534" s="8"/>
      <x:c r="X534" s="8" t="n">
        <x:v>16.652</x:v>
      </x:c>
      <x:c r="Y534" s="8" t="n">
        <x:v>56.683</x:v>
      </x:c>
      <x:c r="Z534" s="8" t="n">
        <x:v>16.652</x:v>
      </x:c>
      <x:c r="AA534" s="8" t="n">
        <x:v>56.683</x:v>
      </x:c>
      <x:c r="AB534" s="8" t="n">
        <x:v>17.868</x:v>
      </x:c>
      <x:c r="AC534" s="8" t="n">
        <x:v>94.393</x:v>
      </x:c>
      <x:c r="AD534" s="8" t="n">
        <x:v>17.868</x:v>
      </x:c>
      <x:c r="AE534" s="8" t="n">
        <x:v>94.393</x:v>
      </x:c>
      <x:c r="AF534" s="8" t="n">
        <x:v>15.907</x:v>
      </x:c>
      <x:c r="AG534" s="8" t="n">
        <x:v>57.828</x:v>
      </x:c>
      <x:c r="AH534" s="8" t="n">
        <x:v>15.907</x:v>
      </x:c>
      <x:c r="AI534" s="8" t="n">
        <x:v>57.828</x:v>
      </x:c>
      <x:c r="AJ534" s="8"/>
      <x:c r="AK534" s="8"/>
      <x:c r="AL534" s="8" t="n">
        <x:v>26.353</x:v>
      </x:c>
      <x:c r="AM534" s="8" t="n">
        <x:v>94.407</x:v>
      </x:c>
      <x:c r="AN534" s="8"/>
      <x:c r="AO534" s="8"/>
      <x:c r="AP534" s="8"/>
      <x:c r="AQ534" s="8"/>
      <x:c r="AR534" s="8"/>
      <x:c r="AS534" s="8"/>
      <x:c r="AT534" s="8"/>
      <x:c r="AU534" s="8"/>
      <x:c r="AV534" s="8"/>
      <x:c r="AW534" s="8"/>
      <x:c r="AX534" s="8"/>
      <x:c r="AY534" s="8"/>
      <x:c r="AZ534" s="8"/>
      <x:c r="BA534" s="8"/>
      <x:c r="BB534" s="8" t="n">
        <x:f>LET(m,MIN(IF(D534&gt;0,D534,1E+99),IF(F534&gt;0,F534,1E+99),IF(H534&gt;0,H534,1E+99),IF(J534&gt;0,J534,1E+99),IF(L534&gt;0,L534,1E+99),IF(N534&gt;0,N534,1E+99),IF(P534&gt;0,P534,1E+99),IF(R534&gt;0,R534,1E+99),IF(T534&gt;0,T534,1E+99),IF(V534&gt;0,V534,1E+99),IF(X534&gt;0,X534,1E+99),IF(Z534&gt;0,Z534,1E+99),IF(AB534&gt;0,AB534,1E+99),IF(AD534&gt;0,AD534,1E+99),IF(AF534&gt;0,AF534,1E+99),IF(AH534&gt;0,AH534,1E+99),IF(AJ534&gt;0,AJ534,1E+99),IF(AL534&gt;0,AL534,1E+99),IF(AN534&gt;0,AN534,1E+99),IF(AP534&gt;0,AP534,1E+99),IF(AR534&gt;0,AR534,1E+99),IF(AT534&gt;0,AT534,1E+99),IF(AV534&gt;0,AV534,1E+99),IF(AX534&gt;0,AX534,1E+99),IF(AZ534&gt;0,AZ534,1E+99)),IF(m=1E+99,"",m))</x:f>
        <x:v>8.687</x:v>
      </x:c>
      <x:c r="BC534" s="12" t="e">
        <x:f>IF(BB534="","",INDEX({"v1.4.20","v1.4.20","v1.4.21","v1.4.21","v1.4.23","v1.4.23","v1.4.26","v1.4.26","v1.4.26.1","v1.4.26.1","v1.4.27","v1.4.27","v1.4.29","v1.4.29","v1.4.30","v1.4.30","v1.4.31","v1.4.31","v1.4.33","v1.4.33","v1.4.35","v1.4.35.2","v1.5","v1.5.1","v1.5.1"},MATCH(BB534,CHOOSE({1,2,3,4,5,6,7,8,9,10,11,12,13,14,15,16,17,18,19,20,21,22,23,24,25},D534,F534,H534,J534,L534,N534,P534,R534,T534,V534,X534,Z534,AB534,AD534,AF534,AH534,AJ534,AL534,AN534,AP534,AR534,AT534,AV534,AX534,AZ534),0)))</x:f>
      </x:c>
      <x:c r="BD534" s="14" t="n">
        <x:f>LET(m,MIN(IF(E534&gt;0,E534,1E+99),IF(G534&gt;0,G534,1E+99),IF(I534&gt;0,I534,1E+99),IF(K534&gt;0,K534,1E+99),IF(M534&gt;0,M534,1E+99),IF(O534&gt;0,O534,1E+99),IF(Q534&gt;0,Q534,1E+99),IF(S534&gt;0,S534,1E+99),IF(U534&gt;0,U534,1E+99),IF(W534&gt;0,W534,1E+99),IF(Y534&gt;0,Y534,1E+99),IF(AA534&gt;0,AA534,1E+99),IF(AC534&gt;0,AC534,1E+99),IF(AE534&gt;0,AE534,1E+99),IF(AG534&gt;0,AG534,1E+99),IF(AI534&gt;0,AI534,1E+99),IF(AK534&gt;0,AK534,1E+99),IF(AM534&gt;0,AM534,1E+99),IF(AO534&gt;0,AO534,1E+99),IF(AQ534&gt;0,AQ534,1E+99),IF(AS534&gt;0,AS534,1E+99),IF(AU534&gt;0,AU534,1E+99),IF(AW534&gt;0,AW534,1E+99),IF(AY534&gt;0,AY534,1E+99),IF(BA534&gt;0,BA534,1E+99)),IF(m=1E+99,"",m))</x:f>
        <x:v>50.891</x:v>
      </x:c>
      <x:c r="BE534" s="16" t="e">
        <x:f>IF(BD534="","",INDEX({"v1.4.20","v1.4.20","v1.4.21","v1.4.21","v1.4.23","v1.4.23","v1.4.26","v1.4.26","v1.4.26.1","v1.4.26.1","v1.4.27","v1.4.27","v1.4.29","v1.4.29","v1.4.30","v1.4.30","v1.4.31","v1.4.31","v1.4.33","v1.4.33","v1.4.35","v1.4.35.2","v1.5","v1.5.1","v1.5.1"},MATCH(BD534,CHOOSE({1,2,3,4,5,6,7,8,9,10,11,12,13,14,15,16,17,18,19,20,21,22,23,24,25},E534,G534,I534,K534,M534,O534,Q534,S534,U534,W534,Y534,AA534,AC534,AE534,AG534,AI534,AK534,AM534,AO534,AQ534,AS534,AU534,AW534,AY534,BA534),0)))</x:f>
      </x:c>
      <x:c r="BF534" s="10" t="n">
        <x:f>IFERROR((AX534-BB534)/BB534,"")</x:f>
        <x:v>-1</x:v>
      </x:c>
      <x:c r="BG534" s="10" t="n">
        <x:f>IFERROR((AY534-BD534)/BD534,"")</x:f>
        <x:v>-1</x:v>
      </x:c>
    </x:row>
    <x:row r="535">
      <x:c r="A535" t="str"/>
      <x:c r="B535" t="str">
        <x:v>Run All Framework Tests + Dashboard</x:v>
      </x:c>
      <x:c r="C535" t="str">
        <x:v>Section D Test 7 skipped - ran within last hour</x:v>
      </x:c>
      <x:c r="D535" s="8"/>
      <x:c r="E535" s="8"/>
      <x:c r="F535" s="8"/>
      <x:c r="G535" s="8"/>
      <x:c r="H535" s="8"/>
      <x:c r="I535" s="8"/>
      <x:c r="J535" s="8"/>
      <x:c r="K535" s="8"/>
      <x:c r="L535" s="8"/>
      <x:c r="M535" s="8"/>
      <x:c r="N535" s="8"/>
      <x:c r="O535" s="8"/>
      <x:c r="P535" s="8"/>
      <x:c r="Q535" s="8"/>
      <x:c r="R535" s="8"/>
      <x:c r="S535" s="8"/>
      <x:c r="T535" s="8"/>
      <x:c r="U535" s="8"/>
      <x:c r="V535" s="8" t="n">
        <x:v>0.046</x:v>
      </x:c>
      <x:c r="W535" s="8" t="n">
        <x:v>0.263</x:v>
      </x:c>
      <x:c r="X535" s="8"/>
      <x:c r="Y535" s="8"/>
      <x:c r="Z535" s="8"/>
      <x:c r="AA535" s="8"/>
      <x:c r="AB535" s="8"/>
      <x:c r="AC535" s="8"/>
      <x:c r="AD535" s="8"/>
      <x:c r="AE535" s="8"/>
      <x:c r="AF535" s="8"/>
      <x:c r="AG535" s="8"/>
      <x:c r="AH535" s="8"/>
      <x:c r="AI535" s="8"/>
      <x:c r="AJ535" s="8"/>
      <x:c r="AK535" s="8"/>
      <x:c r="AL535" s="8"/>
      <x:c r="AM535" s="8"/>
      <x:c r="AN535" s="8" t="n">
        <x:v>0.031</x:v>
      </x:c>
      <x:c r="AO535" s="8" t="n">
        <x:v>0.213</x:v>
      </x:c>
      <x:c r="AP535" s="8"/>
      <x:c r="AQ535" s="8"/>
      <x:c r="AR535" s="8"/>
      <x:c r="AS535" s="8"/>
      <x:c r="AT535" s="8" t="n">
        <x:v>0.019</x:v>
      </x:c>
      <x:c r="AU535" s="8" t="n">
        <x:v>0.139</x:v>
      </x:c>
      <x:c r="AV535" s="8"/>
      <x:c r="AW535" s="8"/>
      <x:c r="AX535" s="8"/>
      <x:c r="AY535" s="8"/>
      <x:c r="AZ535" s="8"/>
      <x:c r="BA535" s="8"/>
      <x:c r="BB535" s="8" t="n">
        <x:f>LET(m,MIN(IF(D535&gt;0,D535,1E+99),IF(F535&gt;0,F535,1E+99),IF(H535&gt;0,H535,1E+99),IF(J535&gt;0,J535,1E+99),IF(L535&gt;0,L535,1E+99),IF(N535&gt;0,N535,1E+99),IF(P535&gt;0,P535,1E+99),IF(R535&gt;0,R535,1E+99),IF(T535&gt;0,T535,1E+99),IF(V535&gt;0,V535,1E+99),IF(X535&gt;0,X535,1E+99),IF(Z535&gt;0,Z535,1E+99),IF(AB535&gt;0,AB535,1E+99),IF(AD535&gt;0,AD535,1E+99),IF(AF535&gt;0,AF535,1E+99),IF(AH535&gt;0,AH535,1E+99),IF(AJ535&gt;0,AJ535,1E+99),IF(AL535&gt;0,AL535,1E+99),IF(AN535&gt;0,AN535,1E+99),IF(AP535&gt;0,AP535,1E+99),IF(AR535&gt;0,AR535,1E+99),IF(AT535&gt;0,AT535,1E+99),IF(AV535&gt;0,AV535,1E+99),IF(AX535&gt;0,AX535,1E+99),IF(AZ535&gt;0,AZ535,1E+99)),IF(m=1E+99,"",m))</x:f>
        <x:v>0.019</x:v>
      </x:c>
      <x:c r="BC535" s="12" t="e">
        <x:f>IF(BB535="","",INDEX({"v1.4.20","v1.4.20","v1.4.21","v1.4.21","v1.4.23","v1.4.23","v1.4.26","v1.4.26","v1.4.26.1","v1.4.26.1","v1.4.27","v1.4.27","v1.4.29","v1.4.29","v1.4.30","v1.4.30","v1.4.31","v1.4.31","v1.4.33","v1.4.33","v1.4.35","v1.4.35.2","v1.5","v1.5.1","v1.5.1"},MATCH(BB535,CHOOSE({1,2,3,4,5,6,7,8,9,10,11,12,13,14,15,16,17,18,19,20,21,22,23,24,25},D535,F535,H535,J535,L535,N535,P535,R535,T535,V535,X535,Z535,AB535,AD535,AF535,AH535,AJ535,AL535,AN535,AP535,AR535,AT535,AV535,AX535,AZ535),0)))</x:f>
      </x:c>
      <x:c r="BD535" s="14" t="n">
        <x:f>LET(m,MIN(IF(E535&gt;0,E535,1E+99),IF(G535&gt;0,G535,1E+99),IF(I535&gt;0,I535,1E+99),IF(K535&gt;0,K535,1E+99),IF(M535&gt;0,M535,1E+99),IF(O535&gt;0,O535,1E+99),IF(Q535&gt;0,Q535,1E+99),IF(S535&gt;0,S535,1E+99),IF(U535&gt;0,U535,1E+99),IF(W535&gt;0,W535,1E+99),IF(Y535&gt;0,Y535,1E+99),IF(AA535&gt;0,AA535,1E+99),IF(AC535&gt;0,AC535,1E+99),IF(AE535&gt;0,AE535,1E+99),IF(AG535&gt;0,AG535,1E+99),IF(AI535&gt;0,AI535,1E+99),IF(AK535&gt;0,AK535,1E+99),IF(AM535&gt;0,AM535,1E+99),IF(AO535&gt;0,AO535,1E+99),IF(AQ535&gt;0,AQ535,1E+99),IF(AS535&gt;0,AS535,1E+99),IF(AU535&gt;0,AU535,1E+99),IF(AW535&gt;0,AW535,1E+99),IF(AY535&gt;0,AY535,1E+99),IF(BA535&gt;0,BA535,1E+99)),IF(m=1E+99,"",m))</x:f>
        <x:v>0.139</x:v>
      </x:c>
      <x:c r="BE535" s="16" t="e">
        <x:f>IF(BD535="","",INDEX({"v1.4.20","v1.4.20","v1.4.21","v1.4.21","v1.4.23","v1.4.23","v1.4.26","v1.4.26","v1.4.26.1","v1.4.26.1","v1.4.27","v1.4.27","v1.4.29","v1.4.29","v1.4.30","v1.4.30","v1.4.31","v1.4.31","v1.4.33","v1.4.33","v1.4.35","v1.4.35.2","v1.5","v1.5.1","v1.5.1"},MATCH(BD535,CHOOSE({1,2,3,4,5,6,7,8,9,10,11,12,13,14,15,16,17,18,19,20,21,22,23,24,25},E535,G535,I535,K535,M535,O535,Q535,S535,U535,W535,Y535,AA535,AC535,AE535,AG535,AI535,AK535,AM535,AO535,AQ535,AS535,AU535,AW535,AY535,BA535),0)))</x:f>
      </x:c>
      <x:c r="BF535" s="10" t="n">
        <x:f>IFERROR((AX535-BB535)/BB535,"")</x:f>
        <x:v>-1</x:v>
      </x:c>
      <x:c r="BG535" s="10" t="n">
        <x:f>IFERROR((AY535-BD535)/BD535,"")</x:f>
        <x:v>-1</x:v>
      </x:c>
    </x:row>
    <x:row r="536">
      <x:c r="A536" t="str"/>
      <x:c r="B536" t="str">
        <x:v>Run All Framework Tests + Dashboard</x:v>
      </x:c>
      <x:c r="C536" t="str">
        <x:v>Section E Test 9 complete</x:v>
      </x:c>
      <x:c r="D536" s="8"/>
      <x:c r="E536" s="8"/>
      <x:c r="F536" s="8"/>
      <x:c r="G536" s="8"/>
      <x:c r="H536" s="8"/>
      <x:c r="I536" s="8"/>
      <x:c r="J536" s="8"/>
      <x:c r="K536" s="8"/>
      <x:c r="L536" s="8" t="n">
        <x:v>7.913</x:v>
      </x:c>
      <x:c r="M536" s="8" t="n">
        <x:v>89.146</x:v>
      </x:c>
      <x:c r="N536" s="8" t="n">
        <x:v>7.913</x:v>
      </x:c>
      <x:c r="O536" s="8" t="n">
        <x:v>89.146</x:v>
      </x:c>
      <x:c r="P536" s="8" t="n">
        <x:v>5.428</x:v>
      </x:c>
      <x:c r="Q536" s="8" t="n">
        <x:v>56.319</x:v>
      </x:c>
      <x:c r="R536" s="8" t="n">
        <x:v>5.428</x:v>
      </x:c>
      <x:c r="S536" s="8" t="n">
        <x:v>56.319</x:v>
      </x:c>
      <x:c r="T536" s="8"/>
      <x:c r="U536" s="8"/>
      <x:c r="V536" s="8"/>
      <x:c r="W536" s="8"/>
      <x:c r="X536" s="8" t="n">
        <x:v>8.139</x:v>
      </x:c>
      <x:c r="Y536" s="8" t="n">
        <x:v>64.822</x:v>
      </x:c>
      <x:c r="Z536" s="8" t="n">
        <x:v>8.139</x:v>
      </x:c>
      <x:c r="AA536" s="8" t="n">
        <x:v>64.822</x:v>
      </x:c>
      <x:c r="AB536" s="8" t="n">
        <x:v>9.986</x:v>
      </x:c>
      <x:c r="AC536" s="8" t="n">
        <x:v>104.379</x:v>
      </x:c>
      <x:c r="AD536" s="8" t="n">
        <x:v>9.986</x:v>
      </x:c>
      <x:c r="AE536" s="8" t="n">
        <x:v>104.379</x:v>
      </x:c>
      <x:c r="AF536" s="8" t="n">
        <x:v>6.979</x:v>
      </x:c>
      <x:c r="AG536" s="8" t="n">
        <x:v>64.807</x:v>
      </x:c>
      <x:c r="AH536" s="8" t="n">
        <x:v>6.979</x:v>
      </x:c>
      <x:c r="AI536" s="8" t="n">
        <x:v>64.807</x:v>
      </x:c>
      <x:c r="AJ536" s="8"/>
      <x:c r="AK536" s="8"/>
      <x:c r="AL536" s="8" t="n">
        <x:v>9.569</x:v>
      </x:c>
      <x:c r="AM536" s="8" t="n">
        <x:v>103.976</x:v>
      </x:c>
      <x:c r="AN536" s="8"/>
      <x:c r="AO536" s="8"/>
      <x:c r="AP536" s="8"/>
      <x:c r="AQ536" s="8"/>
      <x:c r="AR536" s="8"/>
      <x:c r="AS536" s="8"/>
      <x:c r="AT536" s="8"/>
      <x:c r="AU536" s="8"/>
      <x:c r="AV536" s="8"/>
      <x:c r="AW536" s="8"/>
      <x:c r="AX536" s="8"/>
      <x:c r="AY536" s="8"/>
      <x:c r="AZ536" s="8"/>
      <x:c r="BA536" s="8"/>
      <x:c r="BB536" s="8" t="n">
        <x:f>LET(m,MIN(IF(D536&gt;0,D536,1E+99),IF(F536&gt;0,F536,1E+99),IF(H536&gt;0,H536,1E+99),IF(J536&gt;0,J536,1E+99),IF(L536&gt;0,L536,1E+99),IF(N536&gt;0,N536,1E+99),IF(P536&gt;0,P536,1E+99),IF(R536&gt;0,R536,1E+99),IF(T536&gt;0,T536,1E+99),IF(V536&gt;0,V536,1E+99),IF(X536&gt;0,X536,1E+99),IF(Z536&gt;0,Z536,1E+99),IF(AB536&gt;0,AB536,1E+99),IF(AD536&gt;0,AD536,1E+99),IF(AF536&gt;0,AF536,1E+99),IF(AH536&gt;0,AH536,1E+99),IF(AJ536&gt;0,AJ536,1E+99),IF(AL536&gt;0,AL536,1E+99),IF(AN536&gt;0,AN536,1E+99),IF(AP536&gt;0,AP536,1E+99),IF(AR536&gt;0,AR536,1E+99),IF(AT536&gt;0,AT536,1E+99),IF(AV536&gt;0,AV536,1E+99),IF(AX536&gt;0,AX536,1E+99),IF(AZ536&gt;0,AZ536,1E+99)),IF(m=1E+99,"",m))</x:f>
        <x:v>5.428</x:v>
      </x:c>
      <x:c r="BC536" s="12" t="e">
        <x:f>IF(BB536="","",INDEX({"v1.4.20","v1.4.20","v1.4.21","v1.4.21","v1.4.23","v1.4.23","v1.4.26","v1.4.26","v1.4.26.1","v1.4.26.1","v1.4.27","v1.4.27","v1.4.29","v1.4.29","v1.4.30","v1.4.30","v1.4.31","v1.4.31","v1.4.33","v1.4.33","v1.4.35","v1.4.35.2","v1.5","v1.5.1","v1.5.1"},MATCH(BB536,CHOOSE({1,2,3,4,5,6,7,8,9,10,11,12,13,14,15,16,17,18,19,20,21,22,23,24,25},D536,F536,H536,J536,L536,N536,P536,R536,T536,V536,X536,Z536,AB536,AD536,AF536,AH536,AJ536,AL536,AN536,AP536,AR536,AT536,AV536,AX536,AZ536),0)))</x:f>
      </x:c>
      <x:c r="BD536" s="14" t="n">
        <x:f>LET(m,MIN(IF(E536&gt;0,E536,1E+99),IF(G536&gt;0,G536,1E+99),IF(I536&gt;0,I536,1E+99),IF(K536&gt;0,K536,1E+99),IF(M536&gt;0,M536,1E+99),IF(O536&gt;0,O536,1E+99),IF(Q536&gt;0,Q536,1E+99),IF(S536&gt;0,S536,1E+99),IF(U536&gt;0,U536,1E+99),IF(W536&gt;0,W536,1E+99),IF(Y536&gt;0,Y536,1E+99),IF(AA536&gt;0,AA536,1E+99),IF(AC536&gt;0,AC536,1E+99),IF(AE536&gt;0,AE536,1E+99),IF(AG536&gt;0,AG536,1E+99),IF(AI536&gt;0,AI536,1E+99),IF(AK536&gt;0,AK536,1E+99),IF(AM536&gt;0,AM536,1E+99),IF(AO536&gt;0,AO536,1E+99),IF(AQ536&gt;0,AQ536,1E+99),IF(AS536&gt;0,AS536,1E+99),IF(AU536&gt;0,AU536,1E+99),IF(AW536&gt;0,AW536,1E+99),IF(AY536&gt;0,AY536,1E+99),IF(BA536&gt;0,BA536,1E+99)),IF(m=1E+99,"",m))</x:f>
        <x:v>56.319</x:v>
      </x:c>
      <x:c r="BE536" s="16" t="e">
        <x:f>IF(BD536="","",INDEX({"v1.4.20","v1.4.20","v1.4.21","v1.4.21","v1.4.23","v1.4.23","v1.4.26","v1.4.26","v1.4.26.1","v1.4.26.1","v1.4.27","v1.4.27","v1.4.29","v1.4.29","v1.4.30","v1.4.30","v1.4.31","v1.4.31","v1.4.33","v1.4.33","v1.4.35","v1.4.35.2","v1.5","v1.5.1","v1.5.1"},MATCH(BD536,CHOOSE({1,2,3,4,5,6,7,8,9,10,11,12,13,14,15,16,17,18,19,20,21,22,23,24,25},E536,G536,I536,K536,M536,O536,Q536,S536,U536,W536,Y536,AA536,AC536,AE536,AG536,AI536,AK536,AM536,AO536,AQ536,AS536,AU536,AW536,AY536,BA536),0)))</x:f>
      </x:c>
      <x:c r="BF536" s="10" t="n">
        <x:f>IFERROR((AX536-BB536)/BB536,"")</x:f>
        <x:v>-1</x:v>
      </x:c>
      <x:c r="BG536" s="10" t="n">
        <x:f>IFERROR((AY536-BD536)/BD536,"")</x:f>
        <x:v>-1</x:v>
      </x:c>
    </x:row>
    <x:row r="537">
      <x:c r="A537" t="str"/>
      <x:c r="B537" t="str">
        <x:v>Run All Framework Tests + Dashboard</x:v>
      </x:c>
      <x:c r="C537" t="str">
        <x:v>Section E Test 9 skipped - ran within last hour</x:v>
      </x:c>
      <x:c r="D537" s="8"/>
      <x:c r="E537" s="8"/>
      <x:c r="F537" s="8"/>
      <x:c r="G537" s="8"/>
      <x:c r="H537" s="8"/>
      <x:c r="I537" s="8"/>
      <x:c r="J537" s="8"/>
      <x:c r="K537" s="8"/>
      <x:c r="L537" s="8"/>
      <x:c r="M537" s="8"/>
      <x:c r="N537" s="8"/>
      <x:c r="O537" s="8"/>
      <x:c r="P537" s="8"/>
      <x:c r="Q537" s="8"/>
      <x:c r="R537" s="8"/>
      <x:c r="S537" s="8"/>
      <x:c r="T537" s="8"/>
      <x:c r="U537" s="8"/>
      <x:c r="V537" s="8" t="n">
        <x:v>0.051</x:v>
      </x:c>
      <x:c r="W537" s="8" t="n">
        <x:v>0.314</x:v>
      </x:c>
      <x:c r="X537" s="8"/>
      <x:c r="Y537" s="8"/>
      <x:c r="Z537" s="8"/>
      <x:c r="AA537" s="8"/>
      <x:c r="AB537" s="8"/>
      <x:c r="AC537" s="8"/>
      <x:c r="AD537" s="8"/>
      <x:c r="AE537" s="8"/>
      <x:c r="AF537" s="8"/>
      <x:c r="AG537" s="8"/>
      <x:c r="AH537" s="8"/>
      <x:c r="AI537" s="8"/>
      <x:c r="AJ537" s="8"/>
      <x:c r="AK537" s="8"/>
      <x:c r="AL537" s="8"/>
      <x:c r="AM537" s="8"/>
      <x:c r="AN537" s="8" t="n">
        <x:v>0.042</x:v>
      </x:c>
      <x:c r="AO537" s="8" t="n">
        <x:v>0.255</x:v>
      </x:c>
      <x:c r="AP537" s="8"/>
      <x:c r="AQ537" s="8"/>
      <x:c r="AR537" s="8"/>
      <x:c r="AS537" s="8"/>
      <x:c r="AT537" s="8" t="n">
        <x:v>0.021</x:v>
      </x:c>
      <x:c r="AU537" s="8" t="n">
        <x:v>0.16</x:v>
      </x:c>
      <x:c r="AV537" s="8"/>
      <x:c r="AW537" s="8"/>
      <x:c r="AX537" s="8"/>
      <x:c r="AY537" s="8"/>
      <x:c r="AZ537" s="8"/>
      <x:c r="BA537" s="8"/>
      <x:c r="BB537" s="8" t="n">
        <x:f>LET(m,MIN(IF(D537&gt;0,D537,1E+99),IF(F537&gt;0,F537,1E+99),IF(H537&gt;0,H537,1E+99),IF(J537&gt;0,J537,1E+99),IF(L537&gt;0,L537,1E+99),IF(N537&gt;0,N537,1E+99),IF(P537&gt;0,P537,1E+99),IF(R537&gt;0,R537,1E+99),IF(T537&gt;0,T537,1E+99),IF(V537&gt;0,V537,1E+99),IF(X537&gt;0,X537,1E+99),IF(Z537&gt;0,Z537,1E+99),IF(AB537&gt;0,AB537,1E+99),IF(AD537&gt;0,AD537,1E+99),IF(AF537&gt;0,AF537,1E+99),IF(AH537&gt;0,AH537,1E+99),IF(AJ537&gt;0,AJ537,1E+99),IF(AL537&gt;0,AL537,1E+99),IF(AN537&gt;0,AN537,1E+99),IF(AP537&gt;0,AP537,1E+99),IF(AR537&gt;0,AR537,1E+99),IF(AT537&gt;0,AT537,1E+99),IF(AV537&gt;0,AV537,1E+99),IF(AX537&gt;0,AX537,1E+99),IF(AZ537&gt;0,AZ537,1E+99)),IF(m=1E+99,"",m))</x:f>
        <x:v>0.021</x:v>
      </x:c>
      <x:c r="BC537" s="12" t="e">
        <x:f>IF(BB537="","",INDEX({"v1.4.20","v1.4.20","v1.4.21","v1.4.21","v1.4.23","v1.4.23","v1.4.26","v1.4.26","v1.4.26.1","v1.4.26.1","v1.4.27","v1.4.27","v1.4.29","v1.4.29","v1.4.30","v1.4.30","v1.4.31","v1.4.31","v1.4.33","v1.4.33","v1.4.35","v1.4.35.2","v1.5","v1.5.1","v1.5.1"},MATCH(BB537,CHOOSE({1,2,3,4,5,6,7,8,9,10,11,12,13,14,15,16,17,18,19,20,21,22,23,24,25},D537,F537,H537,J537,L537,N537,P537,R537,T537,V537,X537,Z537,AB537,AD537,AF537,AH537,AJ537,AL537,AN537,AP537,AR537,AT537,AV537,AX537,AZ537),0)))</x:f>
      </x:c>
      <x:c r="BD537" s="14" t="n">
        <x:f>LET(m,MIN(IF(E537&gt;0,E537,1E+99),IF(G537&gt;0,G537,1E+99),IF(I537&gt;0,I537,1E+99),IF(K537&gt;0,K537,1E+99),IF(M537&gt;0,M537,1E+99),IF(O537&gt;0,O537,1E+99),IF(Q537&gt;0,Q537,1E+99),IF(S537&gt;0,S537,1E+99),IF(U537&gt;0,U537,1E+99),IF(W537&gt;0,W537,1E+99),IF(Y537&gt;0,Y537,1E+99),IF(AA537&gt;0,AA537,1E+99),IF(AC537&gt;0,AC537,1E+99),IF(AE537&gt;0,AE537,1E+99),IF(AG537&gt;0,AG537,1E+99),IF(AI537&gt;0,AI537,1E+99),IF(AK537&gt;0,AK537,1E+99),IF(AM537&gt;0,AM537,1E+99),IF(AO537&gt;0,AO537,1E+99),IF(AQ537&gt;0,AQ537,1E+99),IF(AS537&gt;0,AS537,1E+99),IF(AU537&gt;0,AU537,1E+99),IF(AW537&gt;0,AW537,1E+99),IF(AY537&gt;0,AY537,1E+99),IF(BA537&gt;0,BA537,1E+99)),IF(m=1E+99,"",m))</x:f>
        <x:v>0.16</x:v>
      </x:c>
      <x:c r="BE537" s="16" t="e">
        <x:f>IF(BD537="","",INDEX({"v1.4.20","v1.4.20","v1.4.21","v1.4.21","v1.4.23","v1.4.23","v1.4.26","v1.4.26","v1.4.26.1","v1.4.26.1","v1.4.27","v1.4.27","v1.4.29","v1.4.29","v1.4.30","v1.4.30","v1.4.31","v1.4.31","v1.4.33","v1.4.33","v1.4.35","v1.4.35.2","v1.5","v1.5.1","v1.5.1"},MATCH(BD537,CHOOSE({1,2,3,4,5,6,7,8,9,10,11,12,13,14,15,16,17,18,19,20,21,22,23,24,25},E537,G537,I537,K537,M537,O537,Q537,S537,U537,W537,Y537,AA537,AC537,AE537,AG537,AI537,AK537,AM537,AO537,AQ537,AS537,AU537,AW537,AY537,BA537),0)))</x:f>
      </x:c>
      <x:c r="BF537" s="10" t="n">
        <x:f>IFERROR((AX537-BB537)/BB537,"")</x:f>
        <x:v>-1</x:v>
      </x:c>
      <x:c r="BG537" s="10" t="n">
        <x:f>IFERROR((AY537-BD537)/BD537,"")</x:f>
        <x:v>-1</x:v>
      </x:c>
    </x:row>
    <x:row r="538">
      <x:c r="A538" t="str"/>
      <x:c r="B538" t="str">
        <x:v>Run All Framework Tests + Dashboard</x:v>
      </x:c>
      <x:c r="C538" t="str">
        <x:v>Section F Dashboard Audit complete</x:v>
      </x:c>
      <x:c r="D538" s="8"/>
      <x:c r="E538" s="8"/>
      <x:c r="F538" s="8"/>
      <x:c r="G538" s="8"/>
      <x:c r="H538" s="8"/>
      <x:c r="I538" s="8"/>
      <x:c r="J538" s="8"/>
      <x:c r="K538" s="8"/>
      <x:c r="L538" s="8" t="n">
        <x:v>16.557</x:v>
      </x:c>
      <x:c r="M538" s="8" t="n">
        <x:v>105.703</x:v>
      </x:c>
      <x:c r="N538" s="8" t="n">
        <x:v>16.557</x:v>
      </x:c>
      <x:c r="O538" s="8" t="n">
        <x:v>105.703</x:v>
      </x:c>
      <x:c r="P538" s="8" t="n">
        <x:v>12.637</x:v>
      </x:c>
      <x:c r="Q538" s="8" t="n">
        <x:v>68.956</x:v>
      </x:c>
      <x:c r="R538" s="8" t="n">
        <x:v>12.637</x:v>
      </x:c>
      <x:c r="S538" s="8" t="n">
        <x:v>68.956</x:v>
      </x:c>
      <x:c r="T538" s="8"/>
      <x:c r="U538" s="8"/>
      <x:c r="V538" s="8" t="n">
        <x:v>20.04</x:v>
      </x:c>
      <x:c r="W538" s="8" t="n">
        <x:v>20.354</x:v>
      </x:c>
      <x:c r="X538" s="8" t="n">
        <x:v>15.129</x:v>
      </x:c>
      <x:c r="Y538" s="8" t="n">
        <x:v>79.951</x:v>
      </x:c>
      <x:c r="Z538" s="8" t="n">
        <x:v>15.129</x:v>
      </x:c>
      <x:c r="AA538" s="8" t="n">
        <x:v>79.951</x:v>
      </x:c>
      <x:c r="AB538" s="8" t="n">
        <x:v>23.167</x:v>
      </x:c>
      <x:c r="AC538" s="8" t="n">
        <x:v>127.546</x:v>
      </x:c>
      <x:c r="AD538" s="8" t="n">
        <x:v>23.167</x:v>
      </x:c>
      <x:c r="AE538" s="8" t="n">
        <x:v>127.546</x:v>
      </x:c>
      <x:c r="AF538" s="8" t="n">
        <x:v>15.602</x:v>
      </x:c>
      <x:c r="AG538" s="8" t="n">
        <x:v>80.409</x:v>
      </x:c>
      <x:c r="AH538" s="8" t="n">
        <x:v>15.602</x:v>
      </x:c>
      <x:c r="AI538" s="8" t="n">
        <x:v>80.409</x:v>
      </x:c>
      <x:c r="AJ538" s="8"/>
      <x:c r="AK538" s="8"/>
      <x:c r="AL538" s="8" t="n">
        <x:v>16.657</x:v>
      </x:c>
      <x:c r="AM538" s="8" t="n">
        <x:v>120.633</x:v>
      </x:c>
      <x:c r="AN538" s="8" t="n">
        <x:v>19.539</x:v>
      </x:c>
      <x:c r="AO538" s="8" t="n">
        <x:v>19.794</x:v>
      </x:c>
      <x:c r="AP538" s="8"/>
      <x:c r="AQ538" s="8"/>
      <x:c r="AR538" s="8"/>
      <x:c r="AS538" s="8"/>
      <x:c r="AT538" s="8" t="n">
        <x:v>20.622</x:v>
      </x:c>
      <x:c r="AU538" s="8" t="n">
        <x:v>20.782</x:v>
      </x:c>
      <x:c r="AV538" s="8"/>
      <x:c r="AW538" s="8"/>
      <x:c r="AX538" s="8"/>
      <x:c r="AY538" s="8"/>
      <x:c r="AZ538" s="8"/>
      <x:c r="BA538" s="8"/>
      <x:c r="BB538" s="8" t="n">
        <x:f>LET(m,MIN(IF(D538&gt;0,D538,1E+99),IF(F538&gt;0,F538,1E+99),IF(H538&gt;0,H538,1E+99),IF(J538&gt;0,J538,1E+99),IF(L538&gt;0,L538,1E+99),IF(N538&gt;0,N538,1E+99),IF(P538&gt;0,P538,1E+99),IF(R538&gt;0,R538,1E+99),IF(T538&gt;0,T538,1E+99),IF(V538&gt;0,V538,1E+99),IF(X538&gt;0,X538,1E+99),IF(Z538&gt;0,Z538,1E+99),IF(AB538&gt;0,AB538,1E+99),IF(AD538&gt;0,AD538,1E+99),IF(AF538&gt;0,AF538,1E+99),IF(AH538&gt;0,AH538,1E+99),IF(AJ538&gt;0,AJ538,1E+99),IF(AL538&gt;0,AL538,1E+99),IF(AN538&gt;0,AN538,1E+99),IF(AP538&gt;0,AP538,1E+99),IF(AR538&gt;0,AR538,1E+99),IF(AT538&gt;0,AT538,1E+99),IF(AV538&gt;0,AV538,1E+99),IF(AX538&gt;0,AX538,1E+99),IF(AZ538&gt;0,AZ538,1E+99)),IF(m=1E+99,"",m))</x:f>
        <x:v>12.637</x:v>
      </x:c>
      <x:c r="BC538" s="12" t="e">
        <x:f>IF(BB538="","",INDEX({"v1.4.20","v1.4.20","v1.4.21","v1.4.21","v1.4.23","v1.4.23","v1.4.26","v1.4.26","v1.4.26.1","v1.4.26.1","v1.4.27","v1.4.27","v1.4.29","v1.4.29","v1.4.30","v1.4.30","v1.4.31","v1.4.31","v1.4.33","v1.4.33","v1.4.35","v1.4.35.2","v1.5","v1.5.1","v1.5.1"},MATCH(BB538,CHOOSE({1,2,3,4,5,6,7,8,9,10,11,12,13,14,15,16,17,18,19,20,21,22,23,24,25},D538,F538,H538,J538,L538,N538,P538,R538,T538,V538,X538,Z538,AB538,AD538,AF538,AH538,AJ538,AL538,AN538,AP538,AR538,AT538,AV538,AX538,AZ538),0)))</x:f>
      </x:c>
      <x:c r="BD538" s="14" t="n">
        <x:f>LET(m,MIN(IF(E538&gt;0,E538,1E+99),IF(G538&gt;0,G538,1E+99),IF(I538&gt;0,I538,1E+99),IF(K538&gt;0,K538,1E+99),IF(M538&gt;0,M538,1E+99),IF(O538&gt;0,O538,1E+99),IF(Q538&gt;0,Q538,1E+99),IF(S538&gt;0,S538,1E+99),IF(U538&gt;0,U538,1E+99),IF(W538&gt;0,W538,1E+99),IF(Y538&gt;0,Y538,1E+99),IF(AA538&gt;0,AA538,1E+99),IF(AC538&gt;0,AC538,1E+99),IF(AE538&gt;0,AE538,1E+99),IF(AG538&gt;0,AG538,1E+99),IF(AI538&gt;0,AI538,1E+99),IF(AK538&gt;0,AK538,1E+99),IF(AM538&gt;0,AM538,1E+99),IF(AO538&gt;0,AO538,1E+99),IF(AQ538&gt;0,AQ538,1E+99),IF(AS538&gt;0,AS538,1E+99),IF(AU538&gt;0,AU538,1E+99),IF(AW538&gt;0,AW538,1E+99),IF(AY538&gt;0,AY538,1E+99),IF(BA538&gt;0,BA538,1E+99)),IF(m=1E+99,"",m))</x:f>
        <x:v>19.794</x:v>
      </x:c>
      <x:c r="BE538" s="16" t="e">
        <x:f>IF(BD538="","",INDEX({"v1.4.20","v1.4.20","v1.4.21","v1.4.21","v1.4.23","v1.4.23","v1.4.26","v1.4.26","v1.4.26.1","v1.4.26.1","v1.4.27","v1.4.27","v1.4.29","v1.4.29","v1.4.30","v1.4.30","v1.4.31","v1.4.31","v1.4.33","v1.4.33","v1.4.35","v1.4.35.2","v1.5","v1.5.1","v1.5.1"},MATCH(BD538,CHOOSE({1,2,3,4,5,6,7,8,9,10,11,12,13,14,15,16,17,18,19,20,21,22,23,24,25},E538,G538,I538,K538,M538,O538,Q538,S538,U538,W538,Y538,AA538,AC538,AE538,AG538,AI538,AK538,AM538,AO538,AQ538,AS538,AU538,AW538,AY538,BA538),0)))</x:f>
      </x:c>
      <x:c r="BF538" s="10" t="n">
        <x:f>IFERROR((AX538-BB538)/BB538,"")</x:f>
        <x:v>-1</x:v>
      </x:c>
      <x:c r="BG538" s="10" t="n">
        <x:f>IFERROR((AY538-BD538)/BD538,"")</x:f>
        <x:v>-1</x:v>
      </x:c>
    </x:row>
    <x:row r="539">
      <x:c r="A539" t="str"/>
      <x:c r="B539" t="str">
        <x:v>Run All Framework Tests + Dashboard</x:v>
      </x:c>
      <x:c r="C539" t="str">
        <x:v>Section G Framework Health Check complete</x:v>
      </x:c>
      <x:c r="D539" s="8"/>
      <x:c r="E539" s="8"/>
      <x:c r="F539" s="8"/>
      <x:c r="G539" s="8"/>
      <x:c r="H539" s="8"/>
      <x:c r="I539" s="8"/>
      <x:c r="J539" s="8"/>
      <x:c r="K539" s="8"/>
      <x:c r="L539" s="8"/>
      <x:c r="M539" s="8"/>
      <x:c r="N539" s="8"/>
      <x:c r="O539" s="8"/>
      <x:c r="P539" s="8"/>
      <x:c r="Q539" s="8"/>
      <x:c r="R539" s="8"/>
      <x:c r="S539" s="8"/>
      <x:c r="T539" s="8"/>
      <x:c r="U539" s="8"/>
      <x:c r="V539" s="8" t="n">
        <x:v>6.874</x:v>
      </x:c>
      <x:c r="W539" s="8" t="n">
        <x:v>27.228</x:v>
      </x:c>
      <x:c r="X539" s="8" t="n">
        <x:v>9.562</x:v>
      </x:c>
      <x:c r="Y539" s="8" t="n">
        <x:v>89.513</x:v>
      </x:c>
      <x:c r="Z539" s="8" t="n">
        <x:v>9.562</x:v>
      </x:c>
      <x:c r="AA539" s="8" t="n">
        <x:v>89.513</x:v>
      </x:c>
      <x:c r="AB539" s="8" t="n">
        <x:v>11.213</x:v>
      </x:c>
      <x:c r="AC539" s="8" t="n">
        <x:v>138.759</x:v>
      </x:c>
      <x:c r="AD539" s="8" t="n">
        <x:v>11.213</x:v>
      </x:c>
      <x:c r="AE539" s="8" t="n">
        <x:v>138.759</x:v>
      </x:c>
      <x:c r="AF539" s="8" t="n">
        <x:v>5.567</x:v>
      </x:c>
      <x:c r="AG539" s="8" t="n">
        <x:v>85.976</x:v>
      </x:c>
      <x:c r="AH539" s="8" t="n">
        <x:v>5.567</x:v>
      </x:c>
      <x:c r="AI539" s="8" t="n">
        <x:v>85.976</x:v>
      </x:c>
      <x:c r="AJ539" s="8"/>
      <x:c r="AK539" s="8"/>
      <x:c r="AL539" s="8" t="n">
        <x:v>9.743</x:v>
      </x:c>
      <x:c r="AM539" s="8" t="n">
        <x:v>130.376</x:v>
      </x:c>
      <x:c r="AN539" s="8" t="n">
        <x:v>10.216</x:v>
      </x:c>
      <x:c r="AO539" s="8" t="n">
        <x:v>30.01</x:v>
      </x:c>
      <x:c r="AP539" s="8"/>
      <x:c r="AQ539" s="8"/>
      <x:c r="AR539" s="8"/>
      <x:c r="AS539" s="8"/>
      <x:c r="AT539" s="8" t="n">
        <x:v>7.046</x:v>
      </x:c>
      <x:c r="AU539" s="8" t="n">
        <x:v>27.828</x:v>
      </x:c>
      <x:c r="AV539" s="8"/>
      <x:c r="AW539" s="8"/>
      <x:c r="AX539" s="8"/>
      <x:c r="AY539" s="8"/>
      <x:c r="AZ539" s="8"/>
      <x:c r="BA539" s="8"/>
      <x:c r="BB539" s="8" t="n">
        <x:f>LET(m,MIN(IF(D539&gt;0,D539,1E+99),IF(F539&gt;0,F539,1E+99),IF(H539&gt;0,H539,1E+99),IF(J539&gt;0,J539,1E+99),IF(L539&gt;0,L539,1E+99),IF(N539&gt;0,N539,1E+99),IF(P539&gt;0,P539,1E+99),IF(R539&gt;0,R539,1E+99),IF(T539&gt;0,T539,1E+99),IF(V539&gt;0,V539,1E+99),IF(X539&gt;0,X539,1E+99),IF(Z539&gt;0,Z539,1E+99),IF(AB539&gt;0,AB539,1E+99),IF(AD539&gt;0,AD539,1E+99),IF(AF539&gt;0,AF539,1E+99),IF(AH539&gt;0,AH539,1E+99),IF(AJ539&gt;0,AJ539,1E+99),IF(AL539&gt;0,AL539,1E+99),IF(AN539&gt;0,AN539,1E+99),IF(AP539&gt;0,AP539,1E+99),IF(AR539&gt;0,AR539,1E+99),IF(AT539&gt;0,AT539,1E+99),IF(AV539&gt;0,AV539,1E+99),IF(AX539&gt;0,AX539,1E+99),IF(AZ539&gt;0,AZ539,1E+99)),IF(m=1E+99,"",m))</x:f>
        <x:v>5.567</x:v>
      </x:c>
      <x:c r="BC539" s="12" t="e">
        <x:f>IF(BB539="","",INDEX({"v1.4.20","v1.4.20","v1.4.21","v1.4.21","v1.4.23","v1.4.23","v1.4.26","v1.4.26","v1.4.26.1","v1.4.26.1","v1.4.27","v1.4.27","v1.4.29","v1.4.29","v1.4.30","v1.4.30","v1.4.31","v1.4.31","v1.4.33","v1.4.33","v1.4.35","v1.4.35.2","v1.5","v1.5.1","v1.5.1"},MATCH(BB539,CHOOSE({1,2,3,4,5,6,7,8,9,10,11,12,13,14,15,16,17,18,19,20,21,22,23,24,25},D539,F539,H539,J539,L539,N539,P539,R539,T539,V539,X539,Z539,AB539,AD539,AF539,AH539,AJ539,AL539,AN539,AP539,AR539,AT539,AV539,AX539,AZ539),0)))</x:f>
      </x:c>
      <x:c r="BD539" s="14" t="n">
        <x:f>LET(m,MIN(IF(E539&gt;0,E539,1E+99),IF(G539&gt;0,G539,1E+99),IF(I539&gt;0,I539,1E+99),IF(K539&gt;0,K539,1E+99),IF(M539&gt;0,M539,1E+99),IF(O539&gt;0,O539,1E+99),IF(Q539&gt;0,Q539,1E+99),IF(S539&gt;0,S539,1E+99),IF(U539&gt;0,U539,1E+99),IF(W539&gt;0,W539,1E+99),IF(Y539&gt;0,Y539,1E+99),IF(AA539&gt;0,AA539,1E+99),IF(AC539&gt;0,AC539,1E+99),IF(AE539&gt;0,AE539,1E+99),IF(AG539&gt;0,AG539,1E+99),IF(AI539&gt;0,AI539,1E+99),IF(AK539&gt;0,AK539,1E+99),IF(AM539&gt;0,AM539,1E+99),IF(AO539&gt;0,AO539,1E+99),IF(AQ539&gt;0,AQ539,1E+99),IF(AS539&gt;0,AS539,1E+99),IF(AU539&gt;0,AU539,1E+99),IF(AW539&gt;0,AW539,1E+99),IF(AY539&gt;0,AY539,1E+99),IF(BA539&gt;0,BA539,1E+99)),IF(m=1E+99,"",m))</x:f>
        <x:v>27.228</x:v>
      </x:c>
      <x:c r="BE539" s="16" t="e">
        <x:f>IF(BD539="","",INDEX({"v1.4.20","v1.4.20","v1.4.21","v1.4.21","v1.4.23","v1.4.23","v1.4.26","v1.4.26","v1.4.26.1","v1.4.26.1","v1.4.27","v1.4.27","v1.4.29","v1.4.29","v1.4.30","v1.4.30","v1.4.31","v1.4.31","v1.4.33","v1.4.33","v1.4.35","v1.4.35.2","v1.5","v1.5.1","v1.5.1"},MATCH(BD539,CHOOSE({1,2,3,4,5,6,7,8,9,10,11,12,13,14,15,16,17,18,19,20,21,22,23,24,25},E539,G539,I539,K539,M539,O539,Q539,S539,U539,W539,Y539,AA539,AC539,AE539,AG539,AI539,AK539,AM539,AO539,AQ539,AS539,AU539,AW539,AY539,BA539),0)))</x:f>
      </x:c>
      <x:c r="BF539" s="10" t="n">
        <x:f>IFERROR((AX539-BB539)/BB539,"")</x:f>
        <x:v>-1</x:v>
      </x:c>
      <x:c r="BG539" s="10" t="n">
        <x:f>IFERROR((AY539-BD539)/BD539,"")</x:f>
        <x:v>-1</x:v>
      </x:c>
    </x:row>
    <x:row r="540">
      <x:c r="A540" t="str"/>
      <x:c r="B540" t="str">
        <x:v>Run All Framework Tests + Dashboard</x:v>
      </x:c>
      <x:c r="C540" t="str">
        <x:v>Section H Signoff complete</x:v>
      </x:c>
      <x:c r="D540" s="8"/>
      <x:c r="E540" s="8"/>
      <x:c r="F540" s="8"/>
      <x:c r="G540" s="8"/>
      <x:c r="H540" s="8"/>
      <x:c r="I540" s="8"/>
      <x:c r="J540" s="8"/>
      <x:c r="K540" s="8"/>
      <x:c r="L540" s="8"/>
      <x:c r="M540" s="8"/>
      <x:c r="N540" s="8"/>
      <x:c r="O540" s="8"/>
      <x:c r="P540" s="8"/>
      <x:c r="Q540" s="8"/>
      <x:c r="R540" s="8"/>
      <x:c r="S540" s="8"/>
      <x:c r="T540" s="8"/>
      <x:c r="U540" s="8"/>
      <x:c r="V540" s="8" t="n">
        <x:v>16.437</x:v>
      </x:c>
      <x:c r="W540" s="8" t="n">
        <x:v>59.915</x:v>
      </x:c>
      <x:c r="X540" s="8"/>
      <x:c r="Y540" s="8"/>
      <x:c r="Z540" s="8"/>
      <x:c r="AA540" s="8"/>
      <x:c r="AB540" s="8"/>
      <x:c r="AC540" s="8"/>
      <x:c r="AD540" s="8"/>
      <x:c r="AE540" s="8"/>
      <x:c r="AF540" s="8"/>
      <x:c r="AG540" s="8"/>
      <x:c r="AH540" s="8"/>
      <x:c r="AI540" s="8"/>
      <x:c r="AJ540" s="8"/>
      <x:c r="AK540" s="8"/>
      <x:c r="AL540" s="8"/>
      <x:c r="AM540" s="8"/>
      <x:c r="AN540" s="8" t="n">
        <x:v>12.641</x:v>
      </x:c>
      <x:c r="AO540" s="8" t="n">
        <x:v>61.722</x:v>
      </x:c>
      <x:c r="AP540" s="8"/>
      <x:c r="AQ540" s="8"/>
      <x:c r="AR540" s="8"/>
      <x:c r="AS540" s="8"/>
      <x:c r="AT540" s="8" t="n">
        <x:v>12.696</x:v>
      </x:c>
      <x:c r="AU540" s="8" t="n">
        <x:v>55.384</x:v>
      </x:c>
      <x:c r="AV540" s="8"/>
      <x:c r="AW540" s="8"/>
      <x:c r="AX540" s="8"/>
      <x:c r="AY540" s="8"/>
      <x:c r="AZ540" s="8"/>
      <x:c r="BA540" s="8"/>
      <x:c r="BB540" s="8" t="n">
        <x:f>LET(m,MIN(IF(D540&gt;0,D540,1E+99),IF(F540&gt;0,F540,1E+99),IF(H540&gt;0,H540,1E+99),IF(J540&gt;0,J540,1E+99),IF(L540&gt;0,L540,1E+99),IF(N540&gt;0,N540,1E+99),IF(P540&gt;0,P540,1E+99),IF(R540&gt;0,R540,1E+99),IF(T540&gt;0,T540,1E+99),IF(V540&gt;0,V540,1E+99),IF(X540&gt;0,X540,1E+99),IF(Z540&gt;0,Z540,1E+99),IF(AB540&gt;0,AB540,1E+99),IF(AD540&gt;0,AD540,1E+99),IF(AF540&gt;0,AF540,1E+99),IF(AH540&gt;0,AH540,1E+99),IF(AJ540&gt;0,AJ540,1E+99),IF(AL540&gt;0,AL540,1E+99),IF(AN540&gt;0,AN540,1E+99),IF(AP540&gt;0,AP540,1E+99),IF(AR540&gt;0,AR540,1E+99),IF(AT540&gt;0,AT540,1E+99),IF(AV540&gt;0,AV540,1E+99),IF(AX540&gt;0,AX540,1E+99),IF(AZ540&gt;0,AZ540,1E+99)),IF(m=1E+99,"",m))</x:f>
        <x:v>12.641</x:v>
      </x:c>
      <x:c r="BC540" s="12" t="e">
        <x:f>IF(BB540="","",INDEX({"v1.4.20","v1.4.20","v1.4.21","v1.4.21","v1.4.23","v1.4.23","v1.4.26","v1.4.26","v1.4.26.1","v1.4.26.1","v1.4.27","v1.4.27","v1.4.29","v1.4.29","v1.4.30","v1.4.30","v1.4.31","v1.4.31","v1.4.33","v1.4.33","v1.4.35","v1.4.35.2","v1.5","v1.5.1","v1.5.1"},MATCH(BB540,CHOOSE({1,2,3,4,5,6,7,8,9,10,11,12,13,14,15,16,17,18,19,20,21,22,23,24,25},D540,F540,H540,J540,L540,N540,P540,R540,T540,V540,X540,Z540,AB540,AD540,AF540,AH540,AJ540,AL540,AN540,AP540,AR540,AT540,AV540,AX540,AZ540),0)))</x:f>
      </x:c>
      <x:c r="BD540" s="14" t="n">
        <x:f>LET(m,MIN(IF(E540&gt;0,E540,1E+99),IF(G540&gt;0,G540,1E+99),IF(I540&gt;0,I540,1E+99),IF(K540&gt;0,K540,1E+99),IF(M540&gt;0,M540,1E+99),IF(O540&gt;0,O540,1E+99),IF(Q540&gt;0,Q540,1E+99),IF(S540&gt;0,S540,1E+99),IF(U540&gt;0,U540,1E+99),IF(W540&gt;0,W540,1E+99),IF(Y540&gt;0,Y540,1E+99),IF(AA540&gt;0,AA540,1E+99),IF(AC540&gt;0,AC540,1E+99),IF(AE540&gt;0,AE540,1E+99),IF(AG540&gt;0,AG540,1E+99),IF(AI540&gt;0,AI540,1E+99),IF(AK540&gt;0,AK540,1E+99),IF(AM540&gt;0,AM540,1E+99),IF(AO540&gt;0,AO540,1E+99),IF(AQ540&gt;0,AQ540,1E+99),IF(AS540&gt;0,AS540,1E+99),IF(AU540&gt;0,AU540,1E+99),IF(AW540&gt;0,AW540,1E+99),IF(AY540&gt;0,AY540,1E+99),IF(BA540&gt;0,BA540,1E+99)),IF(m=1E+99,"",m))</x:f>
        <x:v>55.384</x:v>
      </x:c>
      <x:c r="BE540" s="16" t="e">
        <x:f>IF(BD540="","",INDEX({"v1.4.20","v1.4.20","v1.4.21","v1.4.21","v1.4.23","v1.4.23","v1.4.26","v1.4.26","v1.4.26.1","v1.4.26.1","v1.4.27","v1.4.27","v1.4.29","v1.4.29","v1.4.30","v1.4.30","v1.4.31","v1.4.31","v1.4.33","v1.4.33","v1.4.35","v1.4.35.2","v1.5","v1.5.1","v1.5.1"},MATCH(BD540,CHOOSE({1,2,3,4,5,6,7,8,9,10,11,12,13,14,15,16,17,18,19,20,21,22,23,24,25},E540,G540,I540,K540,M540,O540,Q540,S540,U540,W540,Y540,AA540,AC540,AE540,AG540,AI540,AK540,AM540,AO540,AQ540,AS540,AU540,AW540,AY540,BA540),0)))</x:f>
      </x:c>
      <x:c r="BF540" s="10" t="n">
        <x:f>IFERROR((AX540-BB540)/BB540,"")</x:f>
        <x:v>-1</x:v>
      </x:c>
      <x:c r="BG540" s="10" t="n">
        <x:f>IFERROR((AY540-BD540)/BD540,"")</x:f>
        <x:v>-1</x:v>
      </x:c>
    </x:row>
    <x:row r="541">
      <x:c r="A541" t="str"/>
      <x:c r="B541" t="str">
        <x:v>Run All Framework Tests + Dashboard</x:v>
      </x:c>
      <x:c r="C541" t="str">
        <x:v>Section I Summary complete</x:v>
      </x:c>
      <x:c r="D541" s="8"/>
      <x:c r="E541" s="8"/>
      <x:c r="F541" s="8"/>
      <x:c r="G541" s="8"/>
      <x:c r="H541" s="8"/>
      <x:c r="I541" s="8"/>
      <x:c r="J541" s="8"/>
      <x:c r="K541" s="8"/>
      <x:c r="L541" s="8"/>
      <x:c r="M541" s="8"/>
      <x:c r="N541" s="8"/>
      <x:c r="O541" s="8"/>
      <x:c r="P541" s="8"/>
      <x:c r="Q541" s="8"/>
      <x:c r="R541" s="8"/>
      <x:c r="S541" s="8"/>
      <x:c r="T541" s="8"/>
      <x:c r="U541" s="8"/>
      <x:c r="V541" s="8" t="n">
        <x:v>6.077</x:v>
      </x:c>
      <x:c r="W541" s="8" t="n">
        <x:v>65.992</x:v>
      </x:c>
      <x:c r="X541" s="8"/>
      <x:c r="Y541" s="8"/>
      <x:c r="Z541" s="8"/>
      <x:c r="AA541" s="8"/>
      <x:c r="AB541" s="8"/>
      <x:c r="AC541" s="8"/>
      <x:c r="AD541" s="8"/>
      <x:c r="AE541" s="8"/>
      <x:c r="AF541" s="8"/>
      <x:c r="AG541" s="8"/>
      <x:c r="AH541" s="8"/>
      <x:c r="AI541" s="8"/>
      <x:c r="AJ541" s="8"/>
      <x:c r="AK541" s="8"/>
      <x:c r="AL541" s="8"/>
      <x:c r="AM541" s="8"/>
      <x:c r="AN541" s="8" t="n">
        <x:v>5.572</x:v>
      </x:c>
      <x:c r="AO541" s="8" t="n">
        <x:v>67.294</x:v>
      </x:c>
      <x:c r="AP541" s="8"/>
      <x:c r="AQ541" s="8"/>
      <x:c r="AR541" s="8"/>
      <x:c r="AS541" s="8"/>
      <x:c r="AT541" s="8" t="n">
        <x:v>6.641</x:v>
      </x:c>
      <x:c r="AU541" s="8" t="n">
        <x:v>62.025</x:v>
      </x:c>
      <x:c r="AV541" s="8"/>
      <x:c r="AW541" s="8"/>
      <x:c r="AX541" s="8"/>
      <x:c r="AY541" s="8"/>
      <x:c r="AZ541" s="8"/>
      <x:c r="BA541" s="8"/>
      <x:c r="BB541" s="8" t="n">
        <x:f>LET(m,MIN(IF(D541&gt;0,D541,1E+99),IF(F541&gt;0,F541,1E+99),IF(H541&gt;0,H541,1E+99),IF(J541&gt;0,J541,1E+99),IF(L541&gt;0,L541,1E+99),IF(N541&gt;0,N541,1E+99),IF(P541&gt;0,P541,1E+99),IF(R541&gt;0,R541,1E+99),IF(T541&gt;0,T541,1E+99),IF(V541&gt;0,V541,1E+99),IF(X541&gt;0,X541,1E+99),IF(Z541&gt;0,Z541,1E+99),IF(AB541&gt;0,AB541,1E+99),IF(AD541&gt;0,AD541,1E+99),IF(AF541&gt;0,AF541,1E+99),IF(AH541&gt;0,AH541,1E+99),IF(AJ541&gt;0,AJ541,1E+99),IF(AL541&gt;0,AL541,1E+99),IF(AN541&gt;0,AN541,1E+99),IF(AP541&gt;0,AP541,1E+99),IF(AR541&gt;0,AR541,1E+99),IF(AT541&gt;0,AT541,1E+99),IF(AV541&gt;0,AV541,1E+99),IF(AX541&gt;0,AX541,1E+99),IF(AZ541&gt;0,AZ541,1E+99)),IF(m=1E+99,"",m))</x:f>
        <x:v>5.572</x:v>
      </x:c>
      <x:c r="BC541" s="12" t="e">
        <x:f>IF(BB541="","",INDEX({"v1.4.20","v1.4.20","v1.4.21","v1.4.21","v1.4.23","v1.4.23","v1.4.26","v1.4.26","v1.4.26.1","v1.4.26.1","v1.4.27","v1.4.27","v1.4.29","v1.4.29","v1.4.30","v1.4.30","v1.4.31","v1.4.31","v1.4.33","v1.4.33","v1.4.35","v1.4.35.2","v1.5","v1.5.1","v1.5.1"},MATCH(BB541,CHOOSE({1,2,3,4,5,6,7,8,9,10,11,12,13,14,15,16,17,18,19,20,21,22,23,24,25},D541,F541,H541,J541,L541,N541,P541,R541,T541,V541,X541,Z541,AB541,AD541,AF541,AH541,AJ541,AL541,AN541,AP541,AR541,AT541,AV541,AX541,AZ541),0)))</x:f>
      </x:c>
      <x:c r="BD541" s="14" t="n">
        <x:f>LET(m,MIN(IF(E541&gt;0,E541,1E+99),IF(G541&gt;0,G541,1E+99),IF(I541&gt;0,I541,1E+99),IF(K541&gt;0,K541,1E+99),IF(M541&gt;0,M541,1E+99),IF(O541&gt;0,O541,1E+99),IF(Q541&gt;0,Q541,1E+99),IF(S541&gt;0,S541,1E+99),IF(U541&gt;0,U541,1E+99),IF(W541&gt;0,W541,1E+99),IF(Y541&gt;0,Y541,1E+99),IF(AA541&gt;0,AA541,1E+99),IF(AC541&gt;0,AC541,1E+99),IF(AE541&gt;0,AE541,1E+99),IF(AG541&gt;0,AG541,1E+99),IF(AI541&gt;0,AI541,1E+99),IF(AK541&gt;0,AK541,1E+99),IF(AM541&gt;0,AM541,1E+99),IF(AO541&gt;0,AO541,1E+99),IF(AQ541&gt;0,AQ541,1E+99),IF(AS541&gt;0,AS541,1E+99),IF(AU541&gt;0,AU541,1E+99),IF(AW541&gt;0,AW541,1E+99),IF(AY541&gt;0,AY541,1E+99),IF(BA541&gt;0,BA541,1E+99)),IF(m=1E+99,"",m))</x:f>
        <x:v>62.025</x:v>
      </x:c>
      <x:c r="BE541" s="16" t="e">
        <x:f>IF(BD541="","",INDEX({"v1.4.20","v1.4.20","v1.4.21","v1.4.21","v1.4.23","v1.4.23","v1.4.26","v1.4.26","v1.4.26.1","v1.4.26.1","v1.4.27","v1.4.27","v1.4.29","v1.4.29","v1.4.30","v1.4.30","v1.4.31","v1.4.31","v1.4.33","v1.4.33","v1.4.35","v1.4.35.2","v1.5","v1.5.1","v1.5.1"},MATCH(BD541,CHOOSE({1,2,3,4,5,6,7,8,9,10,11,12,13,14,15,16,17,18,19,20,21,22,23,24,25},E541,G541,I541,K541,M541,O541,Q541,S541,U541,W541,Y541,AA541,AC541,AE541,AG541,AI541,AK541,AM541,AO541,AQ541,AS541,AU541,AW541,AY541,BA541),0)))</x:f>
      </x:c>
      <x:c r="BF541" s="10" t="n">
        <x:f>IFERROR((AX541-BB541)/BB541,"")</x:f>
        <x:v>-1</x:v>
      </x:c>
      <x:c r="BG541" s="10" t="n">
        <x:f>IFERROR((AY541-BD541)/BD541,"")</x:f>
        <x:v>-1</x:v>
      </x:c>
    </x:row>
    <x:row r="542">
      <x:c r="A542" t="str"/>
      <x:c r="B542" t="str">
        <x:v>Run All Framework Tests + Dashboard</x:v>
      </x:c>
      <x:c r="C542" t="str">
        <x:v>Section J Timing Summary complete</x:v>
      </x:c>
      <x:c r="D542" s="8"/>
      <x:c r="E542" s="8"/>
      <x:c r="F542" s="8"/>
      <x:c r="G542" s="8"/>
      <x:c r="H542" s="8"/>
      <x:c r="I542" s="8"/>
      <x:c r="J542" s="8"/>
      <x:c r="K542" s="8"/>
      <x:c r="L542" s="8"/>
      <x:c r="M542" s="8"/>
      <x:c r="N542" s="8"/>
      <x:c r="O542" s="8"/>
      <x:c r="P542" s="8"/>
      <x:c r="Q542" s="8"/>
      <x:c r="R542" s="8"/>
      <x:c r="S542" s="8"/>
      <x:c r="T542" s="8"/>
      <x:c r="U542" s="8"/>
      <x:c r="V542" s="8" t="n">
        <x:v>9.28</x:v>
      </x:c>
      <x:c r="W542" s="8" t="n">
        <x:v>75.272</x:v>
      </x:c>
      <x:c r="X542" s="8"/>
      <x:c r="Y542" s="8"/>
      <x:c r="Z542" s="8"/>
      <x:c r="AA542" s="8"/>
      <x:c r="AB542" s="8"/>
      <x:c r="AC542" s="8"/>
      <x:c r="AD542" s="8"/>
      <x:c r="AE542" s="8"/>
      <x:c r="AF542" s="8"/>
      <x:c r="AG542" s="8"/>
      <x:c r="AH542" s="8"/>
      <x:c r="AI542" s="8"/>
      <x:c r="AJ542" s="8"/>
      <x:c r="AK542" s="8"/>
      <x:c r="AL542" s="8"/>
      <x:c r="AM542" s="8"/>
      <x:c r="AN542" s="8" t="n">
        <x:v>6.864</x:v>
      </x:c>
      <x:c r="AO542" s="8" t="n">
        <x:v>74.158</x:v>
      </x:c>
      <x:c r="AP542" s="8"/>
      <x:c r="AQ542" s="8"/>
      <x:c r="AR542" s="8"/>
      <x:c r="AS542" s="8"/>
      <x:c r="AT542" s="8" t="n">
        <x:v>5.345</x:v>
      </x:c>
      <x:c r="AU542" s="8" t="n">
        <x:v>67.37</x:v>
      </x:c>
      <x:c r="AV542" s="8"/>
      <x:c r="AW542" s="8"/>
      <x:c r="AX542" s="8"/>
      <x:c r="AY542" s="8"/>
      <x:c r="AZ542" s="8"/>
      <x:c r="BA542" s="8"/>
      <x:c r="BB542" s="8" t="n">
        <x:f>LET(m,MIN(IF(D542&gt;0,D542,1E+99),IF(F542&gt;0,F542,1E+99),IF(H542&gt;0,H542,1E+99),IF(J542&gt;0,J542,1E+99),IF(L542&gt;0,L542,1E+99),IF(N542&gt;0,N542,1E+99),IF(P542&gt;0,P542,1E+99),IF(R542&gt;0,R542,1E+99),IF(T542&gt;0,T542,1E+99),IF(V542&gt;0,V542,1E+99),IF(X542&gt;0,X542,1E+99),IF(Z542&gt;0,Z542,1E+99),IF(AB542&gt;0,AB542,1E+99),IF(AD542&gt;0,AD542,1E+99),IF(AF542&gt;0,AF542,1E+99),IF(AH542&gt;0,AH542,1E+99),IF(AJ542&gt;0,AJ542,1E+99),IF(AL542&gt;0,AL542,1E+99),IF(AN542&gt;0,AN542,1E+99),IF(AP542&gt;0,AP542,1E+99),IF(AR542&gt;0,AR542,1E+99),IF(AT542&gt;0,AT542,1E+99),IF(AV542&gt;0,AV542,1E+99),IF(AX542&gt;0,AX542,1E+99),IF(AZ542&gt;0,AZ542,1E+99)),IF(m=1E+99,"",m))</x:f>
        <x:v>5.345</x:v>
      </x:c>
      <x:c r="BC542" s="12" t="e">
        <x:f>IF(BB542="","",INDEX({"v1.4.20","v1.4.20","v1.4.21","v1.4.21","v1.4.23","v1.4.23","v1.4.26","v1.4.26","v1.4.26.1","v1.4.26.1","v1.4.27","v1.4.27","v1.4.29","v1.4.29","v1.4.30","v1.4.30","v1.4.31","v1.4.31","v1.4.33","v1.4.33","v1.4.35","v1.4.35.2","v1.5","v1.5.1","v1.5.1"},MATCH(BB542,CHOOSE({1,2,3,4,5,6,7,8,9,10,11,12,13,14,15,16,17,18,19,20,21,22,23,24,25},D542,F542,H542,J542,L542,N542,P542,R542,T542,V542,X542,Z542,AB542,AD542,AF542,AH542,AJ542,AL542,AN542,AP542,AR542,AT542,AV542,AX542,AZ542),0)))</x:f>
      </x:c>
      <x:c r="BD542" s="14" t="n">
        <x:f>LET(m,MIN(IF(E542&gt;0,E542,1E+99),IF(G542&gt;0,G542,1E+99),IF(I542&gt;0,I542,1E+99),IF(K542&gt;0,K542,1E+99),IF(M542&gt;0,M542,1E+99),IF(O542&gt;0,O542,1E+99),IF(Q542&gt;0,Q542,1E+99),IF(S542&gt;0,S542,1E+99),IF(U542&gt;0,U542,1E+99),IF(W542&gt;0,W542,1E+99),IF(Y542&gt;0,Y542,1E+99),IF(AA542&gt;0,AA542,1E+99),IF(AC542&gt;0,AC542,1E+99),IF(AE542&gt;0,AE542,1E+99),IF(AG542&gt;0,AG542,1E+99),IF(AI542&gt;0,AI542,1E+99),IF(AK542&gt;0,AK542,1E+99),IF(AM542&gt;0,AM542,1E+99),IF(AO542&gt;0,AO542,1E+99),IF(AQ542&gt;0,AQ542,1E+99),IF(AS542&gt;0,AS542,1E+99),IF(AU542&gt;0,AU542,1E+99),IF(AW542&gt;0,AW542,1E+99),IF(AY542&gt;0,AY542,1E+99),IF(BA542&gt;0,BA542,1E+99)),IF(m=1E+99,"",m))</x:f>
        <x:v>67.37</x:v>
      </x:c>
      <x:c r="BE542" s="16" t="e">
        <x:f>IF(BD542="","",INDEX({"v1.4.20","v1.4.20","v1.4.21","v1.4.21","v1.4.23","v1.4.23","v1.4.26","v1.4.26","v1.4.26.1","v1.4.26.1","v1.4.27","v1.4.27","v1.4.29","v1.4.29","v1.4.30","v1.4.30","v1.4.31","v1.4.31","v1.4.33","v1.4.33","v1.4.35","v1.4.35.2","v1.5","v1.5.1","v1.5.1"},MATCH(BD542,CHOOSE({1,2,3,4,5,6,7,8,9,10,11,12,13,14,15,16,17,18,19,20,21,22,23,24,25},E542,G542,I542,K542,M542,O542,Q542,S542,U542,W542,Y542,AA542,AC542,AE542,AG542,AI542,AK542,AM542,AO542,AQ542,AS542,AU542,AW542,AY542,BA542),0)))</x:f>
      </x:c>
      <x:c r="BF542" s="10" t="n">
        <x:f>IFERROR((AX542-BB542)/BB542,"")</x:f>
        <x:v>-1</x:v>
      </x:c>
      <x:c r="BG542" s="10" t="n">
        <x:f>IFERROR((AY542-BD542)/BD542,"")</x:f>
        <x:v>-1</x:v>
      </x:c>
    </x:row>
    <x:row r="543">
      <x:c r="A543" t="str"/>
      <x:c r="B543" t="str">
        <x:v>Run All Framework Tests + Dashboard</x:v>
      </x:c>
      <x:c r="C543" t="str">
        <x:v>Section L Care Plan Sync Diagnostics complete</x:v>
      </x:c>
      <x:c r="D543" s="8"/>
      <x:c r="E543" s="8"/>
      <x:c r="F543" s="8"/>
      <x:c r="G543" s="8"/>
      <x:c r="H543" s="8"/>
      <x:c r="I543" s="8"/>
      <x:c r="J543" s="8"/>
      <x:c r="K543" s="8"/>
      <x:c r="L543" s="8"/>
      <x:c r="M543" s="8"/>
      <x:c r="N543" s="8"/>
      <x:c r="O543" s="8"/>
      <x:c r="P543" s="8"/>
      <x:c r="Q543" s="8"/>
      <x:c r="R543" s="8"/>
      <x:c r="S543" s="8"/>
      <x:c r="T543" s="8"/>
      <x:c r="U543" s="8"/>
      <x:c r="V543" s="8" t="n">
        <x:v>8.584</x:v>
      </x:c>
      <x:c r="W543" s="8" t="n">
        <x:v>43.478</x:v>
      </x:c>
      <x:c r="X543" s="8"/>
      <x:c r="Y543" s="8"/>
      <x:c r="Z543" s="8"/>
      <x:c r="AA543" s="8"/>
      <x:c r="AB543" s="8"/>
      <x:c r="AC543" s="8"/>
      <x:c r="AD543" s="8"/>
      <x:c r="AE543" s="8"/>
      <x:c r="AF543" s="8"/>
      <x:c r="AG543" s="8"/>
      <x:c r="AH543" s="8"/>
      <x:c r="AI543" s="8"/>
      <x:c r="AJ543" s="8"/>
      <x:c r="AK543" s="8"/>
      <x:c r="AL543" s="8"/>
      <x:c r="AM543" s="8"/>
      <x:c r="AN543" s="8" t="n">
        <x:v>8.498</x:v>
      </x:c>
      <x:c r="AO543" s="8" t="n">
        <x:v>49.081</x:v>
      </x:c>
      <x:c r="AP543" s="8"/>
      <x:c r="AQ543" s="8"/>
      <x:c r="AR543" s="8"/>
      <x:c r="AS543" s="8"/>
      <x:c r="AT543" s="8" t="n">
        <x:v>7.227</x:v>
      </x:c>
      <x:c r="AU543" s="8" t="n">
        <x:v>42.688</x:v>
      </x:c>
      <x:c r="AV543" s="8"/>
      <x:c r="AW543" s="8"/>
      <x:c r="AX543" s="8"/>
      <x:c r="AY543" s="8"/>
      <x:c r="AZ543" s="8"/>
      <x:c r="BA543" s="8"/>
      <x:c r="BB543" s="8" t="n">
        <x:f>LET(m,MIN(IF(D543&gt;0,D543,1E+99),IF(F543&gt;0,F543,1E+99),IF(H543&gt;0,H543,1E+99),IF(J543&gt;0,J543,1E+99),IF(L543&gt;0,L543,1E+99),IF(N543&gt;0,N543,1E+99),IF(P543&gt;0,P543,1E+99),IF(R543&gt;0,R543,1E+99),IF(T543&gt;0,T543,1E+99),IF(V543&gt;0,V543,1E+99),IF(X543&gt;0,X543,1E+99),IF(Z543&gt;0,Z543,1E+99),IF(AB543&gt;0,AB543,1E+99),IF(AD543&gt;0,AD543,1E+99),IF(AF543&gt;0,AF543,1E+99),IF(AH543&gt;0,AH543,1E+99),IF(AJ543&gt;0,AJ543,1E+99),IF(AL543&gt;0,AL543,1E+99),IF(AN543&gt;0,AN543,1E+99),IF(AP543&gt;0,AP543,1E+99),IF(AR543&gt;0,AR543,1E+99),IF(AT543&gt;0,AT543,1E+99),IF(AV543&gt;0,AV543,1E+99),IF(AX543&gt;0,AX543,1E+99),IF(AZ543&gt;0,AZ543,1E+99)),IF(m=1E+99,"",m))</x:f>
        <x:v>7.227</x:v>
      </x:c>
      <x:c r="BC543" s="12" t="e">
        <x:f>IF(BB543="","",INDEX({"v1.4.20","v1.4.20","v1.4.21","v1.4.21","v1.4.23","v1.4.23","v1.4.26","v1.4.26","v1.4.26.1","v1.4.26.1","v1.4.27","v1.4.27","v1.4.29","v1.4.29","v1.4.30","v1.4.30","v1.4.31","v1.4.31","v1.4.33","v1.4.33","v1.4.35","v1.4.35.2","v1.5","v1.5.1","v1.5.1"},MATCH(BB543,CHOOSE({1,2,3,4,5,6,7,8,9,10,11,12,13,14,15,16,17,18,19,20,21,22,23,24,25},D543,F543,H543,J543,L543,N543,P543,R543,T543,V543,X543,Z543,AB543,AD543,AF543,AH543,AJ543,AL543,AN543,AP543,AR543,AT543,AV543,AX543,AZ543),0)))</x:f>
      </x:c>
      <x:c r="BD543" s="14" t="n">
        <x:f>LET(m,MIN(IF(E543&gt;0,E543,1E+99),IF(G543&gt;0,G543,1E+99),IF(I543&gt;0,I543,1E+99),IF(K543&gt;0,K543,1E+99),IF(M543&gt;0,M543,1E+99),IF(O543&gt;0,O543,1E+99),IF(Q543&gt;0,Q543,1E+99),IF(S543&gt;0,S543,1E+99),IF(U543&gt;0,U543,1E+99),IF(W543&gt;0,W543,1E+99),IF(Y543&gt;0,Y543,1E+99),IF(AA543&gt;0,AA543,1E+99),IF(AC543&gt;0,AC543,1E+99),IF(AE543&gt;0,AE543,1E+99),IF(AG543&gt;0,AG543,1E+99),IF(AI543&gt;0,AI543,1E+99),IF(AK543&gt;0,AK543,1E+99),IF(AM543&gt;0,AM543,1E+99),IF(AO543&gt;0,AO543,1E+99),IF(AQ543&gt;0,AQ543,1E+99),IF(AS543&gt;0,AS543,1E+99),IF(AU543&gt;0,AU543,1E+99),IF(AW543&gt;0,AW543,1E+99),IF(AY543&gt;0,AY543,1E+99),IF(BA543&gt;0,BA543,1E+99)),IF(m=1E+99,"",m))</x:f>
        <x:v>42.688</x:v>
      </x:c>
      <x:c r="BE543" s="16" t="e">
        <x:f>IF(BD543="","",INDEX({"v1.4.20","v1.4.20","v1.4.21","v1.4.21","v1.4.23","v1.4.23","v1.4.26","v1.4.26","v1.4.26.1","v1.4.26.1","v1.4.27","v1.4.27","v1.4.29","v1.4.29","v1.4.30","v1.4.30","v1.4.31","v1.4.31","v1.4.33","v1.4.33","v1.4.35","v1.4.35.2","v1.5","v1.5.1","v1.5.1"},MATCH(BD543,CHOOSE({1,2,3,4,5,6,7,8,9,10,11,12,13,14,15,16,17,18,19,20,21,22,23,24,25},E543,G543,I543,K543,M543,O543,Q543,S543,U543,W543,Y543,AA543,AC543,AE543,AG543,AI543,AK543,AM543,AO543,AQ543,AS543,AU543,AW543,AY543,BA543),0)))</x:f>
      </x:c>
      <x:c r="BF543" s="10" t="n">
        <x:f>IFERROR((AX543-BB543)/BB543,"")</x:f>
        <x:v>-1</x:v>
      </x:c>
      <x:c r="BG543" s="10" t="n">
        <x:f>IFERROR((AY543-BD543)/BD543,"")</x:f>
        <x:v>-1</x:v>
      </x:c>
    </x:row>
    <x:row r="544">
      <x:c r="A544" t="str"/>
      <x:c r="B544" t="str">
        <x:v>Run All Framework Tests + Dashboard</x:v>
      </x:c>
      <x:c r="C544" t="str">
        <x:v>Sections H-I-J Signoff/Summary/Timing refreshed</x:v>
      </x:c>
      <x:c r="D544" s="8"/>
      <x:c r="E544" s="8"/>
      <x:c r="F544" s="8"/>
      <x:c r="G544" s="8"/>
      <x:c r="H544" s="8"/>
      <x:c r="I544" s="8"/>
      <x:c r="J544" s="8"/>
      <x:c r="K544" s="8"/>
      <x:c r="L544" s="8"/>
      <x:c r="M544" s="8"/>
      <x:c r="N544" s="8"/>
      <x:c r="O544" s="8"/>
      <x:c r="P544" s="8"/>
      <x:c r="Q544" s="8"/>
      <x:c r="R544" s="8"/>
      <x:c r="S544" s="8"/>
      <x:c r="T544" s="8"/>
      <x:c r="U544" s="8"/>
      <x:c r="V544" s="8"/>
      <x:c r="W544" s="8"/>
      <x:c r="X544" s="8" t="n">
        <x:v>28.321</x:v>
      </x:c>
      <x:c r="Y544" s="8" t="n">
        <x:v>117.834</x:v>
      </x:c>
      <x:c r="Z544" s="8" t="n">
        <x:v>28.321</x:v>
      </x:c>
      <x:c r="AA544" s="8" t="n">
        <x:v>117.834</x:v>
      </x:c>
      <x:c r="AB544" s="8" t="n">
        <x:v>33.761</x:v>
      </x:c>
      <x:c r="AC544" s="8" t="n">
        <x:v>172.52</x:v>
      </x:c>
      <x:c r="AD544" s="8" t="n">
        <x:v>33.761</x:v>
      </x:c>
      <x:c r="AE544" s="8" t="n">
        <x:v>172.52</x:v>
      </x:c>
      <x:c r="AF544" s="8" t="n">
        <x:v>25.565</x:v>
      </x:c>
      <x:c r="AG544" s="8" t="n">
        <x:v>111.541</x:v>
      </x:c>
      <x:c r="AH544" s="8" t="n">
        <x:v>25.565</x:v>
      </x:c>
      <x:c r="AI544" s="8" t="n">
        <x:v>111.541</x:v>
      </x:c>
      <x:c r="AJ544" s="8"/>
      <x:c r="AK544" s="8"/>
      <x:c r="AL544" s="8" t="n">
        <x:v>34.529</x:v>
      </x:c>
      <x:c r="AM544" s="8" t="n">
        <x:v>164.905</x:v>
      </x:c>
      <x:c r="AN544" s="8"/>
      <x:c r="AO544" s="8"/>
      <x:c r="AP544" s="8"/>
      <x:c r="AQ544" s="8"/>
      <x:c r="AR544" s="8"/>
      <x:c r="AS544" s="8"/>
      <x:c r="AT544" s="8"/>
      <x:c r="AU544" s="8"/>
      <x:c r="AV544" s="8"/>
      <x:c r="AW544" s="8"/>
      <x:c r="AX544" s="8"/>
      <x:c r="AY544" s="8"/>
      <x:c r="AZ544" s="8"/>
      <x:c r="BA544" s="8"/>
      <x:c r="BB544" s="8" t="n">
        <x:f>LET(m,MIN(IF(D544&gt;0,D544,1E+99),IF(F544&gt;0,F544,1E+99),IF(H544&gt;0,H544,1E+99),IF(J544&gt;0,J544,1E+99),IF(L544&gt;0,L544,1E+99),IF(N544&gt;0,N544,1E+99),IF(P544&gt;0,P544,1E+99),IF(R544&gt;0,R544,1E+99),IF(T544&gt;0,T544,1E+99),IF(V544&gt;0,V544,1E+99),IF(X544&gt;0,X544,1E+99),IF(Z544&gt;0,Z544,1E+99),IF(AB544&gt;0,AB544,1E+99),IF(AD544&gt;0,AD544,1E+99),IF(AF544&gt;0,AF544,1E+99),IF(AH544&gt;0,AH544,1E+99),IF(AJ544&gt;0,AJ544,1E+99),IF(AL544&gt;0,AL544,1E+99),IF(AN544&gt;0,AN544,1E+99),IF(AP544&gt;0,AP544,1E+99),IF(AR544&gt;0,AR544,1E+99),IF(AT544&gt;0,AT544,1E+99),IF(AV544&gt;0,AV544,1E+99),IF(AX544&gt;0,AX544,1E+99),IF(AZ544&gt;0,AZ544,1E+99)),IF(m=1E+99,"",m))</x:f>
        <x:v>25.565</x:v>
      </x:c>
      <x:c r="BC544" s="12" t="e">
        <x:f>IF(BB544="","",INDEX({"v1.4.20","v1.4.20","v1.4.21","v1.4.21","v1.4.23","v1.4.23","v1.4.26","v1.4.26","v1.4.26.1","v1.4.26.1","v1.4.27","v1.4.27","v1.4.29","v1.4.29","v1.4.30","v1.4.30","v1.4.31","v1.4.31","v1.4.33","v1.4.33","v1.4.35","v1.4.35.2","v1.5","v1.5.1","v1.5.1"},MATCH(BB544,CHOOSE({1,2,3,4,5,6,7,8,9,10,11,12,13,14,15,16,17,18,19,20,21,22,23,24,25},D544,F544,H544,J544,L544,N544,P544,R544,T544,V544,X544,Z544,AB544,AD544,AF544,AH544,AJ544,AL544,AN544,AP544,AR544,AT544,AV544,AX544,AZ544),0)))</x:f>
      </x:c>
      <x:c r="BD544" s="14" t="n">
        <x:f>LET(m,MIN(IF(E544&gt;0,E544,1E+99),IF(G544&gt;0,G544,1E+99),IF(I544&gt;0,I544,1E+99),IF(K544&gt;0,K544,1E+99),IF(M544&gt;0,M544,1E+99),IF(O544&gt;0,O544,1E+99),IF(Q544&gt;0,Q544,1E+99),IF(S544&gt;0,S544,1E+99),IF(U544&gt;0,U544,1E+99),IF(W544&gt;0,W544,1E+99),IF(Y544&gt;0,Y544,1E+99),IF(AA544&gt;0,AA544,1E+99),IF(AC544&gt;0,AC544,1E+99),IF(AE544&gt;0,AE544,1E+99),IF(AG544&gt;0,AG544,1E+99),IF(AI544&gt;0,AI544,1E+99),IF(AK544&gt;0,AK544,1E+99),IF(AM544&gt;0,AM544,1E+99),IF(AO544&gt;0,AO544,1E+99),IF(AQ544&gt;0,AQ544,1E+99),IF(AS544&gt;0,AS544,1E+99),IF(AU544&gt;0,AU544,1E+99),IF(AW544&gt;0,AW544,1E+99),IF(AY544&gt;0,AY544,1E+99),IF(BA544&gt;0,BA544,1E+99)),IF(m=1E+99,"",m))</x:f>
        <x:v>111.541</x:v>
      </x:c>
      <x:c r="BE544" s="16" t="e">
        <x:f>IF(BD544="","",INDEX({"v1.4.20","v1.4.20","v1.4.21","v1.4.21","v1.4.23","v1.4.23","v1.4.26","v1.4.26","v1.4.26.1","v1.4.26.1","v1.4.27","v1.4.27","v1.4.29","v1.4.29","v1.4.30","v1.4.30","v1.4.31","v1.4.31","v1.4.33","v1.4.33","v1.4.35","v1.4.35.2","v1.5","v1.5.1","v1.5.1"},MATCH(BD544,CHOOSE({1,2,3,4,5,6,7,8,9,10,11,12,13,14,15,16,17,18,19,20,21,22,23,24,25},E544,G544,I544,K544,M544,O544,Q544,S544,U544,W544,Y544,AA544,AC544,AE544,AG544,AI544,AK544,AM544,AO544,AQ544,AS544,AU544,AW544,AY544,BA544),0)))</x:f>
      </x:c>
      <x:c r="BF544" s="10" t="n">
        <x:f>IFERROR((AX544-BB544)/BB544,"")</x:f>
        <x:v>-1</x:v>
      </x:c>
      <x:c r="BG544" s="10" t="n">
        <x:f>IFERROR((AY544-BD544)/BD544,"")</x:f>
        <x:v>-1</x:v>
      </x:c>
    </x:row>
    <x:row r="545">
      <x:c r="A545" t="str"/>
      <x:c r="B545" t="str">
        <x:v>Build Dashboard Quality Report</x:v>
      </x:c>
      <x:c r="C545" t="str">
        <x:v>Start</x:v>
      </x:c>
      <x:c r="D545" s="8" t="n">
        <x:v>0</x:v>
      </x:c>
      <x:c r="E545" s="8" t="n">
        <x:v>0</x:v>
      </x:c>
      <x:c r="F545" s="8"/>
      <x:c r="G545" s="8"/>
      <x:c r="H545" s="8" t="n">
        <x:v>0</x:v>
      </x:c>
      <x:c r="I545" s="8" t="n">
        <x:v>0</x:v>
      </x:c>
      <x:c r="J545" s="8" t="n">
        <x:v>0</x:v>
      </x:c>
      <x:c r="K545" s="8" t="n">
        <x:v>0</x:v>
      </x:c>
      <x:c r="L545" s="8"/>
      <x:c r="M545" s="8"/>
      <x:c r="N545" s="8"/>
      <x:c r="O545" s="8"/>
      <x:c r="P545" s="8"/>
      <x:c r="Q545" s="8"/>
      <x:c r="R545" s="8"/>
      <x:c r="S545" s="8"/>
      <x:c r="T545" s="8"/>
      <x:c r="U545" s="8"/>
      <x:c r="V545" s="8"/>
      <x:c r="W545" s="8"/>
      <x:c r="X545" s="8"/>
      <x:c r="Y545" s="8"/>
      <x:c r="Z545" s="8"/>
      <x:c r="AA545" s="8"/>
      <x:c r="AB545" s="8"/>
      <x:c r="AC545" s="8"/>
      <x:c r="AD545" s="8"/>
      <x:c r="AE545" s="8"/>
      <x:c r="AF545" s="8"/>
      <x:c r="AG545" s="8"/>
      <x:c r="AH545" s="8"/>
      <x:c r="AI545" s="8"/>
      <x:c r="AJ545" s="8"/>
      <x:c r="AK545" s="8"/>
      <x:c r="AL545" s="8"/>
      <x:c r="AM545" s="8"/>
      <x:c r="AN545" s="8"/>
      <x:c r="AO545" s="8"/>
      <x:c r="AP545" s="8"/>
      <x:c r="AQ545" s="8"/>
      <x:c r="AR545" s="8"/>
      <x:c r="AS545" s="8"/>
      <x:c r="AT545" s="8"/>
      <x:c r="AU545" s="8"/>
      <x:c r="AV545" s="8"/>
      <x:c r="AW545" s="8"/>
      <x:c r="AX545" s="8"/>
      <x:c r="AY545" s="8"/>
      <x:c r="AZ545" s="8"/>
      <x:c r="BA545" s="8"/>
      <x:c r="BB545" s="8" t="str">
        <x:f>LET(m,MIN(IF(D545&gt;0,D545,1E+99),IF(F545&gt;0,F545,1E+99),IF(H545&gt;0,H545,1E+99),IF(J545&gt;0,J545,1E+99),IF(L545&gt;0,L545,1E+99),IF(N545&gt;0,N545,1E+99),IF(P545&gt;0,P545,1E+99),IF(R545&gt;0,R545,1E+99),IF(T545&gt;0,T545,1E+99),IF(V545&gt;0,V545,1E+99),IF(X545&gt;0,X545,1E+99),IF(Z545&gt;0,Z545,1E+99),IF(AB545&gt;0,AB545,1E+99),IF(AD545&gt;0,AD545,1E+99),IF(AF545&gt;0,AF545,1E+99),IF(AH545&gt;0,AH545,1E+99),IF(AJ545&gt;0,AJ545,1E+99),IF(AL545&gt;0,AL545,1E+99),IF(AN545&gt;0,AN545,1E+99),IF(AP545&gt;0,AP545,1E+99),IF(AR545&gt;0,AR545,1E+99),IF(AT545&gt;0,AT545,1E+99),IF(AV545&gt;0,AV545,1E+99),IF(AX545&gt;0,AX545,1E+99),IF(AZ545&gt;0,AZ545,1E+99)),IF(m=1E+99,"",m))</x:f>
      </x:c>
      <x:c r="BC545" s="12" t="str">
        <x:f>IF(BB545="","",INDEX({"v1.4.20","v1.4.20","v1.4.21","v1.4.21","v1.4.23","v1.4.23","v1.4.26","v1.4.26","v1.4.26.1","v1.4.26.1","v1.4.27","v1.4.27","v1.4.29","v1.4.29","v1.4.30","v1.4.30","v1.4.31","v1.4.31","v1.4.33","v1.4.33","v1.4.35","v1.4.35.2","v1.5","v1.5.1","v1.5.1"},MATCH(BB545,CHOOSE({1,2,3,4,5,6,7,8,9,10,11,12,13,14,15,16,17,18,19,20,21,22,23,24,25},D545,F545,H545,J545,L545,N545,P545,R545,T545,V545,X545,Z545,AB545,AD545,AF545,AH545,AJ545,AL545,AN545,AP545,AR545,AT545,AV545,AX545,AZ545),0)))</x:f>
      </x:c>
      <x:c r="BD545" s="14" t="str">
        <x:f>LET(m,MIN(IF(E545&gt;0,E545,1E+99),IF(G545&gt;0,G545,1E+99),IF(I545&gt;0,I545,1E+99),IF(K545&gt;0,K545,1E+99),IF(M545&gt;0,M545,1E+99),IF(O545&gt;0,O545,1E+99),IF(Q545&gt;0,Q545,1E+99),IF(S545&gt;0,S545,1E+99),IF(U545&gt;0,U545,1E+99),IF(W545&gt;0,W545,1E+99),IF(Y545&gt;0,Y545,1E+99),IF(AA545&gt;0,AA545,1E+99),IF(AC545&gt;0,AC545,1E+99),IF(AE545&gt;0,AE545,1E+99),IF(AG545&gt;0,AG545,1E+99),IF(AI545&gt;0,AI545,1E+99),IF(AK545&gt;0,AK545,1E+99),IF(AM545&gt;0,AM545,1E+99),IF(AO545&gt;0,AO545,1E+99),IF(AQ545&gt;0,AQ545,1E+99),IF(AS545&gt;0,AS545,1E+99),IF(AU545&gt;0,AU545,1E+99),IF(AW545&gt;0,AW545,1E+99),IF(AY545&gt;0,AY545,1E+99),IF(BA545&gt;0,BA545,1E+99)),IF(m=1E+99,"",m))</x:f>
      </x:c>
      <x:c r="BE545" s="16" t="str">
        <x:f>IF(BD545="","",INDEX({"v1.4.20","v1.4.20","v1.4.21","v1.4.21","v1.4.23","v1.4.23","v1.4.26","v1.4.26","v1.4.26.1","v1.4.26.1","v1.4.27","v1.4.27","v1.4.29","v1.4.29","v1.4.30","v1.4.30","v1.4.31","v1.4.31","v1.4.33","v1.4.33","v1.4.35","v1.4.35.2","v1.5","v1.5.1","v1.5.1"},MATCH(BD545,CHOOSE({1,2,3,4,5,6,7,8,9,10,11,12,13,14,15,16,17,18,19,20,21,22,23,24,25},E545,G545,I545,K545,M545,O545,Q545,S545,U545,W545,Y545,AA545,AC545,AE545,AG545,AI545,AK545,AM545,AO545,AQ545,AS545,AU545,AW545,AY545,BA545),0)))</x:f>
      </x:c>
      <x:c r="BF545" s="10" t="str">
        <x:f>IFERROR((AX545-BB545)/BB545,"")</x:f>
      </x:c>
      <x:c r="BG545" s="10" t="str">
        <x:f>IFERROR((AY545-BD545)/BD545,"")</x:f>
      </x:c>
    </x:row>
    <x:row r="546">
      <x:c r="A546" t="str"/>
      <x:c r="B546" t="str">
        <x:v>Run All Framework Tests + Dashboard</x:v>
      </x:c>
      <x:c r="C546" t="str">
        <x:v>Start</x:v>
      </x:c>
      <x:c r="D546" s="8" t="n">
        <x:v>0</x:v>
      </x:c>
      <x:c r="E546" s="8" t="n">
        <x:v>0</x:v>
      </x:c>
      <x:c r="F546" s="8"/>
      <x:c r="G546" s="8"/>
      <x:c r="H546" s="8" t="n">
        <x:v>0</x:v>
      </x:c>
      <x:c r="I546" s="8" t="n">
        <x:v>0</x:v>
      </x:c>
      <x:c r="J546" s="8" t="n">
        <x:v>0</x:v>
      </x:c>
      <x:c r="K546" s="8" t="n">
        <x:v>0</x:v>
      </x:c>
      <x:c r="L546" s="8" t="n">
        <x:v>0</x:v>
      </x:c>
      <x:c r="M546" s="8" t="n">
        <x:v>0</x:v>
      </x:c>
      <x:c r="N546" s="8" t="n">
        <x:v>0</x:v>
      </x:c>
      <x:c r="O546" s="8" t="n">
        <x:v>0</x:v>
      </x:c>
      <x:c r="P546" s="8" t="n">
        <x:v>0</x:v>
      </x:c>
      <x:c r="Q546" s="8" t="n">
        <x:v>0</x:v>
      </x:c>
      <x:c r="R546" s="8" t="n">
        <x:v>0</x:v>
      </x:c>
      <x:c r="S546" s="8" t="n">
        <x:v>0</x:v>
      </x:c>
      <x:c r="T546" s="8"/>
      <x:c r="U546" s="8"/>
      <x:c r="V546" s="8" t="n">
        <x:v>0</x:v>
      </x:c>
      <x:c r="W546" s="8" t="n">
        <x:v>0</x:v>
      </x:c>
      <x:c r="X546" s="8" t="n">
        <x:v>0.001</x:v>
      </x:c>
      <x:c r="Y546" s="8" t="n">
        <x:v>0.001</x:v>
      </x:c>
      <x:c r="Z546" s="8" t="n">
        <x:v>0.001</x:v>
      </x:c>
      <x:c r="AA546" s="8" t="n">
        <x:v>0.001</x:v>
      </x:c>
      <x:c r="AB546" s="8" t="n">
        <x:v>0</x:v>
      </x:c>
      <x:c r="AC546" s="8" t="n">
        <x:v>0</x:v>
      </x:c>
      <x:c r="AD546" s="8" t="n">
        <x:v>0</x:v>
      </x:c>
      <x:c r="AE546" s="8" t="n">
        <x:v>0</x:v>
      </x:c>
      <x:c r="AF546" s="8" t="n">
        <x:v>0.001</x:v>
      </x:c>
      <x:c r="AG546" s="8" t="n">
        <x:v>0.001</x:v>
      </x:c>
      <x:c r="AH546" s="8" t="n">
        <x:v>0.001</x:v>
      </x:c>
      <x:c r="AI546" s="8" t="n">
        <x:v>0.001</x:v>
      </x:c>
      <x:c r="AJ546" s="8"/>
      <x:c r="AK546" s="8"/>
      <x:c r="AL546" s="8" t="n">
        <x:v>0</x:v>
      </x:c>
      <x:c r="AM546" s="8" t="n">
        <x:v>0</x:v>
      </x:c>
      <x:c r="AN546" s="8" t="n">
        <x:v>0</x:v>
      </x:c>
      <x:c r="AO546" s="8" t="n">
        <x:v>0</x:v>
      </x:c>
      <x:c r="AP546" s="8"/>
      <x:c r="AQ546" s="8"/>
      <x:c r="AR546" s="8"/>
      <x:c r="AS546" s="8"/>
      <x:c r="AT546" s="8" t="n">
        <x:v>0</x:v>
      </x:c>
      <x:c r="AU546" s="8" t="n">
        <x:v>0</x:v>
      </x:c>
      <x:c r="AV546" s="8"/>
      <x:c r="AW546" s="8"/>
      <x:c r="AX546" s="8"/>
      <x:c r="AY546" s="8"/>
      <x:c r="AZ546" s="8"/>
      <x:c r="BA546" s="8"/>
      <x:c r="BB546" s="8" t="n">
        <x:f>LET(m,MIN(IF(D546&gt;0,D546,1E+99),IF(F546&gt;0,F546,1E+99),IF(H546&gt;0,H546,1E+99),IF(J546&gt;0,J546,1E+99),IF(L546&gt;0,L546,1E+99),IF(N546&gt;0,N546,1E+99),IF(P546&gt;0,P546,1E+99),IF(R546&gt;0,R546,1E+99),IF(T546&gt;0,T546,1E+99),IF(V546&gt;0,V546,1E+99),IF(X546&gt;0,X546,1E+99),IF(Z546&gt;0,Z546,1E+99),IF(AB546&gt;0,AB546,1E+99),IF(AD546&gt;0,AD546,1E+99),IF(AF546&gt;0,AF546,1E+99),IF(AH546&gt;0,AH546,1E+99),IF(AJ546&gt;0,AJ546,1E+99),IF(AL546&gt;0,AL546,1E+99),IF(AN546&gt;0,AN546,1E+99),IF(AP546&gt;0,AP546,1E+99),IF(AR546&gt;0,AR546,1E+99),IF(AT546&gt;0,AT546,1E+99),IF(AV546&gt;0,AV546,1E+99),IF(AX546&gt;0,AX546,1E+99),IF(AZ546&gt;0,AZ546,1E+99)),IF(m=1E+99,"",m))</x:f>
        <x:v>0.001</x:v>
      </x:c>
      <x:c r="BC546" s="12" t="e">
        <x:f>IF(BB546="","",INDEX({"v1.4.20","v1.4.20","v1.4.21","v1.4.21","v1.4.23","v1.4.23","v1.4.26","v1.4.26","v1.4.26.1","v1.4.26.1","v1.4.27","v1.4.27","v1.4.29","v1.4.29","v1.4.30","v1.4.30","v1.4.31","v1.4.31","v1.4.33","v1.4.33","v1.4.35","v1.4.35.2","v1.5","v1.5.1","v1.5.1"},MATCH(BB546,CHOOSE({1,2,3,4,5,6,7,8,9,10,11,12,13,14,15,16,17,18,19,20,21,22,23,24,25},D546,F546,H546,J546,L546,N546,P546,R546,T546,V546,X546,Z546,AB546,AD546,AF546,AH546,AJ546,AL546,AN546,AP546,AR546,AT546,AV546,AX546,AZ546),0)))</x:f>
      </x:c>
      <x:c r="BD546" s="14" t="n">
        <x:f>LET(m,MIN(IF(E546&gt;0,E546,1E+99),IF(G546&gt;0,G546,1E+99),IF(I546&gt;0,I546,1E+99),IF(K546&gt;0,K546,1E+99),IF(M546&gt;0,M546,1E+99),IF(O546&gt;0,O546,1E+99),IF(Q546&gt;0,Q546,1E+99),IF(S546&gt;0,S546,1E+99),IF(U546&gt;0,U546,1E+99),IF(W546&gt;0,W546,1E+99),IF(Y546&gt;0,Y546,1E+99),IF(AA546&gt;0,AA546,1E+99),IF(AC546&gt;0,AC546,1E+99),IF(AE546&gt;0,AE546,1E+99),IF(AG546&gt;0,AG546,1E+99),IF(AI546&gt;0,AI546,1E+99),IF(AK546&gt;0,AK546,1E+99),IF(AM546&gt;0,AM546,1E+99),IF(AO546&gt;0,AO546,1E+99),IF(AQ546&gt;0,AQ546,1E+99),IF(AS546&gt;0,AS546,1E+99),IF(AU546&gt;0,AU546,1E+99),IF(AW546&gt;0,AW546,1E+99),IF(AY546&gt;0,AY546,1E+99),IF(BA546&gt;0,BA546,1E+99)),IF(m=1E+99,"",m))</x:f>
        <x:v>0.001</x:v>
      </x:c>
      <x:c r="BE546" s="16" t="e">
        <x:f>IF(BD546="","",INDEX({"v1.4.20","v1.4.20","v1.4.21","v1.4.21","v1.4.23","v1.4.23","v1.4.26","v1.4.26","v1.4.26.1","v1.4.26.1","v1.4.27","v1.4.27","v1.4.29","v1.4.29","v1.4.30","v1.4.30","v1.4.31","v1.4.31","v1.4.33","v1.4.33","v1.4.35","v1.4.35.2","v1.5","v1.5.1","v1.5.1"},MATCH(BD546,CHOOSE({1,2,3,4,5,6,7,8,9,10,11,12,13,14,15,16,17,18,19,20,21,22,23,24,25},E546,G546,I546,K546,M546,O546,Q546,S546,U546,W546,Y546,AA546,AC546,AE546,AG546,AI546,AK546,AM546,AO546,AQ546,AS546,AU546,AW546,AY546,BA546),0)))</x:f>
      </x:c>
      <x:c r="BF546" s="10" t="n">
        <x:f>IFERROR((AX546-BB546)/BB546,"")</x:f>
        <x:v>-1</x:v>
      </x:c>
      <x:c r="BG546" s="10" t="n">
        <x:f>IFERROR((AY546-BD546)/BD546,"")</x:f>
        <x:v>-1</x:v>
      </x:c>
    </x:row>
    <x:row r="547">
      <x:c r="A547" t="str"/>
      <x:c r="B547" t="str">
        <x:v>Run All Framework Tests + Dashboard</x:v>
      </x:c>
      <x:c r="C547" t="str">
        <x:v>Template validation complete</x:v>
      </x:c>
      <x:c r="D547" s="8" t="n">
        <x:v>10.434</x:v>
      </x:c>
      <x:c r="E547" s="8" t="n">
        <x:v>10.434</x:v>
      </x:c>
      <x:c r="F547" s="8"/>
      <x:c r="G547" s="8"/>
      <x:c r="H547" s="8" t="n">
        <x:v>9.597</x:v>
      </x:c>
      <x:c r="I547" s="8" t="n">
        <x:v>9.597</x:v>
      </x:c>
      <x:c r="J547" s="8" t="n">
        <x:v>9.597</x:v>
      </x:c>
      <x:c r="K547" s="8" t="n">
        <x:v>9.597</x:v>
      </x:c>
      <x:c r="L547" s="8"/>
      <x:c r="M547" s="8"/>
      <x:c r="N547" s="8"/>
      <x:c r="O547" s="8"/>
      <x:c r="P547" s="8"/>
      <x:c r="Q547" s="8"/>
      <x:c r="R547" s="8"/>
      <x:c r="S547" s="8"/>
      <x:c r="T547" s="8"/>
      <x:c r="U547" s="8"/>
      <x:c r="V547" s="8"/>
      <x:c r="W547" s="8"/>
      <x:c r="X547" s="8"/>
      <x:c r="Y547" s="8"/>
      <x:c r="Z547" s="8"/>
      <x:c r="AA547" s="8"/>
      <x:c r="AB547" s="8"/>
      <x:c r="AC547" s="8"/>
      <x:c r="AD547" s="8"/>
      <x:c r="AE547" s="8"/>
      <x:c r="AF547" s="8"/>
      <x:c r="AG547" s="8"/>
      <x:c r="AH547" s="8"/>
      <x:c r="AI547" s="8"/>
      <x:c r="AJ547" s="8"/>
      <x:c r="AK547" s="8"/>
      <x:c r="AL547" s="8"/>
      <x:c r="AM547" s="8"/>
      <x:c r="AN547" s="8"/>
      <x:c r="AO547" s="8"/>
      <x:c r="AP547" s="8"/>
      <x:c r="AQ547" s="8"/>
      <x:c r="AR547" s="8"/>
      <x:c r="AS547" s="8"/>
      <x:c r="AT547" s="8"/>
      <x:c r="AU547" s="8"/>
      <x:c r="AV547" s="8"/>
      <x:c r="AW547" s="8"/>
      <x:c r="AX547" s="8"/>
      <x:c r="AY547" s="8"/>
      <x:c r="AZ547" s="8"/>
      <x:c r="BA547" s="8"/>
      <x:c r="BB547" s="8" t="n">
        <x:f>LET(m,MIN(IF(D547&gt;0,D547,1E+99),IF(F547&gt;0,F547,1E+99),IF(H547&gt;0,H547,1E+99),IF(J547&gt;0,J547,1E+99),IF(L547&gt;0,L547,1E+99),IF(N547&gt;0,N547,1E+99),IF(P547&gt;0,P547,1E+99),IF(R547&gt;0,R547,1E+99),IF(T547&gt;0,T547,1E+99),IF(V547&gt;0,V547,1E+99),IF(X547&gt;0,X547,1E+99),IF(Z547&gt;0,Z547,1E+99),IF(AB547&gt;0,AB547,1E+99),IF(AD547&gt;0,AD547,1E+99),IF(AF547&gt;0,AF547,1E+99),IF(AH547&gt;0,AH547,1E+99),IF(AJ547&gt;0,AJ547,1E+99),IF(AL547&gt;0,AL547,1E+99),IF(AN547&gt;0,AN547,1E+99),IF(AP547&gt;0,AP547,1E+99),IF(AR547&gt;0,AR547,1E+99),IF(AT547&gt;0,AT547,1E+99),IF(AV547&gt;0,AV547,1E+99),IF(AX547&gt;0,AX547,1E+99),IF(AZ547&gt;0,AZ547,1E+99)),IF(m=1E+99,"",m))</x:f>
        <x:v>9.597</x:v>
      </x:c>
      <x:c r="BC547" s="12" t="e">
        <x:f>IF(BB547="","",INDEX({"v1.4.20","v1.4.20","v1.4.21","v1.4.21","v1.4.23","v1.4.23","v1.4.26","v1.4.26","v1.4.26.1","v1.4.26.1","v1.4.27","v1.4.27","v1.4.29","v1.4.29","v1.4.30","v1.4.30","v1.4.31","v1.4.31","v1.4.33","v1.4.33","v1.4.35","v1.4.35.2","v1.5","v1.5.1","v1.5.1"},MATCH(BB547,CHOOSE({1,2,3,4,5,6,7,8,9,10,11,12,13,14,15,16,17,18,19,20,21,22,23,24,25},D547,F547,H547,J547,L547,N547,P547,R547,T547,V547,X547,Z547,AB547,AD547,AF547,AH547,AJ547,AL547,AN547,AP547,AR547,AT547,AV547,AX547,AZ547),0)))</x:f>
      </x:c>
      <x:c r="BD547" s="14" t="n">
        <x:f>LET(m,MIN(IF(E547&gt;0,E547,1E+99),IF(G547&gt;0,G547,1E+99),IF(I547&gt;0,I547,1E+99),IF(K547&gt;0,K547,1E+99),IF(M547&gt;0,M547,1E+99),IF(O547&gt;0,O547,1E+99),IF(Q547&gt;0,Q547,1E+99),IF(S547&gt;0,S547,1E+99),IF(U547&gt;0,U547,1E+99),IF(W547&gt;0,W547,1E+99),IF(Y547&gt;0,Y547,1E+99),IF(AA547&gt;0,AA547,1E+99),IF(AC547&gt;0,AC547,1E+99),IF(AE547&gt;0,AE547,1E+99),IF(AG547&gt;0,AG547,1E+99),IF(AI547&gt;0,AI547,1E+99),IF(AK547&gt;0,AK547,1E+99),IF(AM547&gt;0,AM547,1E+99),IF(AO547&gt;0,AO547,1E+99),IF(AQ547&gt;0,AQ547,1E+99),IF(AS547&gt;0,AS547,1E+99),IF(AU547&gt;0,AU547,1E+99),IF(AW547&gt;0,AW547,1E+99),IF(AY547&gt;0,AY547,1E+99),IF(BA547&gt;0,BA547,1E+99)),IF(m=1E+99,"",m))</x:f>
        <x:v>9.597</x:v>
      </x:c>
      <x:c r="BE547" s="16" t="e">
        <x:f>IF(BD547="","",INDEX({"v1.4.20","v1.4.20","v1.4.21","v1.4.21","v1.4.23","v1.4.23","v1.4.26","v1.4.26","v1.4.26.1","v1.4.26.1","v1.4.27","v1.4.27","v1.4.29","v1.4.29","v1.4.30","v1.4.30","v1.4.31","v1.4.31","v1.4.33","v1.4.33","v1.4.35","v1.4.35.2","v1.5","v1.5.1","v1.5.1"},MATCH(BD547,CHOOSE({1,2,3,4,5,6,7,8,9,10,11,12,13,14,15,16,17,18,19,20,21,22,23,24,25},E547,G547,I547,K547,M547,O547,Q547,S547,U547,W547,Y547,AA547,AC547,AE547,AG547,AI547,AK547,AM547,AO547,AQ547,AS547,AU547,AW547,AY547,BA547),0)))</x:f>
      </x:c>
      <x:c r="BF547" s="10" t="n">
        <x:f>IFERROR((AX547-BB547)/BB547,"")</x:f>
        <x:v>-1</x:v>
      </x:c>
      <x:c r="BG547" s="10" t="n">
        <x:f>IFERROR((AY547-BD547)/BD547,"")</x:f>
        <x:v>-1</x:v>
      </x:c>
    </x:row>
    <x:row r="548">
      <x:c r="A548" t="str"/>
      <x:c r="B548" t="str">
        <x:v>Run All Framework Tests + Dashboard</x:v>
      </x:c>
      <x:c r="C548" t="str">
        <x:v>Test 6 complete</x:v>
      </x:c>
      <x:c r="D548" s="8" t="n">
        <x:v>4.654</x:v>
      </x:c>
      <x:c r="E548" s="8" t="n">
        <x:v>15.088</x:v>
      </x:c>
      <x:c r="F548" s="8"/>
      <x:c r="G548" s="8"/>
      <x:c r="H548" s="8" t="n">
        <x:v>3.342</x:v>
      </x:c>
      <x:c r="I548" s="8" t="n">
        <x:v>12.939</x:v>
      </x:c>
      <x:c r="J548" s="8" t="n">
        <x:v>3.342</x:v>
      </x:c>
      <x:c r="K548" s="8" t="n">
        <x:v>12.939</x:v>
      </x:c>
      <x:c r="L548" s="8"/>
      <x:c r="M548" s="8"/>
      <x:c r="N548" s="8"/>
      <x:c r="O548" s="8"/>
      <x:c r="P548" s="8"/>
      <x:c r="Q548" s="8"/>
      <x:c r="R548" s="8"/>
      <x:c r="S548" s="8"/>
      <x:c r="T548" s="8"/>
      <x:c r="U548" s="8"/>
      <x:c r="V548" s="8"/>
      <x:c r="W548" s="8"/>
      <x:c r="X548" s="8"/>
      <x:c r="Y548" s="8"/>
      <x:c r="Z548" s="8"/>
      <x:c r="AA548" s="8"/>
      <x:c r="AB548" s="8"/>
      <x:c r="AC548" s="8"/>
      <x:c r="AD548" s="8"/>
      <x:c r="AE548" s="8"/>
      <x:c r="AF548" s="8"/>
      <x:c r="AG548" s="8"/>
      <x:c r="AH548" s="8"/>
      <x:c r="AI548" s="8"/>
      <x:c r="AJ548" s="8"/>
      <x:c r="AK548" s="8"/>
      <x:c r="AL548" s="8"/>
      <x:c r="AM548" s="8"/>
      <x:c r="AN548" s="8"/>
      <x:c r="AO548" s="8"/>
      <x:c r="AP548" s="8"/>
      <x:c r="AQ548" s="8"/>
      <x:c r="AR548" s="8"/>
      <x:c r="AS548" s="8"/>
      <x:c r="AT548" s="8"/>
      <x:c r="AU548" s="8"/>
      <x:c r="AV548" s="8"/>
      <x:c r="AW548" s="8"/>
      <x:c r="AX548" s="8"/>
      <x:c r="AY548" s="8"/>
      <x:c r="AZ548" s="8"/>
      <x:c r="BA548" s="8"/>
      <x:c r="BB548" s="8" t="n">
        <x:f>LET(m,MIN(IF(D548&gt;0,D548,1E+99),IF(F548&gt;0,F548,1E+99),IF(H548&gt;0,H548,1E+99),IF(J548&gt;0,J548,1E+99),IF(L548&gt;0,L548,1E+99),IF(N548&gt;0,N548,1E+99),IF(P548&gt;0,P548,1E+99),IF(R548&gt;0,R548,1E+99),IF(T548&gt;0,T548,1E+99),IF(V548&gt;0,V548,1E+99),IF(X548&gt;0,X548,1E+99),IF(Z548&gt;0,Z548,1E+99),IF(AB548&gt;0,AB548,1E+99),IF(AD548&gt;0,AD548,1E+99),IF(AF548&gt;0,AF548,1E+99),IF(AH548&gt;0,AH548,1E+99),IF(AJ548&gt;0,AJ548,1E+99),IF(AL548&gt;0,AL548,1E+99),IF(AN548&gt;0,AN548,1E+99),IF(AP548&gt;0,AP548,1E+99),IF(AR548&gt;0,AR548,1E+99),IF(AT548&gt;0,AT548,1E+99),IF(AV548&gt;0,AV548,1E+99),IF(AX548&gt;0,AX548,1E+99),IF(AZ548&gt;0,AZ548,1E+99)),IF(m=1E+99,"",m))</x:f>
        <x:v>3.342</x:v>
      </x:c>
      <x:c r="BC548" s="12" t="e">
        <x:f>IF(BB548="","",INDEX({"v1.4.20","v1.4.20","v1.4.21","v1.4.21","v1.4.23","v1.4.23","v1.4.26","v1.4.26","v1.4.26.1","v1.4.26.1","v1.4.27","v1.4.27","v1.4.29","v1.4.29","v1.4.30","v1.4.30","v1.4.31","v1.4.31","v1.4.33","v1.4.33","v1.4.35","v1.4.35.2","v1.5","v1.5.1","v1.5.1"},MATCH(BB548,CHOOSE({1,2,3,4,5,6,7,8,9,10,11,12,13,14,15,16,17,18,19,20,21,22,23,24,25},D548,F548,H548,J548,L548,N548,P548,R548,T548,V548,X548,Z548,AB548,AD548,AF548,AH548,AJ548,AL548,AN548,AP548,AR548,AT548,AV548,AX548,AZ548),0)))</x:f>
      </x:c>
      <x:c r="BD548" s="14" t="n">
        <x:f>LET(m,MIN(IF(E548&gt;0,E548,1E+99),IF(G548&gt;0,G548,1E+99),IF(I548&gt;0,I548,1E+99),IF(K548&gt;0,K548,1E+99),IF(M548&gt;0,M548,1E+99),IF(O548&gt;0,O548,1E+99),IF(Q548&gt;0,Q548,1E+99),IF(S548&gt;0,S548,1E+99),IF(U548&gt;0,U548,1E+99),IF(W548&gt;0,W548,1E+99),IF(Y548&gt;0,Y548,1E+99),IF(AA548&gt;0,AA548,1E+99),IF(AC548&gt;0,AC548,1E+99),IF(AE548&gt;0,AE548,1E+99),IF(AG548&gt;0,AG548,1E+99),IF(AI548&gt;0,AI548,1E+99),IF(AK548&gt;0,AK548,1E+99),IF(AM548&gt;0,AM548,1E+99),IF(AO548&gt;0,AO548,1E+99),IF(AQ548&gt;0,AQ548,1E+99),IF(AS548&gt;0,AS548,1E+99),IF(AU548&gt;0,AU548,1E+99),IF(AW548&gt;0,AW548,1E+99),IF(AY548&gt;0,AY548,1E+99),IF(BA548&gt;0,BA548,1E+99)),IF(m=1E+99,"",m))</x:f>
        <x:v>12.939</x:v>
      </x:c>
      <x:c r="BE548" s="16" t="e">
        <x:f>IF(BD548="","",INDEX({"v1.4.20","v1.4.20","v1.4.21","v1.4.21","v1.4.23","v1.4.23","v1.4.26","v1.4.26","v1.4.26.1","v1.4.26.1","v1.4.27","v1.4.27","v1.4.29","v1.4.29","v1.4.30","v1.4.30","v1.4.31","v1.4.31","v1.4.33","v1.4.33","v1.4.35","v1.4.35.2","v1.5","v1.5.1","v1.5.1"},MATCH(BD548,CHOOSE({1,2,3,4,5,6,7,8,9,10,11,12,13,14,15,16,17,18,19,20,21,22,23,24,25},E548,G548,I548,K548,M548,O548,Q548,S548,U548,W548,Y548,AA548,AC548,AE548,AG548,AI548,AK548,AM548,AO548,AQ548,AS548,AU548,AW548,AY548,BA548),0)))</x:f>
      </x:c>
      <x:c r="BF548" s="10" t="n">
        <x:f>IFERROR((AX548-BB548)/BB548,"")</x:f>
        <x:v>-1</x:v>
      </x:c>
      <x:c r="BG548" s="10" t="n">
        <x:f>IFERROR((AY548-BD548)/BD548,"")</x:f>
        <x:v>-1</x:v>
      </x:c>
    </x:row>
    <x:row r="549">
      <x:c r="A549" t="str"/>
      <x:c r="B549" t="str">
        <x:v>Run All Framework Tests + Dashboard</x:v>
      </x:c>
      <x:c r="C549" t="str">
        <x:v>Test 7 complete</x:v>
      </x:c>
      <x:c r="D549" s="8" t="n">
        <x:v>9.787</x:v>
      </x:c>
      <x:c r="E549" s="8" t="n">
        <x:v>24.875</x:v>
      </x:c>
      <x:c r="F549" s="8"/>
      <x:c r="G549" s="8"/>
      <x:c r="H549" s="8" t="n">
        <x:v>8.636</x:v>
      </x:c>
      <x:c r="I549" s="8" t="n">
        <x:v>21.575</x:v>
      </x:c>
      <x:c r="J549" s="8" t="n">
        <x:v>8.636</x:v>
      </x:c>
      <x:c r="K549" s="8" t="n">
        <x:v>21.575</x:v>
      </x:c>
      <x:c r="L549" s="8"/>
      <x:c r="M549" s="8"/>
      <x:c r="N549" s="8"/>
      <x:c r="O549" s="8"/>
      <x:c r="P549" s="8"/>
      <x:c r="Q549" s="8"/>
      <x:c r="R549" s="8"/>
      <x:c r="S549" s="8"/>
      <x:c r="T549" s="8"/>
      <x:c r="U549" s="8"/>
      <x:c r="V549" s="8"/>
      <x:c r="W549" s="8"/>
      <x:c r="X549" s="8"/>
      <x:c r="Y549" s="8"/>
      <x:c r="Z549" s="8"/>
      <x:c r="AA549" s="8"/>
      <x:c r="AB549" s="8"/>
      <x:c r="AC549" s="8"/>
      <x:c r="AD549" s="8"/>
      <x:c r="AE549" s="8"/>
      <x:c r="AF549" s="8"/>
      <x:c r="AG549" s="8"/>
      <x:c r="AH549" s="8"/>
      <x:c r="AI549" s="8"/>
      <x:c r="AJ549" s="8"/>
      <x:c r="AK549" s="8"/>
      <x:c r="AL549" s="8"/>
      <x:c r="AM549" s="8"/>
      <x:c r="AN549" s="8"/>
      <x:c r="AO549" s="8"/>
      <x:c r="AP549" s="8"/>
      <x:c r="AQ549" s="8"/>
      <x:c r="AR549" s="8"/>
      <x:c r="AS549" s="8"/>
      <x:c r="AT549" s="8"/>
      <x:c r="AU549" s="8"/>
      <x:c r="AV549" s="8"/>
      <x:c r="AW549" s="8"/>
      <x:c r="AX549" s="8"/>
      <x:c r="AY549" s="8"/>
      <x:c r="AZ549" s="8"/>
      <x:c r="BA549" s="8"/>
      <x:c r="BB549" s="8" t="n">
        <x:f>LET(m,MIN(IF(D549&gt;0,D549,1E+99),IF(F549&gt;0,F549,1E+99),IF(H549&gt;0,H549,1E+99),IF(J549&gt;0,J549,1E+99),IF(L549&gt;0,L549,1E+99),IF(N549&gt;0,N549,1E+99),IF(P549&gt;0,P549,1E+99),IF(R549&gt;0,R549,1E+99),IF(T549&gt;0,T549,1E+99),IF(V549&gt;0,V549,1E+99),IF(X549&gt;0,X549,1E+99),IF(Z549&gt;0,Z549,1E+99),IF(AB549&gt;0,AB549,1E+99),IF(AD549&gt;0,AD549,1E+99),IF(AF549&gt;0,AF549,1E+99),IF(AH549&gt;0,AH549,1E+99),IF(AJ549&gt;0,AJ549,1E+99),IF(AL549&gt;0,AL549,1E+99),IF(AN549&gt;0,AN549,1E+99),IF(AP549&gt;0,AP549,1E+99),IF(AR549&gt;0,AR549,1E+99),IF(AT549&gt;0,AT549,1E+99),IF(AV549&gt;0,AV549,1E+99),IF(AX549&gt;0,AX549,1E+99),IF(AZ549&gt;0,AZ549,1E+99)),IF(m=1E+99,"",m))</x:f>
        <x:v>8.636</x:v>
      </x:c>
      <x:c r="BC549" s="12" t="e">
        <x:f>IF(BB549="","",INDEX({"v1.4.20","v1.4.20","v1.4.21","v1.4.21","v1.4.23","v1.4.23","v1.4.26","v1.4.26","v1.4.26.1","v1.4.26.1","v1.4.27","v1.4.27","v1.4.29","v1.4.29","v1.4.30","v1.4.30","v1.4.31","v1.4.31","v1.4.33","v1.4.33","v1.4.35","v1.4.35.2","v1.5","v1.5.1","v1.5.1"},MATCH(BB549,CHOOSE({1,2,3,4,5,6,7,8,9,10,11,12,13,14,15,16,17,18,19,20,21,22,23,24,25},D549,F549,H549,J549,L549,N549,P549,R549,T549,V549,X549,Z549,AB549,AD549,AF549,AH549,AJ549,AL549,AN549,AP549,AR549,AT549,AV549,AX549,AZ549),0)))</x:f>
      </x:c>
      <x:c r="BD549" s="14" t="n">
        <x:f>LET(m,MIN(IF(E549&gt;0,E549,1E+99),IF(G549&gt;0,G549,1E+99),IF(I549&gt;0,I549,1E+99),IF(K549&gt;0,K549,1E+99),IF(M549&gt;0,M549,1E+99),IF(O549&gt;0,O549,1E+99),IF(Q549&gt;0,Q549,1E+99),IF(S549&gt;0,S549,1E+99),IF(U549&gt;0,U549,1E+99),IF(W549&gt;0,W549,1E+99),IF(Y549&gt;0,Y549,1E+99),IF(AA549&gt;0,AA549,1E+99),IF(AC549&gt;0,AC549,1E+99),IF(AE549&gt;0,AE549,1E+99),IF(AG549&gt;0,AG549,1E+99),IF(AI549&gt;0,AI549,1E+99),IF(AK549&gt;0,AK549,1E+99),IF(AM549&gt;0,AM549,1E+99),IF(AO549&gt;0,AO549,1E+99),IF(AQ549&gt;0,AQ549,1E+99),IF(AS549&gt;0,AS549,1E+99),IF(AU549&gt;0,AU549,1E+99),IF(AW549&gt;0,AW549,1E+99),IF(AY549&gt;0,AY549,1E+99),IF(BA549&gt;0,BA549,1E+99)),IF(m=1E+99,"",m))</x:f>
        <x:v>21.575</x:v>
      </x:c>
      <x:c r="BE549" s="16" t="e">
        <x:f>IF(BD549="","",INDEX({"v1.4.20","v1.4.20","v1.4.21","v1.4.21","v1.4.23","v1.4.23","v1.4.26","v1.4.26","v1.4.26.1","v1.4.26.1","v1.4.27","v1.4.27","v1.4.29","v1.4.29","v1.4.30","v1.4.30","v1.4.31","v1.4.31","v1.4.33","v1.4.33","v1.4.35","v1.4.35.2","v1.5","v1.5.1","v1.5.1"},MATCH(BD549,CHOOSE({1,2,3,4,5,6,7,8,9,10,11,12,13,14,15,16,17,18,19,20,21,22,23,24,25},E549,G549,I549,K549,M549,O549,Q549,S549,U549,W549,Y549,AA549,AC549,AE549,AG549,AI549,AK549,AM549,AO549,AQ549,AS549,AU549,AW549,AY549,BA549),0)))</x:f>
      </x:c>
      <x:c r="BF549" s="10" t="n">
        <x:f>IFERROR((AX549-BB549)/BB549,"")</x:f>
        <x:v>-1</x:v>
      </x:c>
      <x:c r="BG549" s="10" t="n">
        <x:f>IFERROR((AY549-BD549)/BD549,"")</x:f>
        <x:v>-1</x:v>
      </x:c>
    </x:row>
    <x:row r="550">
      <x:c r="A550" t="str"/>
      <x:c r="B550" t="str">
        <x:v>Run All Framework Tests + Dashboard</x:v>
      </x:c>
      <x:c r="C550" t="str">
        <x:v>Test 9 complete</x:v>
      </x:c>
      <x:c r="D550" s="8" t="n">
        <x:v>35.48</x:v>
      </x:c>
      <x:c r="E550" s="8" t="n">
        <x:v>60.355</x:v>
      </x:c>
      <x:c r="F550" s="8"/>
      <x:c r="G550" s="8"/>
      <x:c r="H550" s="8" t="n">
        <x:v>1.976</x:v>
      </x:c>
      <x:c r="I550" s="8" t="n">
        <x:v>23.551</x:v>
      </x:c>
      <x:c r="J550" s="8" t="n">
        <x:v>1.976</x:v>
      </x:c>
      <x:c r="K550" s="8" t="n">
        <x:v>23.551</x:v>
      </x:c>
      <x:c r="L550" s="8"/>
      <x:c r="M550" s="8"/>
      <x:c r="N550" s="8"/>
      <x:c r="O550" s="8"/>
      <x:c r="P550" s="8"/>
      <x:c r="Q550" s="8"/>
      <x:c r="R550" s="8"/>
      <x:c r="S550" s="8"/>
      <x:c r="T550" s="8"/>
      <x:c r="U550" s="8"/>
      <x:c r="V550" s="8"/>
      <x:c r="W550" s="8"/>
      <x:c r="X550" s="8"/>
      <x:c r="Y550" s="8"/>
      <x:c r="Z550" s="8"/>
      <x:c r="AA550" s="8"/>
      <x:c r="AB550" s="8"/>
      <x:c r="AC550" s="8"/>
      <x:c r="AD550" s="8"/>
      <x:c r="AE550" s="8"/>
      <x:c r="AF550" s="8"/>
      <x:c r="AG550" s="8"/>
      <x:c r="AH550" s="8"/>
      <x:c r="AI550" s="8"/>
      <x:c r="AJ550" s="8"/>
      <x:c r="AK550" s="8"/>
      <x:c r="AL550" s="8"/>
      <x:c r="AM550" s="8"/>
      <x:c r="AN550" s="8"/>
      <x:c r="AO550" s="8"/>
      <x:c r="AP550" s="8"/>
      <x:c r="AQ550" s="8"/>
      <x:c r="AR550" s="8"/>
      <x:c r="AS550" s="8"/>
      <x:c r="AT550" s="8"/>
      <x:c r="AU550" s="8"/>
      <x:c r="AV550" s="8"/>
      <x:c r="AW550" s="8"/>
      <x:c r="AX550" s="8"/>
      <x:c r="AY550" s="8"/>
      <x:c r="AZ550" s="8"/>
      <x:c r="BA550" s="8"/>
      <x:c r="BB550" s="8" t="n">
        <x:f>LET(m,MIN(IF(D550&gt;0,D550,1E+99),IF(F550&gt;0,F550,1E+99),IF(H550&gt;0,H550,1E+99),IF(J550&gt;0,J550,1E+99),IF(L550&gt;0,L550,1E+99),IF(N550&gt;0,N550,1E+99),IF(P550&gt;0,P550,1E+99),IF(R550&gt;0,R550,1E+99),IF(T550&gt;0,T550,1E+99),IF(V550&gt;0,V550,1E+99),IF(X550&gt;0,X550,1E+99),IF(Z550&gt;0,Z550,1E+99),IF(AB550&gt;0,AB550,1E+99),IF(AD550&gt;0,AD550,1E+99),IF(AF550&gt;0,AF550,1E+99),IF(AH550&gt;0,AH550,1E+99),IF(AJ550&gt;0,AJ550,1E+99),IF(AL550&gt;0,AL550,1E+99),IF(AN550&gt;0,AN550,1E+99),IF(AP550&gt;0,AP550,1E+99),IF(AR550&gt;0,AR550,1E+99),IF(AT550&gt;0,AT550,1E+99),IF(AV550&gt;0,AV550,1E+99),IF(AX550&gt;0,AX550,1E+99),IF(AZ550&gt;0,AZ550,1E+99)),IF(m=1E+99,"",m))</x:f>
        <x:v>1.976</x:v>
      </x:c>
      <x:c r="BC550" s="12" t="e">
        <x:f>IF(BB550="","",INDEX({"v1.4.20","v1.4.20","v1.4.21","v1.4.21","v1.4.23","v1.4.23","v1.4.26","v1.4.26","v1.4.26.1","v1.4.26.1","v1.4.27","v1.4.27","v1.4.29","v1.4.29","v1.4.30","v1.4.30","v1.4.31","v1.4.31","v1.4.33","v1.4.33","v1.4.35","v1.4.35.2","v1.5","v1.5.1","v1.5.1"},MATCH(BB550,CHOOSE({1,2,3,4,5,6,7,8,9,10,11,12,13,14,15,16,17,18,19,20,21,22,23,24,25},D550,F550,H550,J550,L550,N550,P550,R550,T550,V550,X550,Z550,AB550,AD550,AF550,AH550,AJ550,AL550,AN550,AP550,AR550,AT550,AV550,AX550,AZ550),0)))</x:f>
      </x:c>
      <x:c r="BD550" s="14" t="n">
        <x:f>LET(m,MIN(IF(E550&gt;0,E550,1E+99),IF(G550&gt;0,G550,1E+99),IF(I550&gt;0,I550,1E+99),IF(K550&gt;0,K550,1E+99),IF(M550&gt;0,M550,1E+99),IF(O550&gt;0,O550,1E+99),IF(Q550&gt;0,Q550,1E+99),IF(S550&gt;0,S550,1E+99),IF(U550&gt;0,U550,1E+99),IF(W550&gt;0,W550,1E+99),IF(Y550&gt;0,Y550,1E+99),IF(AA550&gt;0,AA550,1E+99),IF(AC550&gt;0,AC550,1E+99),IF(AE550&gt;0,AE550,1E+99),IF(AG550&gt;0,AG550,1E+99),IF(AI550&gt;0,AI550,1E+99),IF(AK550&gt;0,AK550,1E+99),IF(AM550&gt;0,AM550,1E+99),IF(AO550&gt;0,AO550,1E+99),IF(AQ550&gt;0,AQ550,1E+99),IF(AS550&gt;0,AS550,1E+99),IF(AU550&gt;0,AU550,1E+99),IF(AW550&gt;0,AW550,1E+99),IF(AY550&gt;0,AY550,1E+99),IF(BA550&gt;0,BA550,1E+99)),IF(m=1E+99,"",m))</x:f>
        <x:v>23.551</x:v>
      </x:c>
      <x:c r="BE550" s="16" t="e">
        <x:f>IF(BD550="","",INDEX({"v1.4.20","v1.4.20","v1.4.21","v1.4.21","v1.4.23","v1.4.23","v1.4.26","v1.4.26","v1.4.26.1","v1.4.26.1","v1.4.27","v1.4.27","v1.4.29","v1.4.29","v1.4.30","v1.4.30","v1.4.31","v1.4.31","v1.4.33","v1.4.33","v1.4.35","v1.4.35.2","v1.5","v1.5.1","v1.5.1"},MATCH(BD550,CHOOSE({1,2,3,4,5,6,7,8,9,10,11,12,13,14,15,16,17,18,19,20,21,22,23,24,25},E550,G550,I550,K550,M550,O550,Q550,S550,U550,W550,Y550,AA550,AC550,AE550,AG550,AI550,AK550,AM550,AO550,AQ550,AS550,AU550,AW550,AY550,BA550),0)))</x:f>
      </x:c>
      <x:c r="BF550" s="10" t="n">
        <x:f>IFERROR((AX550-BB550)/BB550,"")</x:f>
        <x:v>-1</x:v>
      </x:c>
      <x:c r="BG550" s="10" t="n">
        <x:f>IFERROR((AY550-BD550)/BD550,"")</x:f>
        <x:v>-1</x:v>
      </x:c>
    </x:row>
    <x:row r="551">
      <x:c r="A551" t="str">
        <x:v>Master List</x:v>
      </x:c>
      <x:c r="B551" t="str">
        <x:v>Run All Framework Tests + Dashboard</x:v>
      </x:c>
      <x:c r="C551" t="str">
        <x:v>Section K Master List Health Check complete</x:v>
      </x:c>
      <x:c r="D551" s="8"/>
      <x:c r="E551" s="8"/>
      <x:c r="F551" s="8"/>
      <x:c r="G551" s="8"/>
      <x:c r="H551" s="8"/>
      <x:c r="I551" s="8"/>
      <x:c r="J551" s="8"/>
      <x:c r="K551" s="8"/>
      <x:c r="L551" s="8"/>
      <x:c r="M551" s="8"/>
      <x:c r="N551" s="8"/>
      <x:c r="O551" s="8"/>
      <x:c r="P551" s="8"/>
      <x:c r="Q551" s="8"/>
      <x:c r="R551" s="8"/>
      <x:c r="S551" s="8"/>
      <x:c r="T551" s="8"/>
      <x:c r="U551" s="8"/>
      <x:c r="V551" s="8" t="n">
        <x:v>7.666</x:v>
      </x:c>
      <x:c r="W551" s="8" t="n">
        <x:v>34.894</x:v>
      </x:c>
      <x:c r="X551" s="8"/>
      <x:c r="Y551" s="8"/>
      <x:c r="Z551" s="8"/>
      <x:c r="AA551" s="8"/>
      <x:c r="AB551" s="8"/>
      <x:c r="AC551" s="8"/>
      <x:c r="AD551" s="8"/>
      <x:c r="AE551" s="8"/>
      <x:c r="AF551" s="8"/>
      <x:c r="AG551" s="8"/>
      <x:c r="AH551" s="8"/>
      <x:c r="AI551" s="8"/>
      <x:c r="AJ551" s="8"/>
      <x:c r="AK551" s="8"/>
      <x:c r="AL551" s="8"/>
      <x:c r="AM551" s="8"/>
      <x:c r="AN551" s="8" t="n">
        <x:v>10.573</x:v>
      </x:c>
      <x:c r="AO551" s="8" t="n">
        <x:v>40.583</x:v>
      </x:c>
      <x:c r="AP551" s="8"/>
      <x:c r="AQ551" s="8"/>
      <x:c r="AR551" s="8"/>
      <x:c r="AS551" s="8"/>
      <x:c r="AT551" s="8" t="n">
        <x:v>7.633</x:v>
      </x:c>
      <x:c r="AU551" s="8" t="n">
        <x:v>35.461</x:v>
      </x:c>
      <x:c r="AV551" s="8"/>
      <x:c r="AW551" s="8"/>
      <x:c r="AX551" s="8"/>
      <x:c r="AY551" s="8"/>
      <x:c r="AZ551" s="8"/>
      <x:c r="BA551" s="8"/>
      <x:c r="BB551" s="8" t="n">
        <x:f>LET(m,MIN(IF(D551&gt;0,D551,1E+99),IF(F551&gt;0,F551,1E+99),IF(H551&gt;0,H551,1E+99),IF(J551&gt;0,J551,1E+99),IF(L551&gt;0,L551,1E+99),IF(N551&gt;0,N551,1E+99),IF(P551&gt;0,P551,1E+99),IF(R551&gt;0,R551,1E+99),IF(T551&gt;0,T551,1E+99),IF(V551&gt;0,V551,1E+99),IF(X551&gt;0,X551,1E+99),IF(Z551&gt;0,Z551,1E+99),IF(AB551&gt;0,AB551,1E+99),IF(AD551&gt;0,AD551,1E+99),IF(AF551&gt;0,AF551,1E+99),IF(AH551&gt;0,AH551,1E+99),IF(AJ551&gt;0,AJ551,1E+99),IF(AL551&gt;0,AL551,1E+99),IF(AN551&gt;0,AN551,1E+99),IF(AP551&gt;0,AP551,1E+99),IF(AR551&gt;0,AR551,1E+99),IF(AT551&gt;0,AT551,1E+99),IF(AV551&gt;0,AV551,1E+99),IF(AX551&gt;0,AX551,1E+99),IF(AZ551&gt;0,AZ551,1E+99)),IF(m=1E+99,"",m))</x:f>
        <x:v>7.633</x:v>
      </x:c>
      <x:c r="BC551" s="12" t="e">
        <x:f>IF(BB551="","",INDEX({"v1.4.20","v1.4.20","v1.4.21","v1.4.21","v1.4.23","v1.4.23","v1.4.26","v1.4.26","v1.4.26.1","v1.4.26.1","v1.4.27","v1.4.27","v1.4.29","v1.4.29","v1.4.30","v1.4.30","v1.4.31","v1.4.31","v1.4.33","v1.4.33","v1.4.35","v1.4.35.2","v1.5","v1.5.1","v1.5.1"},MATCH(BB551,CHOOSE({1,2,3,4,5,6,7,8,9,10,11,12,13,14,15,16,17,18,19,20,21,22,23,24,25},D551,F551,H551,J551,L551,N551,P551,R551,T551,V551,X551,Z551,AB551,AD551,AF551,AH551,AJ551,AL551,AN551,AP551,AR551,AT551,AV551,AX551,AZ551),0)))</x:f>
      </x:c>
      <x:c r="BD551" s="14" t="n">
        <x:f>LET(m,MIN(IF(E551&gt;0,E551,1E+99),IF(G551&gt;0,G551,1E+99),IF(I551&gt;0,I551,1E+99),IF(K551&gt;0,K551,1E+99),IF(M551&gt;0,M551,1E+99),IF(O551&gt;0,O551,1E+99),IF(Q551&gt;0,Q551,1E+99),IF(S551&gt;0,S551,1E+99),IF(U551&gt;0,U551,1E+99),IF(W551&gt;0,W551,1E+99),IF(Y551&gt;0,Y551,1E+99),IF(AA551&gt;0,AA551,1E+99),IF(AC551&gt;0,AC551,1E+99),IF(AE551&gt;0,AE551,1E+99),IF(AG551&gt;0,AG551,1E+99),IF(AI551&gt;0,AI551,1E+99),IF(AK551&gt;0,AK551,1E+99),IF(AM551&gt;0,AM551,1E+99),IF(AO551&gt;0,AO551,1E+99),IF(AQ551&gt;0,AQ551,1E+99),IF(AS551&gt;0,AS551,1E+99),IF(AU551&gt;0,AU551,1E+99),IF(AW551&gt;0,AW551,1E+99),IF(AY551&gt;0,AY551,1E+99),IF(BA551&gt;0,BA551,1E+99)),IF(m=1E+99,"",m))</x:f>
        <x:v>34.894</x:v>
      </x:c>
      <x:c r="BE551" s="16" t="e">
        <x:f>IF(BD551="","",INDEX({"v1.4.20","v1.4.20","v1.4.21","v1.4.21","v1.4.23","v1.4.23","v1.4.26","v1.4.26","v1.4.26.1","v1.4.26.1","v1.4.27","v1.4.27","v1.4.29","v1.4.29","v1.4.30","v1.4.30","v1.4.31","v1.4.31","v1.4.33","v1.4.33","v1.4.35","v1.4.35.2","v1.5","v1.5.1","v1.5.1"},MATCH(BD551,CHOOSE({1,2,3,4,5,6,7,8,9,10,11,12,13,14,15,16,17,18,19,20,21,22,23,24,25},E551,G551,I551,K551,M551,O551,Q551,S551,U551,W551,Y551,AA551,AC551,AE551,AG551,AI551,AK551,AM551,AO551,AQ551,AS551,AU551,AW551,AY551,BA551),0)))</x:f>
      </x:c>
      <x:c r="BF551" s="10" t="n">
        <x:f>IFERROR((AX551-BB551)/BB551,"")</x:f>
        <x:v>-1</x:v>
      </x:c>
      <x:c r="BG551" s="10" t="n">
        <x:f>IFERROR((AY551-BD551)/BD551,"")</x:f>
        <x:v>-1</x:v>
      </x:c>
    </x:row>
  </x:sheetData>
  <x:conditionalFormatting sqref="D2:D551">
    <x:cfRule type="expression" dxfId="0" priority="1">
      <x:formula>AND(D2&gt;0,D2=$BB2)</x:formula>
    </x:cfRule>
    <x:cfRule type="expression" dxfId="1" priority="2">
      <x:formula>AND(D2&gt;0,D2=MAX($D2,$F2,$H2,$J2,$L2,$N2,$P2,$R2,$T2,$V2,$X2,$Z2,$AB2,$AD2,$AF2,$AH2,$AJ2,$AL2,$AN2,$AP2,$AR2,$AT2,$AV2,$AX2,$AZ2))</x:formula>
    </x:cfRule>
  </x:conditionalFormatting>
  <x:conditionalFormatting sqref="F2:F551">
    <x:cfRule type="expression" dxfId="2" priority="3">
      <x:formula>AND(F2&gt;0,F2=$BB2)</x:formula>
    </x:cfRule>
    <x:cfRule type="expression" dxfId="3" priority="4">
      <x:formula>AND(F2&gt;0,F2=MAX($D2,$F2,$H2,$J2,$L2,$N2,$P2,$R2,$T2,$V2,$X2,$Z2,$AB2,$AD2,$AF2,$AH2,$AJ2,$AL2,$AN2,$AP2,$AR2,$AT2,$AV2,$AX2,$AZ2))</x:formula>
    </x:cfRule>
  </x:conditionalFormatting>
  <x:conditionalFormatting sqref="H2:H551">
    <x:cfRule type="expression" dxfId="4" priority="5">
      <x:formula>AND(H2&gt;0,H2=$BB2)</x:formula>
    </x:cfRule>
    <x:cfRule type="expression" dxfId="5" priority="6">
      <x:formula>AND(H2&gt;0,H2=MAX($D2,$F2,$H2,$J2,$L2,$N2,$P2,$R2,$T2,$V2,$X2,$Z2,$AB2,$AD2,$AF2,$AH2,$AJ2,$AL2,$AN2,$AP2,$AR2,$AT2,$AV2,$AX2,$AZ2))</x:formula>
    </x:cfRule>
  </x:conditionalFormatting>
  <x:conditionalFormatting sqref="J2:J551">
    <x:cfRule type="expression" dxfId="6" priority="7">
      <x:formula>AND(J2&gt;0,J2=$BB2)</x:formula>
    </x:cfRule>
    <x:cfRule type="expression" dxfId="7" priority="8">
      <x:formula>AND(J2&gt;0,J2=MAX($D2,$F2,$H2,$J2,$L2,$N2,$P2,$R2,$T2,$V2,$X2,$Z2,$AB2,$AD2,$AF2,$AH2,$AJ2,$AL2,$AN2,$AP2,$AR2,$AT2,$AV2,$AX2,$AZ2))</x:formula>
    </x:cfRule>
  </x:conditionalFormatting>
  <x:conditionalFormatting sqref="L2:L551">
    <x:cfRule type="expression" dxfId="8" priority="9">
      <x:formula>AND(L2&gt;0,L2=$BB2)</x:formula>
    </x:cfRule>
    <x:cfRule type="expression" dxfId="9" priority="10">
      <x:formula>AND(L2&gt;0,L2=MAX($D2,$F2,$H2,$J2,$L2,$N2,$P2,$R2,$T2,$V2,$X2,$Z2,$AB2,$AD2,$AF2,$AH2,$AJ2,$AL2,$AN2,$AP2,$AR2,$AT2,$AV2,$AX2,$AZ2))</x:formula>
    </x:cfRule>
  </x:conditionalFormatting>
  <x:conditionalFormatting sqref="N2:N551">
    <x:cfRule type="expression" dxfId="10" priority="11">
      <x:formula>AND(N2&gt;0,N2=$BB2)</x:formula>
    </x:cfRule>
    <x:cfRule type="expression" dxfId="11" priority="12">
      <x:formula>AND(N2&gt;0,N2=MAX($D2,$F2,$H2,$J2,$L2,$N2,$P2,$R2,$T2,$V2,$X2,$Z2,$AB2,$AD2,$AF2,$AH2,$AJ2,$AL2,$AN2,$AP2,$AR2,$AT2,$AV2,$AX2,$AZ2))</x:formula>
    </x:cfRule>
  </x:conditionalFormatting>
  <x:conditionalFormatting sqref="P2:P551">
    <x:cfRule type="expression" dxfId="12" priority="13">
      <x:formula>AND(P2&gt;0,P2=$BB2)</x:formula>
    </x:cfRule>
    <x:cfRule type="expression" dxfId="13" priority="14">
      <x:formula>AND(P2&gt;0,P2=MAX($D2,$F2,$H2,$J2,$L2,$N2,$P2,$R2,$T2,$V2,$X2,$Z2,$AB2,$AD2,$AF2,$AH2,$AJ2,$AL2,$AN2,$AP2,$AR2,$AT2,$AV2,$AX2,$AZ2))</x:formula>
    </x:cfRule>
  </x:conditionalFormatting>
  <x:conditionalFormatting sqref="R2:R551">
    <x:cfRule type="expression" dxfId="14" priority="15">
      <x:formula>AND(R2&gt;0,R2=$BB2)</x:formula>
    </x:cfRule>
    <x:cfRule type="expression" dxfId="15" priority="16">
      <x:formula>AND(R2&gt;0,R2=MAX($D2,$F2,$H2,$J2,$L2,$N2,$P2,$R2,$T2,$V2,$X2,$Z2,$AB2,$AD2,$AF2,$AH2,$AJ2,$AL2,$AN2,$AP2,$AR2,$AT2,$AV2,$AX2,$AZ2))</x:formula>
    </x:cfRule>
  </x:conditionalFormatting>
  <x:conditionalFormatting sqref="T2:T551">
    <x:cfRule type="expression" dxfId="16" priority="17">
      <x:formula>AND(T2&gt;0,T2=$BB2)</x:formula>
    </x:cfRule>
    <x:cfRule type="expression" dxfId="17" priority="18">
      <x:formula>AND(T2&gt;0,T2=MAX($D2,$F2,$H2,$J2,$L2,$N2,$P2,$R2,$T2,$V2,$X2,$Z2,$AB2,$AD2,$AF2,$AH2,$AJ2,$AL2,$AN2,$AP2,$AR2,$AT2,$AV2,$AX2,$AZ2))</x:formula>
    </x:cfRule>
  </x:conditionalFormatting>
  <x:conditionalFormatting sqref="V2:V551">
    <x:cfRule type="expression" dxfId="18" priority="19">
      <x:formula>AND(V2&gt;0,V2=$BB2)</x:formula>
    </x:cfRule>
    <x:cfRule type="expression" dxfId="19" priority="20">
      <x:formula>AND(V2&gt;0,V2=MAX($D2,$F2,$H2,$J2,$L2,$N2,$P2,$R2,$T2,$V2,$X2,$Z2,$AB2,$AD2,$AF2,$AH2,$AJ2,$AL2,$AN2,$AP2,$AR2,$AT2,$AV2,$AX2,$AZ2))</x:formula>
    </x:cfRule>
  </x:conditionalFormatting>
  <x:conditionalFormatting sqref="X2:X551">
    <x:cfRule type="expression" dxfId="20" priority="21">
      <x:formula>AND(X2&gt;0,X2=$BB2)</x:formula>
    </x:cfRule>
    <x:cfRule type="expression" dxfId="21" priority="22">
      <x:formula>AND(X2&gt;0,X2=MAX($D2,$F2,$H2,$J2,$L2,$N2,$P2,$R2,$T2,$V2,$X2,$Z2,$AB2,$AD2,$AF2,$AH2,$AJ2,$AL2,$AN2,$AP2,$AR2,$AT2,$AV2,$AX2,$AZ2))</x:formula>
    </x:cfRule>
  </x:conditionalFormatting>
  <x:conditionalFormatting sqref="Z2:Z551">
    <x:cfRule type="expression" dxfId="22" priority="23">
      <x:formula>AND(Z2&gt;0,Z2=$BB2)</x:formula>
    </x:cfRule>
    <x:cfRule type="expression" dxfId="23" priority="24">
      <x:formula>AND(Z2&gt;0,Z2=MAX($D2,$F2,$H2,$J2,$L2,$N2,$P2,$R2,$T2,$V2,$X2,$Z2,$AB2,$AD2,$AF2,$AH2,$AJ2,$AL2,$AN2,$AP2,$AR2,$AT2,$AV2,$AX2,$AZ2))</x:formula>
    </x:cfRule>
  </x:conditionalFormatting>
  <x:conditionalFormatting sqref="AB2:AB551">
    <x:cfRule type="expression" dxfId="24" priority="25">
      <x:formula>AND(AB2&gt;0,AB2=$BB2)</x:formula>
    </x:cfRule>
    <x:cfRule type="expression" dxfId="25" priority="26">
      <x:formula>AND(AB2&gt;0,AB2=MAX($D2,$F2,$H2,$J2,$L2,$N2,$P2,$R2,$T2,$V2,$X2,$Z2,$AB2,$AD2,$AF2,$AH2,$AJ2,$AL2,$AN2,$AP2,$AR2,$AT2,$AV2,$AX2,$AZ2))</x:formula>
    </x:cfRule>
  </x:conditionalFormatting>
  <x:conditionalFormatting sqref="AD2:AD551">
    <x:cfRule type="expression" dxfId="26" priority="27">
      <x:formula>AND(AD2&gt;0,AD2=$BB2)</x:formula>
    </x:cfRule>
    <x:cfRule type="expression" dxfId="27" priority="28">
      <x:formula>AND(AD2&gt;0,AD2=MAX($D2,$F2,$H2,$J2,$L2,$N2,$P2,$R2,$T2,$V2,$X2,$Z2,$AB2,$AD2,$AF2,$AH2,$AJ2,$AL2,$AN2,$AP2,$AR2,$AT2,$AV2,$AX2,$AZ2))</x:formula>
    </x:cfRule>
  </x:conditionalFormatting>
  <x:conditionalFormatting sqref="AF2:AF551">
    <x:cfRule type="expression" dxfId="28" priority="29">
      <x:formula>AND(AF2&gt;0,AF2=$BB2)</x:formula>
    </x:cfRule>
    <x:cfRule type="expression" dxfId="29" priority="30">
      <x:formula>AND(AF2&gt;0,AF2=MAX($D2,$F2,$H2,$J2,$L2,$N2,$P2,$R2,$T2,$V2,$X2,$Z2,$AB2,$AD2,$AF2,$AH2,$AJ2,$AL2,$AN2,$AP2,$AR2,$AT2,$AV2,$AX2,$AZ2))</x:formula>
    </x:cfRule>
  </x:conditionalFormatting>
  <x:conditionalFormatting sqref="AH2:AH551">
    <x:cfRule type="expression" dxfId="30" priority="31">
      <x:formula>AND(AH2&gt;0,AH2=$BB2)</x:formula>
    </x:cfRule>
    <x:cfRule type="expression" dxfId="31" priority="32">
      <x:formula>AND(AH2&gt;0,AH2=MAX($D2,$F2,$H2,$J2,$L2,$N2,$P2,$R2,$T2,$V2,$X2,$Z2,$AB2,$AD2,$AF2,$AH2,$AJ2,$AL2,$AN2,$AP2,$AR2,$AT2,$AV2,$AX2,$AZ2))</x:formula>
    </x:cfRule>
  </x:conditionalFormatting>
  <x:conditionalFormatting sqref="AJ2:AJ551">
    <x:cfRule type="expression" dxfId="32" priority="33">
      <x:formula>AND(AJ2&gt;0,AJ2=$BB2)</x:formula>
    </x:cfRule>
    <x:cfRule type="expression" dxfId="33" priority="34">
      <x:formula>AND(AJ2&gt;0,AJ2=MAX($D2,$F2,$H2,$J2,$L2,$N2,$P2,$R2,$T2,$V2,$X2,$Z2,$AB2,$AD2,$AF2,$AH2,$AJ2,$AL2,$AN2,$AP2,$AR2,$AT2,$AV2,$AX2,$AZ2))</x:formula>
    </x:cfRule>
  </x:conditionalFormatting>
  <x:conditionalFormatting sqref="AL2:AL551">
    <x:cfRule type="expression" dxfId="34" priority="35">
      <x:formula>AND(AL2&gt;0,AL2=$BB2)</x:formula>
    </x:cfRule>
    <x:cfRule type="expression" dxfId="35" priority="36">
      <x:formula>AND(AL2&gt;0,AL2=MAX($D2,$F2,$H2,$J2,$L2,$N2,$P2,$R2,$T2,$V2,$X2,$Z2,$AB2,$AD2,$AF2,$AH2,$AJ2,$AL2,$AN2,$AP2,$AR2,$AT2,$AV2,$AX2,$AZ2))</x:formula>
    </x:cfRule>
  </x:conditionalFormatting>
  <x:conditionalFormatting sqref="AN2:AN551">
    <x:cfRule type="expression" dxfId="36" priority="37">
      <x:formula>AND(AN2&gt;0,AN2=$BB2)</x:formula>
    </x:cfRule>
    <x:cfRule type="expression" dxfId="37" priority="38">
      <x:formula>AND(AN2&gt;0,AN2=MAX($D2,$F2,$H2,$J2,$L2,$N2,$P2,$R2,$T2,$V2,$X2,$Z2,$AB2,$AD2,$AF2,$AH2,$AJ2,$AL2,$AN2,$AP2,$AR2,$AT2,$AV2,$AX2,$AZ2))</x:formula>
    </x:cfRule>
  </x:conditionalFormatting>
  <x:conditionalFormatting sqref="AP2:AP551">
    <x:cfRule type="expression" dxfId="38" priority="39">
      <x:formula>AND(AP2&gt;0,AP2=$BB2)</x:formula>
    </x:cfRule>
    <x:cfRule type="expression" dxfId="39" priority="40">
      <x:formula>AND(AP2&gt;0,AP2=MAX($D2,$F2,$H2,$J2,$L2,$N2,$P2,$R2,$T2,$V2,$X2,$Z2,$AB2,$AD2,$AF2,$AH2,$AJ2,$AL2,$AN2,$AP2,$AR2,$AT2,$AV2,$AX2,$AZ2))</x:formula>
    </x:cfRule>
  </x:conditionalFormatting>
  <x:conditionalFormatting sqref="AR2:AR551">
    <x:cfRule type="expression" dxfId="40" priority="41">
      <x:formula>AND(AR2&gt;0,AR2=$BB2)</x:formula>
    </x:cfRule>
    <x:cfRule type="expression" dxfId="41" priority="42">
      <x:formula>AND(AR2&gt;0,AR2=MAX($D2,$F2,$H2,$J2,$L2,$N2,$P2,$R2,$T2,$V2,$X2,$Z2,$AB2,$AD2,$AF2,$AH2,$AJ2,$AL2,$AN2,$AP2,$AR2,$AT2,$AV2,$AX2,$AZ2))</x:formula>
    </x:cfRule>
  </x:conditionalFormatting>
  <x:conditionalFormatting sqref="AT2:AT551">
    <x:cfRule type="expression" dxfId="42" priority="43">
      <x:formula>AND(AT2&gt;0,AT2=$BB2)</x:formula>
    </x:cfRule>
    <x:cfRule type="expression" dxfId="43" priority="44">
      <x:formula>AND(AT2&gt;0,AT2=MAX($D2,$F2,$H2,$J2,$L2,$N2,$P2,$R2,$T2,$V2,$X2,$Z2,$AB2,$AD2,$AF2,$AH2,$AJ2,$AL2,$AN2,$AP2,$AR2,$AT2,$AV2,$AX2,$AZ2))</x:formula>
    </x:cfRule>
  </x:conditionalFormatting>
  <x:conditionalFormatting sqref="AV2:AV551">
    <x:cfRule type="expression" dxfId="44" priority="45">
      <x:formula>AND(AV2&gt;0,AV2=$BB2)</x:formula>
    </x:cfRule>
    <x:cfRule type="expression" dxfId="45" priority="46">
      <x:formula>AND(AV2&gt;0,AV2=MAX($D2,$F2,$H2,$J2,$L2,$N2,$P2,$R2,$T2,$V2,$X2,$Z2,$AB2,$AD2,$AF2,$AH2,$AJ2,$AL2,$AN2,$AP2,$AR2,$AT2,$AV2,$AX2,$AZ2))</x:formula>
    </x:cfRule>
  </x:conditionalFormatting>
  <x:conditionalFormatting sqref="AX2:AX551">
    <x:cfRule type="expression" dxfId="46" priority="47">
      <x:formula>AND(AX2&gt;0,AX2=$BB2)</x:formula>
    </x:cfRule>
    <x:cfRule type="expression" dxfId="47" priority="48">
      <x:formula>AND(AX2&gt;0,AX2=MAX($D2,$F2,$H2,$J2,$L2,$N2,$P2,$R2,$T2,$V2,$X2,$Z2,$AB2,$AD2,$AF2,$AH2,$AJ2,$AL2,$AN2,$AP2,$AR2,$AT2,$AV2,$AX2,$AZ2))</x:formula>
    </x:cfRule>
  </x:conditionalFormatting>
  <x:conditionalFormatting sqref="AZ2:AZ551">
    <x:cfRule type="expression" dxfId="48" priority="49">
      <x:formula>AND(AZ2&gt;0,AZ2=$BB2)</x:formula>
    </x:cfRule>
    <x:cfRule type="expression" dxfId="49" priority="50">
      <x:formula>AND(AZ2&gt;0,AZ2=MAX($D2,$F2,$H2,$J2,$L2,$N2,$P2,$R2,$T2,$V2,$X2,$Z2,$AB2,$AD2,$AF2,$AH2,$AJ2,$AL2,$AN2,$AP2,$AR2,$AT2,$AV2,$AX2,$AZ2))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a17069aef94427"/>
  </x:tableParts>
</x:worksheet>
</file>